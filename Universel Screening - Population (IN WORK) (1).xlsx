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er Rydahl\OneDrive\Desktop\"/>
    </mc:Choice>
  </mc:AlternateContent>
  <xr:revisionPtr revIDLastSave="0" documentId="13_ncr:1_{2708DC75-D8C3-4629-AE80-658373D9587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ompany Overview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9" i="2" l="1"/>
  <c r="O3" i="2"/>
  <c r="O2" i="2"/>
  <c r="M3" i="2"/>
  <c r="N3" i="2"/>
  <c r="M4" i="2"/>
  <c r="N4" i="2"/>
  <c r="O4" i="2" s="1"/>
  <c r="M5" i="2"/>
  <c r="N5" i="2" s="1"/>
  <c r="O5" i="2"/>
  <c r="M6" i="2"/>
  <c r="N6" i="2" s="1"/>
  <c r="O6" i="2"/>
  <c r="M7" i="2"/>
  <c r="N7" i="2" s="1"/>
  <c r="O7" i="2" s="1"/>
  <c r="M8" i="2"/>
  <c r="N8" i="2" s="1"/>
  <c r="O8" i="2" s="1"/>
  <c r="M9" i="2"/>
  <c r="M10" i="2"/>
  <c r="N10" i="2"/>
  <c r="O10" i="2"/>
  <c r="M11" i="2"/>
  <c r="N11" i="2" s="1"/>
  <c r="O11" i="2"/>
  <c r="M12" i="2"/>
  <c r="N12" i="2" s="1"/>
  <c r="O12" i="2" s="1"/>
  <c r="M13" i="2"/>
  <c r="N13" i="2"/>
  <c r="O13" i="2" s="1"/>
  <c r="M14" i="2"/>
  <c r="N14" i="2"/>
  <c r="O14" i="2" s="1"/>
  <c r="M15" i="2"/>
  <c r="N15" i="2"/>
  <c r="O15" i="2"/>
  <c r="M16" i="2"/>
  <c r="N16" i="2"/>
  <c r="O16" i="2"/>
  <c r="M17" i="2"/>
  <c r="N17" i="2"/>
  <c r="O17" i="2"/>
  <c r="M18" i="2"/>
  <c r="N18" i="2"/>
  <c r="O18" i="2" s="1"/>
  <c r="M19" i="2"/>
  <c r="N19" i="2" s="1"/>
  <c r="O19" i="2" s="1"/>
  <c r="M20" i="2"/>
  <c r="N20" i="2" s="1"/>
  <c r="O20" i="2" s="1"/>
  <c r="M21" i="2"/>
  <c r="N21" i="2"/>
  <c r="O21" i="2"/>
  <c r="M22" i="2"/>
  <c r="N22" i="2" s="1"/>
  <c r="O22" i="2" s="1"/>
  <c r="M23" i="2"/>
  <c r="N23" i="2"/>
  <c r="O23" i="2"/>
  <c r="M24" i="2"/>
  <c r="N24" i="2" s="1"/>
  <c r="O24" i="2" s="1"/>
  <c r="M25" i="2"/>
  <c r="N25" i="2"/>
  <c r="O25" i="2"/>
  <c r="M26" i="2"/>
  <c r="N26" i="2" s="1"/>
  <c r="O26" i="2" s="1"/>
  <c r="M27" i="2"/>
  <c r="N27" i="2"/>
  <c r="O27" i="2" s="1"/>
  <c r="M28" i="2"/>
  <c r="N28" i="2"/>
  <c r="O28" i="2" s="1"/>
  <c r="M29" i="2"/>
  <c r="N29" i="2" s="1"/>
  <c r="O29" i="2" s="1"/>
  <c r="M30" i="2"/>
  <c r="N30" i="2"/>
  <c r="O30" i="2" s="1"/>
  <c r="M31" i="2"/>
  <c r="N31" i="2"/>
  <c r="O31" i="2"/>
  <c r="M32" i="2"/>
  <c r="N32" i="2" s="1"/>
  <c r="O32" i="2" s="1"/>
  <c r="M33" i="2"/>
  <c r="N33" i="2" s="1"/>
  <c r="O33" i="2" s="1"/>
  <c r="M34" i="2"/>
  <c r="N34" i="2"/>
  <c r="O34" i="2"/>
  <c r="M35" i="2"/>
  <c r="N35" i="2"/>
  <c r="O35" i="2" s="1"/>
  <c r="M36" i="2"/>
  <c r="N36" i="2" s="1"/>
  <c r="O36" i="2"/>
  <c r="M37" i="2"/>
  <c r="N37" i="2" s="1"/>
  <c r="O37" i="2" s="1"/>
  <c r="M38" i="2"/>
  <c r="N38" i="2" s="1"/>
  <c r="O38" i="2" s="1"/>
  <c r="M39" i="2"/>
  <c r="N39" i="2"/>
  <c r="O39" i="2"/>
  <c r="M40" i="2"/>
  <c r="N40" i="2" s="1"/>
  <c r="O40" i="2" s="1"/>
  <c r="M41" i="2"/>
  <c r="N41" i="2" s="1"/>
  <c r="O41" i="2" s="1"/>
  <c r="M42" i="2"/>
  <c r="N42" i="2"/>
  <c r="O42" i="2" s="1"/>
  <c r="M43" i="2"/>
  <c r="N43" i="2"/>
  <c r="O43" i="2" s="1"/>
  <c r="M44" i="2"/>
  <c r="N44" i="2"/>
  <c r="O44" i="2" s="1"/>
  <c r="M45" i="2"/>
  <c r="N45" i="2" s="1"/>
  <c r="O45" i="2" s="1"/>
  <c r="M46" i="2"/>
  <c r="N46" i="2" s="1"/>
  <c r="O46" i="2"/>
  <c r="M47" i="2"/>
  <c r="N47" i="2"/>
  <c r="O47" i="2"/>
  <c r="M48" i="2"/>
  <c r="N48" i="2"/>
  <c r="O48" i="2" s="1"/>
  <c r="M49" i="2"/>
  <c r="N49" i="2"/>
  <c r="O49" i="2" s="1"/>
  <c r="M50" i="2"/>
  <c r="N50" i="2"/>
  <c r="O50" i="2" s="1"/>
  <c r="M51" i="2"/>
  <c r="N51" i="2"/>
  <c r="O51" i="2"/>
  <c r="M52" i="2"/>
  <c r="N52" i="2"/>
  <c r="O52" i="2"/>
  <c r="M53" i="2"/>
  <c r="N53" i="2"/>
  <c r="O53" i="2"/>
  <c r="M54" i="2"/>
  <c r="N54" i="2"/>
  <c r="O54" i="2"/>
  <c r="M55" i="2"/>
  <c r="N55" i="2" s="1"/>
  <c r="O55" i="2" s="1"/>
  <c r="M56" i="2"/>
  <c r="N56" i="2" s="1"/>
  <c r="O56" i="2" s="1"/>
  <c r="M57" i="2"/>
  <c r="N57" i="2"/>
  <c r="O57" i="2"/>
  <c r="M58" i="2"/>
  <c r="N58" i="2" s="1"/>
  <c r="O58" i="2" s="1"/>
  <c r="M59" i="2"/>
  <c r="N59" i="2"/>
  <c r="O59" i="2" s="1"/>
  <c r="M60" i="2"/>
  <c r="N60" i="2" s="1"/>
  <c r="O60" i="2" s="1"/>
  <c r="M61" i="2"/>
  <c r="N61" i="2" s="1"/>
  <c r="O61" i="2" s="1"/>
  <c r="M62" i="2"/>
  <c r="N62" i="2"/>
  <c r="O62" i="2" s="1"/>
  <c r="M63" i="2"/>
  <c r="N63" i="2"/>
  <c r="O63" i="2"/>
  <c r="M64" i="2"/>
  <c r="N64" i="2"/>
  <c r="O64" i="2"/>
  <c r="M65" i="2"/>
  <c r="N65" i="2" s="1"/>
  <c r="O65" i="2" s="1"/>
  <c r="M66" i="2"/>
  <c r="N66" i="2" s="1"/>
  <c r="O66" i="2" s="1"/>
  <c r="M67" i="2"/>
  <c r="N67" i="2"/>
  <c r="O67" i="2" s="1"/>
  <c r="M68" i="2"/>
  <c r="N68" i="2" s="1"/>
  <c r="O68" i="2" s="1"/>
  <c r="M69" i="2"/>
  <c r="N69" i="2" s="1"/>
  <c r="O69" i="2" s="1"/>
  <c r="M70" i="2"/>
  <c r="N70" i="2" s="1"/>
  <c r="O70" i="2" s="1"/>
  <c r="M71" i="2"/>
  <c r="N71" i="2"/>
  <c r="O71" i="2" s="1"/>
  <c r="M72" i="2"/>
  <c r="N72" i="2" s="1"/>
  <c r="O72" i="2" s="1"/>
  <c r="M73" i="2"/>
  <c r="N73" i="2" s="1"/>
  <c r="O73" i="2" s="1"/>
  <c r="M74" i="2"/>
  <c r="N74" i="2"/>
  <c r="O74" i="2" s="1"/>
  <c r="M75" i="2"/>
  <c r="N75" i="2" s="1"/>
  <c r="O75" i="2" s="1"/>
  <c r="M76" i="2"/>
  <c r="N76" i="2" s="1"/>
  <c r="O76" i="2" s="1"/>
  <c r="M77" i="2"/>
  <c r="N77" i="2"/>
  <c r="O77" i="2" s="1"/>
  <c r="M78" i="2"/>
  <c r="N78" i="2" s="1"/>
  <c r="O78" i="2" s="1"/>
  <c r="M79" i="2"/>
  <c r="N79" i="2"/>
  <c r="O79" i="2"/>
  <c r="M80" i="2"/>
  <c r="N80" i="2"/>
  <c r="O80" i="2"/>
  <c r="M81" i="2"/>
  <c r="N81" i="2"/>
  <c r="O81" i="2"/>
  <c r="M82" i="2"/>
  <c r="N82" i="2"/>
  <c r="O82" i="2" s="1"/>
  <c r="M83" i="2"/>
  <c r="N83" i="2"/>
  <c r="O83" i="2"/>
  <c r="M84" i="2"/>
  <c r="N84" i="2"/>
  <c r="O84" i="2"/>
  <c r="M85" i="2"/>
  <c r="N85" i="2"/>
  <c r="O85" i="2"/>
  <c r="M86" i="2"/>
  <c r="N86" i="2"/>
  <c r="O86" i="2" s="1"/>
  <c r="M87" i="2"/>
  <c r="N87" i="2" s="1"/>
  <c r="O87" i="2"/>
  <c r="M88" i="2"/>
  <c r="N88" i="2" s="1"/>
  <c r="O88" i="2" s="1"/>
  <c r="M89" i="2"/>
  <c r="N89" i="2"/>
  <c r="O89" i="2"/>
  <c r="M90" i="2"/>
  <c r="N90" i="2"/>
  <c r="O90" i="2" s="1"/>
  <c r="M91" i="2"/>
  <c r="N91" i="2"/>
  <c r="O91" i="2" s="1"/>
  <c r="M92" i="2"/>
  <c r="N92" i="2"/>
  <c r="O92" i="2" s="1"/>
  <c r="M93" i="2"/>
  <c r="N93" i="2" s="1"/>
  <c r="O93" i="2" s="1"/>
  <c r="M94" i="2"/>
  <c r="N94" i="2"/>
  <c r="O94" i="2" s="1"/>
  <c r="M95" i="2"/>
  <c r="N95" i="2"/>
  <c r="O95" i="2"/>
  <c r="M96" i="2"/>
  <c r="N96" i="2"/>
  <c r="O96" i="2"/>
  <c r="M97" i="2"/>
  <c r="N97" i="2" s="1"/>
  <c r="O97" i="2" s="1"/>
  <c r="M98" i="2"/>
  <c r="N98" i="2"/>
  <c r="O98" i="2" s="1"/>
  <c r="M99" i="2"/>
  <c r="N99" i="2"/>
  <c r="O99" i="2" s="1"/>
  <c r="M100" i="2"/>
  <c r="N100" i="2" s="1"/>
  <c r="O100" i="2" s="1"/>
  <c r="M101" i="2"/>
  <c r="N101" i="2" s="1"/>
  <c r="O101" i="2"/>
  <c r="M102" i="2"/>
  <c r="N102" i="2" s="1"/>
  <c r="O102" i="2"/>
  <c r="M103" i="2"/>
  <c r="N103" i="2" s="1"/>
  <c r="O103" i="2" s="1"/>
  <c r="M104" i="2"/>
  <c r="N104" i="2" s="1"/>
  <c r="O104" i="2" s="1"/>
  <c r="M105" i="2"/>
  <c r="N105" i="2" s="1"/>
  <c r="O105" i="2" s="1"/>
  <c r="M106" i="2"/>
  <c r="N106" i="2"/>
  <c r="O106" i="2"/>
  <c r="M107" i="2"/>
  <c r="N107" i="2"/>
  <c r="O107" i="2" s="1"/>
  <c r="M108" i="2"/>
  <c r="N108" i="2" s="1"/>
  <c r="O108" i="2" s="1"/>
  <c r="M109" i="2"/>
  <c r="N109" i="2"/>
  <c r="O109" i="2" s="1"/>
  <c r="M110" i="2"/>
  <c r="N110" i="2" s="1"/>
  <c r="O110" i="2"/>
  <c r="M111" i="2"/>
  <c r="N111" i="2"/>
  <c r="O111" i="2"/>
  <c r="M112" i="2"/>
  <c r="N112" i="2"/>
  <c r="O112" i="2"/>
  <c r="M113" i="2"/>
  <c r="N113" i="2"/>
  <c r="O113" i="2" s="1"/>
  <c r="M114" i="2"/>
  <c r="N114" i="2" s="1"/>
  <c r="O114" i="2" s="1"/>
  <c r="M115" i="2"/>
  <c r="N115" i="2"/>
  <c r="O115" i="2"/>
  <c r="M116" i="2"/>
  <c r="N116" i="2"/>
  <c r="O116" i="2"/>
  <c r="M117" i="2"/>
  <c r="N117" i="2" s="1"/>
  <c r="O117" i="2" s="1"/>
  <c r="M118" i="2"/>
  <c r="N118" i="2" s="1"/>
  <c r="O118" i="2" s="1"/>
  <c r="M119" i="2"/>
  <c r="N119" i="2"/>
  <c r="O119" i="2"/>
  <c r="M120" i="2"/>
  <c r="N120" i="2" s="1"/>
  <c r="O120" i="2" s="1"/>
  <c r="M121" i="2"/>
  <c r="N121" i="2"/>
  <c r="O121" i="2"/>
  <c r="M122" i="2"/>
  <c r="N122" i="2" s="1"/>
  <c r="O122" i="2" s="1"/>
  <c r="M123" i="2"/>
  <c r="N123" i="2"/>
  <c r="O123" i="2" s="1"/>
  <c r="M124" i="2"/>
  <c r="N124" i="2"/>
  <c r="O124" i="2" s="1"/>
  <c r="M125" i="2"/>
  <c r="N125" i="2" s="1"/>
  <c r="O125" i="2" s="1"/>
  <c r="M126" i="2"/>
  <c r="N126" i="2"/>
  <c r="O126" i="2" s="1"/>
  <c r="M127" i="2"/>
  <c r="N127" i="2"/>
  <c r="O127" i="2"/>
  <c r="M128" i="2"/>
  <c r="N128" i="2"/>
  <c r="O128" i="2" s="1"/>
  <c r="M129" i="2"/>
  <c r="N129" i="2"/>
  <c r="O129" i="2"/>
  <c r="M130" i="2"/>
  <c r="N130" i="2" s="1"/>
  <c r="O130" i="2" s="1"/>
  <c r="M131" i="2"/>
  <c r="N131" i="2"/>
  <c r="O131" i="2" s="1"/>
  <c r="M132" i="2"/>
  <c r="N132" i="2"/>
  <c r="O132" i="2"/>
  <c r="M133" i="2"/>
  <c r="N133" i="2" s="1"/>
  <c r="O133" i="2" s="1"/>
  <c r="M134" i="2"/>
  <c r="N134" i="2" s="1"/>
  <c r="O134" i="2"/>
  <c r="M135" i="2"/>
  <c r="N135" i="2"/>
  <c r="O135" i="2" s="1"/>
  <c r="M136" i="2"/>
  <c r="N136" i="2" s="1"/>
  <c r="O136" i="2" s="1"/>
  <c r="M137" i="2"/>
  <c r="N137" i="2" s="1"/>
  <c r="O137" i="2" s="1"/>
  <c r="M138" i="2"/>
  <c r="N138" i="2"/>
  <c r="O138" i="2" s="1"/>
  <c r="M139" i="2"/>
  <c r="N139" i="2" s="1"/>
  <c r="O139" i="2" s="1"/>
  <c r="M140" i="2"/>
  <c r="N140" i="2"/>
  <c r="O140" i="2"/>
  <c r="M141" i="2"/>
  <c r="N141" i="2"/>
  <c r="O141" i="2" s="1"/>
  <c r="M142" i="2"/>
  <c r="N142" i="2" s="1"/>
  <c r="O142" i="2" s="1"/>
  <c r="M143" i="2"/>
  <c r="N143" i="2" s="1"/>
  <c r="O143" i="2"/>
  <c r="M144" i="2"/>
  <c r="N144" i="2"/>
  <c r="O144" i="2" s="1"/>
  <c r="M145" i="2"/>
  <c r="N145" i="2"/>
  <c r="O145" i="2"/>
  <c r="M146" i="2"/>
  <c r="N146" i="2" s="1"/>
  <c r="O146" i="2" s="1"/>
  <c r="M147" i="2"/>
  <c r="N147" i="2"/>
  <c r="O147" i="2"/>
  <c r="M148" i="2"/>
  <c r="N148" i="2"/>
  <c r="O148" i="2"/>
  <c r="M149" i="2"/>
  <c r="N149" i="2"/>
  <c r="O149" i="2"/>
  <c r="M150" i="2"/>
  <c r="N150" i="2"/>
  <c r="O150" i="2"/>
  <c r="M151" i="2"/>
  <c r="N151" i="2" s="1"/>
  <c r="O151" i="2" s="1"/>
  <c r="M152" i="2"/>
  <c r="N152" i="2" s="1"/>
  <c r="O152" i="2"/>
  <c r="M153" i="2"/>
  <c r="N153" i="2"/>
  <c r="O153" i="2"/>
  <c r="M154" i="2"/>
  <c r="N154" i="2"/>
  <c r="O154" i="2" s="1"/>
  <c r="M155" i="2"/>
  <c r="N155" i="2" s="1"/>
  <c r="O155" i="2" s="1"/>
  <c r="M156" i="2"/>
  <c r="N156" i="2"/>
  <c r="O156" i="2" s="1"/>
  <c r="M157" i="2"/>
  <c r="N157" i="2" s="1"/>
  <c r="O157" i="2" s="1"/>
  <c r="M158" i="2"/>
  <c r="N158" i="2"/>
  <c r="O158" i="2" s="1"/>
  <c r="M159" i="2"/>
  <c r="N159" i="2"/>
  <c r="O159" i="2"/>
  <c r="M160" i="2"/>
  <c r="N160" i="2"/>
  <c r="O160" i="2" s="1"/>
  <c r="M161" i="2"/>
  <c r="N161" i="2" s="1"/>
  <c r="O161" i="2" s="1"/>
  <c r="M162" i="2"/>
  <c r="N162" i="2" s="1"/>
  <c r="O162" i="2" s="1"/>
  <c r="M163" i="2"/>
  <c r="N163" i="2"/>
  <c r="O163" i="2" s="1"/>
  <c r="M164" i="2"/>
  <c r="N164" i="2" s="1"/>
  <c r="O164" i="2"/>
  <c r="M165" i="2"/>
  <c r="N165" i="2" s="1"/>
  <c r="O165" i="2"/>
  <c r="M166" i="2"/>
  <c r="N166" i="2" s="1"/>
  <c r="O166" i="2" s="1"/>
  <c r="M167" i="2"/>
  <c r="N167" i="2"/>
  <c r="O167" i="2"/>
  <c r="M168" i="2"/>
  <c r="N168" i="2"/>
  <c r="O168" i="2"/>
  <c r="M169" i="2"/>
  <c r="N169" i="2" s="1"/>
  <c r="O169" i="2" s="1"/>
  <c r="M170" i="2"/>
  <c r="N170" i="2"/>
  <c r="O170" i="2"/>
  <c r="M171" i="2"/>
  <c r="N171" i="2"/>
  <c r="O171" i="2" s="1"/>
  <c r="M172" i="2"/>
  <c r="N172" i="2" s="1"/>
  <c r="O172" i="2" s="1"/>
  <c r="M173" i="2"/>
  <c r="N173" i="2"/>
  <c r="O173" i="2" s="1"/>
  <c r="M174" i="2"/>
  <c r="N174" i="2" s="1"/>
  <c r="O174" i="2"/>
  <c r="M175" i="2"/>
  <c r="N175" i="2"/>
  <c r="O175" i="2"/>
  <c r="M176" i="2"/>
  <c r="N176" i="2"/>
  <c r="O176" i="2"/>
  <c r="M177" i="2"/>
  <c r="N177" i="2"/>
  <c r="O177" i="2"/>
  <c r="M178" i="2"/>
  <c r="N178" i="2" s="1"/>
  <c r="O178" i="2" s="1"/>
  <c r="M179" i="2"/>
  <c r="N179" i="2"/>
  <c r="O179" i="2"/>
  <c r="M180" i="2"/>
  <c r="N180" i="2"/>
  <c r="O180" i="2"/>
  <c r="M181" i="2"/>
  <c r="N181" i="2"/>
  <c r="O181" i="2" s="1"/>
  <c r="M182" i="2"/>
  <c r="N182" i="2" s="1"/>
  <c r="O182" i="2" s="1"/>
  <c r="M183" i="2"/>
  <c r="N183" i="2"/>
  <c r="O183" i="2" s="1"/>
  <c r="M184" i="2"/>
  <c r="N184" i="2" s="1"/>
  <c r="O184" i="2"/>
  <c r="M185" i="2"/>
  <c r="N185" i="2"/>
  <c r="O185" i="2" s="1"/>
  <c r="M186" i="2"/>
  <c r="N186" i="2"/>
  <c r="O186" i="2" s="1"/>
  <c r="M187" i="2"/>
  <c r="N187" i="2"/>
  <c r="O187" i="2" s="1"/>
  <c r="M188" i="2"/>
  <c r="N188" i="2"/>
  <c r="O188" i="2" s="1"/>
  <c r="M189" i="2"/>
  <c r="N189" i="2" s="1"/>
  <c r="O189" i="2" s="1"/>
  <c r="M190" i="2"/>
  <c r="N190" i="2"/>
  <c r="O190" i="2" s="1"/>
  <c r="M191" i="2"/>
  <c r="N191" i="2"/>
  <c r="O191" i="2"/>
  <c r="M192" i="2"/>
  <c r="N192" i="2"/>
  <c r="O192" i="2" s="1"/>
  <c r="M193" i="2"/>
  <c r="N193" i="2" s="1"/>
  <c r="O193" i="2" s="1"/>
  <c r="M194" i="2"/>
  <c r="N194" i="2" s="1"/>
  <c r="O194" i="2"/>
  <c r="M195" i="2"/>
  <c r="N195" i="2"/>
  <c r="O195" i="2" s="1"/>
  <c r="M196" i="2"/>
  <c r="N196" i="2" s="1"/>
  <c r="O196" i="2" s="1"/>
  <c r="M197" i="2"/>
  <c r="N197" i="2" s="1"/>
  <c r="O197" i="2"/>
  <c r="M198" i="2"/>
  <c r="N198" i="2" s="1"/>
  <c r="O198" i="2"/>
  <c r="M199" i="2"/>
  <c r="N199" i="2"/>
  <c r="O199" i="2"/>
  <c r="M200" i="2"/>
  <c r="N200" i="2"/>
  <c r="O200" i="2"/>
  <c r="M201" i="2"/>
  <c r="N201" i="2" s="1"/>
  <c r="O201" i="2" s="1"/>
  <c r="M202" i="2"/>
  <c r="N202" i="2"/>
  <c r="O202" i="2"/>
  <c r="M203" i="2"/>
  <c r="N203" i="2" s="1"/>
  <c r="O203" i="2" s="1"/>
  <c r="M204" i="2"/>
  <c r="N204" i="2"/>
  <c r="O204" i="2"/>
  <c r="M205" i="2"/>
  <c r="N205" i="2"/>
  <c r="O205" i="2" s="1"/>
  <c r="M206" i="2"/>
  <c r="N206" i="2" s="1"/>
  <c r="O206" i="2" s="1"/>
  <c r="M207" i="2"/>
  <c r="N207" i="2"/>
  <c r="O207" i="2" s="1"/>
  <c r="M208" i="2"/>
  <c r="N208" i="2"/>
  <c r="O208" i="2" s="1"/>
  <c r="M209" i="2"/>
  <c r="N209" i="2"/>
  <c r="O209" i="2" s="1"/>
  <c r="M210" i="2"/>
  <c r="N210" i="2" s="1"/>
  <c r="O210" i="2" s="1"/>
  <c r="M211" i="2"/>
  <c r="N211" i="2"/>
  <c r="O211" i="2"/>
  <c r="M212" i="2"/>
  <c r="N212" i="2"/>
  <c r="O212" i="2"/>
  <c r="M213" i="2"/>
  <c r="N213" i="2" s="1"/>
  <c r="O213" i="2" s="1"/>
  <c r="M214" i="2"/>
  <c r="N214" i="2"/>
  <c r="O214" i="2" s="1"/>
  <c r="M215" i="2"/>
  <c r="N215" i="2"/>
  <c r="O215" i="2" s="1"/>
  <c r="M216" i="2"/>
  <c r="N216" i="2" s="1"/>
  <c r="O216" i="2"/>
  <c r="M217" i="2"/>
  <c r="N217" i="2"/>
  <c r="O217" i="2" s="1"/>
  <c r="M218" i="2"/>
  <c r="N218" i="2" s="1"/>
  <c r="O218" i="2" s="1"/>
  <c r="M219" i="2"/>
  <c r="N219" i="2"/>
  <c r="O219" i="2" s="1"/>
  <c r="M220" i="2"/>
  <c r="N220" i="2" s="1"/>
  <c r="O220" i="2"/>
  <c r="M221" i="2"/>
  <c r="N221" i="2" s="1"/>
  <c r="O221" i="2" s="1"/>
  <c r="M222" i="2"/>
  <c r="N222" i="2"/>
  <c r="O222" i="2" s="1"/>
  <c r="M223" i="2"/>
  <c r="N223" i="2"/>
  <c r="O223" i="2"/>
  <c r="M224" i="2"/>
  <c r="N224" i="2"/>
  <c r="O224" i="2"/>
  <c r="M225" i="2"/>
  <c r="N225" i="2"/>
  <c r="O225" i="2"/>
  <c r="M226" i="2"/>
  <c r="N226" i="2"/>
  <c r="O226" i="2" s="1"/>
  <c r="M227" i="2"/>
  <c r="N227" i="2"/>
  <c r="O227" i="2" s="1"/>
  <c r="M228" i="2"/>
  <c r="N228" i="2" s="1"/>
  <c r="O228" i="2" s="1"/>
  <c r="M229" i="2"/>
  <c r="N229" i="2" s="1"/>
  <c r="O229" i="2" s="1"/>
  <c r="M230" i="2"/>
  <c r="N230" i="2" s="1"/>
  <c r="O230" i="2"/>
  <c r="M231" i="2"/>
  <c r="N231" i="2"/>
  <c r="O231" i="2"/>
  <c r="M232" i="2"/>
  <c r="N232" i="2"/>
  <c r="O232" i="2"/>
  <c r="M233" i="2"/>
  <c r="N233" i="2" s="1"/>
  <c r="O233" i="2" s="1"/>
  <c r="M234" i="2"/>
  <c r="N234" i="2"/>
  <c r="O234" i="2" s="1"/>
  <c r="M235" i="2"/>
  <c r="N235" i="2"/>
  <c r="O235" i="2" s="1"/>
  <c r="M236" i="2"/>
  <c r="N236" i="2" s="1"/>
  <c r="O236" i="2" s="1"/>
  <c r="M237" i="2"/>
  <c r="N237" i="2"/>
  <c r="O237" i="2" s="1"/>
  <c r="M238" i="2"/>
  <c r="N238" i="2" s="1"/>
  <c r="O238" i="2" s="1"/>
  <c r="M239" i="2"/>
  <c r="N239" i="2" s="1"/>
  <c r="O239" i="2" s="1"/>
  <c r="M240" i="2"/>
  <c r="N240" i="2"/>
  <c r="O240" i="2"/>
  <c r="M241" i="2"/>
  <c r="N241" i="2"/>
  <c r="O241" i="2"/>
  <c r="M242" i="2"/>
  <c r="N242" i="2" s="1"/>
  <c r="O242" i="2" s="1"/>
  <c r="M243" i="2"/>
  <c r="N243" i="2"/>
  <c r="O243" i="2"/>
  <c r="M244" i="2"/>
  <c r="N244" i="2"/>
  <c r="O244" i="2"/>
  <c r="M245" i="2"/>
  <c r="N245" i="2"/>
  <c r="O245" i="2"/>
  <c r="M246" i="2"/>
  <c r="N246" i="2" s="1"/>
  <c r="O246" i="2" s="1"/>
  <c r="M247" i="2"/>
  <c r="N247" i="2" s="1"/>
  <c r="O247" i="2" s="1"/>
  <c r="M248" i="2"/>
  <c r="N248" i="2" s="1"/>
  <c r="O248" i="2"/>
  <c r="M249" i="2"/>
  <c r="N249" i="2"/>
  <c r="O249" i="2"/>
  <c r="M250" i="2"/>
  <c r="N250" i="2" s="1"/>
  <c r="O250" i="2" s="1"/>
  <c r="M251" i="2"/>
  <c r="N251" i="2" s="1"/>
  <c r="O251" i="2" s="1"/>
  <c r="M252" i="2"/>
  <c r="N252" i="2"/>
  <c r="O252" i="2"/>
  <c r="M253" i="2"/>
  <c r="N253" i="2" s="1"/>
  <c r="O253" i="2" s="1"/>
  <c r="M254" i="2"/>
  <c r="N254" i="2"/>
  <c r="O254" i="2" s="1"/>
  <c r="M255" i="2"/>
  <c r="N255" i="2"/>
  <c r="O255" i="2"/>
  <c r="M256" i="2"/>
  <c r="N256" i="2"/>
  <c r="O256" i="2"/>
  <c r="M257" i="2"/>
  <c r="N257" i="2" s="1"/>
  <c r="O257" i="2" s="1"/>
  <c r="M258" i="2"/>
  <c r="N258" i="2" s="1"/>
  <c r="O258" i="2" s="1"/>
  <c r="M259" i="2"/>
  <c r="N259" i="2"/>
  <c r="O259" i="2" s="1"/>
  <c r="M260" i="2"/>
  <c r="N260" i="2" s="1"/>
  <c r="O260" i="2" s="1"/>
  <c r="M261" i="2"/>
  <c r="N261" i="2" s="1"/>
  <c r="O261" i="2"/>
  <c r="M262" i="2"/>
  <c r="N262" i="2" s="1"/>
  <c r="O262" i="2"/>
  <c r="M263" i="2"/>
  <c r="N263" i="2" s="1"/>
  <c r="O263" i="2"/>
  <c r="M264" i="2"/>
  <c r="N264" i="2"/>
  <c r="O264" i="2"/>
  <c r="M265" i="2"/>
  <c r="N265" i="2" s="1"/>
  <c r="O265" i="2" s="1"/>
  <c r="M266" i="2"/>
  <c r="N266" i="2"/>
  <c r="O266" i="2"/>
  <c r="M267" i="2"/>
  <c r="N267" i="2" s="1"/>
  <c r="O267" i="2" s="1"/>
  <c r="M268" i="2"/>
  <c r="N268" i="2"/>
  <c r="O268" i="2" s="1"/>
  <c r="M269" i="2"/>
  <c r="N269" i="2"/>
  <c r="O269" i="2" s="1"/>
  <c r="M270" i="2"/>
  <c r="N270" i="2" s="1"/>
  <c r="O270" i="2" s="1"/>
  <c r="M271" i="2"/>
  <c r="N271" i="2"/>
  <c r="O271" i="2" s="1"/>
  <c r="M272" i="2"/>
  <c r="N272" i="2"/>
  <c r="O272" i="2"/>
  <c r="M273" i="2"/>
  <c r="N273" i="2"/>
  <c r="O273" i="2" s="1"/>
  <c r="M274" i="2"/>
  <c r="N274" i="2"/>
  <c r="O274" i="2" s="1"/>
  <c r="M275" i="2"/>
  <c r="N275" i="2"/>
  <c r="O275" i="2"/>
  <c r="M276" i="2"/>
  <c r="N276" i="2"/>
  <c r="O276" i="2"/>
  <c r="M277" i="2"/>
  <c r="N277" i="2"/>
  <c r="O277" i="2" s="1"/>
  <c r="M278" i="2"/>
  <c r="N278" i="2"/>
  <c r="O278" i="2"/>
  <c r="M279" i="2"/>
  <c r="N279" i="2" s="1"/>
  <c r="O279" i="2" s="1"/>
  <c r="M280" i="2"/>
  <c r="N280" i="2" s="1"/>
  <c r="O280" i="2"/>
  <c r="M281" i="2"/>
  <c r="N281" i="2"/>
  <c r="O281" i="2"/>
  <c r="M282" i="2"/>
  <c r="N282" i="2" s="1"/>
  <c r="O282" i="2" s="1"/>
  <c r="M283" i="2"/>
  <c r="N283" i="2"/>
  <c r="O283" i="2" s="1"/>
  <c r="M284" i="2"/>
  <c r="N284" i="2"/>
  <c r="O284" i="2"/>
  <c r="M285" i="2"/>
  <c r="N285" i="2" s="1"/>
  <c r="O285" i="2" s="1"/>
  <c r="M286" i="2"/>
  <c r="N286" i="2"/>
  <c r="O286" i="2" s="1"/>
  <c r="M287" i="2"/>
  <c r="N287" i="2"/>
  <c r="O287" i="2"/>
  <c r="M288" i="2"/>
  <c r="N288" i="2"/>
  <c r="O288" i="2" s="1"/>
  <c r="M289" i="2"/>
  <c r="N289" i="2" s="1"/>
  <c r="O289" i="2"/>
  <c r="M290" i="2"/>
  <c r="N290" i="2"/>
  <c r="O290" i="2" s="1"/>
  <c r="M291" i="2"/>
  <c r="N291" i="2"/>
  <c r="O291" i="2" s="1"/>
  <c r="M292" i="2"/>
  <c r="N292" i="2" s="1"/>
  <c r="O292" i="2" s="1"/>
  <c r="M293" i="2"/>
  <c r="N293" i="2" s="1"/>
  <c r="O293" i="2"/>
  <c r="M294" i="2"/>
  <c r="N294" i="2" s="1"/>
  <c r="O294" i="2" s="1"/>
  <c r="M295" i="2"/>
  <c r="N295" i="2"/>
  <c r="O295" i="2"/>
  <c r="M296" i="2"/>
  <c r="N296" i="2"/>
  <c r="O296" i="2"/>
  <c r="M297" i="2"/>
  <c r="N297" i="2" s="1"/>
  <c r="O297" i="2" s="1"/>
  <c r="M298" i="2"/>
  <c r="N298" i="2"/>
  <c r="O298" i="2"/>
  <c r="M299" i="2"/>
  <c r="N299" i="2"/>
  <c r="O299" i="2"/>
  <c r="M300" i="2"/>
  <c r="N300" i="2" s="1"/>
  <c r="O300" i="2" s="1"/>
  <c r="M301" i="2"/>
  <c r="N301" i="2" s="1"/>
  <c r="O301" i="2" s="1"/>
  <c r="M302" i="2"/>
  <c r="N302" i="2" s="1"/>
  <c r="O302" i="2"/>
  <c r="M303" i="2"/>
  <c r="N303" i="2" s="1"/>
  <c r="O303" i="2" s="1"/>
  <c r="M304" i="2"/>
  <c r="N304" i="2"/>
  <c r="O304" i="2"/>
  <c r="M305" i="2"/>
  <c r="N305" i="2"/>
  <c r="O305" i="2"/>
  <c r="M306" i="2"/>
  <c r="N306" i="2"/>
  <c r="O306" i="2" s="1"/>
  <c r="M307" i="2"/>
  <c r="N307" i="2"/>
  <c r="O307" i="2"/>
  <c r="M308" i="2"/>
  <c r="N308" i="2"/>
  <c r="O308" i="2"/>
  <c r="M309" i="2"/>
  <c r="N309" i="2"/>
  <c r="O309" i="2"/>
  <c r="M310" i="2"/>
  <c r="N310" i="2"/>
  <c r="O310" i="2" s="1"/>
  <c r="M311" i="2"/>
  <c r="N311" i="2"/>
  <c r="O311" i="2" s="1"/>
  <c r="M312" i="2"/>
  <c r="N312" i="2" s="1"/>
  <c r="O312" i="2" s="1"/>
  <c r="M313" i="2"/>
  <c r="N313" i="2"/>
  <c r="O313" i="2" s="1"/>
  <c r="M314" i="2"/>
  <c r="N314" i="2"/>
  <c r="O314" i="2" s="1"/>
  <c r="M315" i="2"/>
  <c r="N315" i="2"/>
  <c r="O315" i="2" s="1"/>
  <c r="M316" i="2"/>
  <c r="N316" i="2" s="1"/>
  <c r="O316" i="2"/>
  <c r="M317" i="2"/>
  <c r="N317" i="2" s="1"/>
  <c r="O317" i="2" s="1"/>
  <c r="M318" i="2"/>
  <c r="N318" i="2"/>
  <c r="O318" i="2" s="1"/>
  <c r="M319" i="2"/>
  <c r="N319" i="2"/>
  <c r="O319" i="2"/>
  <c r="M320" i="2"/>
  <c r="N320" i="2" s="1"/>
  <c r="O320" i="2" s="1"/>
  <c r="M321" i="2"/>
  <c r="N321" i="2"/>
  <c r="O321" i="2" s="1"/>
  <c r="M322" i="2"/>
  <c r="N322" i="2"/>
  <c r="O322" i="2" s="1"/>
  <c r="M323" i="2"/>
  <c r="N323" i="2"/>
  <c r="O323" i="2" s="1"/>
  <c r="M324" i="2"/>
  <c r="N324" i="2"/>
  <c r="O324" i="2"/>
  <c r="M325" i="2"/>
  <c r="N325" i="2" s="1"/>
  <c r="O325" i="2" s="1"/>
  <c r="M326" i="2"/>
  <c r="N326" i="2" s="1"/>
  <c r="O326" i="2" s="1"/>
  <c r="M327" i="2"/>
  <c r="N327" i="2"/>
  <c r="O327" i="2"/>
  <c r="M328" i="2"/>
  <c r="N328" i="2"/>
  <c r="O328" i="2"/>
  <c r="M329" i="2"/>
  <c r="N329" i="2" s="1"/>
  <c r="O329" i="2" s="1"/>
  <c r="M330" i="2"/>
  <c r="N330" i="2"/>
  <c r="O330" i="2"/>
  <c r="M331" i="2"/>
  <c r="N331" i="2" s="1"/>
  <c r="O331" i="2" s="1"/>
  <c r="M332" i="2"/>
  <c r="N332" i="2"/>
  <c r="O332" i="2"/>
  <c r="M333" i="2"/>
  <c r="N333" i="2" s="1"/>
  <c r="O333" i="2" s="1"/>
  <c r="M334" i="2"/>
  <c r="N334" i="2" s="1"/>
  <c r="O334" i="2" s="1"/>
  <c r="M335" i="2"/>
  <c r="N335" i="2"/>
  <c r="O335" i="2" s="1"/>
  <c r="M336" i="2"/>
  <c r="N336" i="2"/>
  <c r="O336" i="2"/>
  <c r="M337" i="2"/>
  <c r="N337" i="2"/>
  <c r="O337" i="2"/>
  <c r="M338" i="2"/>
  <c r="N338" i="2"/>
  <c r="O338" i="2" s="1"/>
  <c r="M339" i="2"/>
  <c r="N339" i="2"/>
  <c r="O339" i="2"/>
  <c r="M340" i="2"/>
  <c r="N340" i="2"/>
  <c r="O340" i="2"/>
  <c r="M341" i="2"/>
  <c r="N341" i="2"/>
  <c r="O341" i="2" s="1"/>
  <c r="M342" i="2"/>
  <c r="N342" i="2"/>
  <c r="O342" i="2" s="1"/>
  <c r="M343" i="2"/>
  <c r="N343" i="2"/>
  <c r="O343" i="2"/>
  <c r="M344" i="2"/>
  <c r="N344" i="2" s="1"/>
  <c r="O344" i="2" s="1"/>
  <c r="M345" i="2"/>
  <c r="N345" i="2"/>
  <c r="O345" i="2"/>
  <c r="M346" i="2"/>
  <c r="N346" i="2"/>
  <c r="O346" i="2" s="1"/>
  <c r="M347" i="2"/>
  <c r="N347" i="2" s="1"/>
  <c r="O347" i="2" s="1"/>
  <c r="M348" i="2"/>
  <c r="N348" i="2" s="1"/>
  <c r="O348" i="2" s="1"/>
  <c r="M349" i="2"/>
  <c r="N349" i="2" s="1"/>
  <c r="O349" i="2" s="1"/>
  <c r="M350" i="2"/>
  <c r="N350" i="2"/>
  <c r="O350" i="2" s="1"/>
  <c r="M351" i="2"/>
  <c r="N351" i="2"/>
  <c r="O351" i="2"/>
  <c r="M352" i="2"/>
  <c r="N352" i="2" s="1"/>
  <c r="O352" i="2" s="1"/>
  <c r="M353" i="2"/>
  <c r="N353" i="2" s="1"/>
  <c r="O353" i="2" s="1"/>
  <c r="M354" i="2"/>
  <c r="N354" i="2" s="1"/>
  <c r="O354" i="2"/>
  <c r="M355" i="2"/>
  <c r="N355" i="2"/>
  <c r="O355" i="2" s="1"/>
  <c r="M356" i="2"/>
  <c r="N356" i="2" s="1"/>
  <c r="O356" i="2" s="1"/>
  <c r="M357" i="2"/>
  <c r="N357" i="2" s="1"/>
  <c r="O357" i="2"/>
  <c r="M358" i="2"/>
  <c r="N358" i="2" s="1"/>
  <c r="O358" i="2" s="1"/>
  <c r="M359" i="2"/>
  <c r="N359" i="2" s="1"/>
  <c r="O359" i="2" s="1"/>
  <c r="M360" i="2"/>
  <c r="N360" i="2"/>
  <c r="O360" i="2"/>
  <c r="M361" i="2"/>
  <c r="N361" i="2" s="1"/>
  <c r="O361" i="2" s="1"/>
  <c r="M362" i="2"/>
  <c r="N362" i="2"/>
  <c r="O362" i="2" s="1"/>
  <c r="M363" i="2"/>
  <c r="N363" i="2" s="1"/>
  <c r="O363" i="2" s="1"/>
  <c r="M364" i="2"/>
  <c r="N364" i="2"/>
  <c r="O364" i="2"/>
  <c r="M365" i="2"/>
  <c r="N365" i="2"/>
  <c r="O365" i="2" s="1"/>
  <c r="M366" i="2"/>
  <c r="N366" i="2" s="1"/>
  <c r="O366" i="2" s="1"/>
  <c r="M367" i="2"/>
  <c r="N367" i="2"/>
  <c r="O367" i="2"/>
  <c r="M368" i="2"/>
  <c r="N368" i="2"/>
  <c r="O368" i="2" s="1"/>
  <c r="M369" i="2"/>
  <c r="N369" i="2"/>
  <c r="O369" i="2" s="1"/>
  <c r="M370" i="2"/>
  <c r="N370" i="2"/>
  <c r="O370" i="2" s="1"/>
  <c r="M371" i="2"/>
  <c r="N371" i="2"/>
  <c r="O371" i="2"/>
  <c r="M372" i="2"/>
  <c r="N372" i="2"/>
  <c r="O372" i="2"/>
  <c r="M373" i="2"/>
  <c r="N373" i="2"/>
  <c r="O373" i="2"/>
  <c r="M374" i="2"/>
  <c r="N374" i="2" s="1"/>
  <c r="O374" i="2" s="1"/>
  <c r="M375" i="2"/>
  <c r="N375" i="2" s="1"/>
  <c r="O375" i="2" s="1"/>
  <c r="M376" i="2"/>
  <c r="N376" i="2" s="1"/>
  <c r="O376" i="2"/>
  <c r="M377" i="2"/>
  <c r="N377" i="2"/>
  <c r="O377" i="2" s="1"/>
  <c r="M378" i="2"/>
  <c r="N378" i="2" s="1"/>
  <c r="O378" i="2" s="1"/>
  <c r="M379" i="2"/>
  <c r="N379" i="2"/>
  <c r="O379" i="2" s="1"/>
  <c r="M380" i="2"/>
  <c r="N380" i="2"/>
  <c r="O380" i="2" s="1"/>
  <c r="M381" i="2"/>
  <c r="N381" i="2" s="1"/>
  <c r="O381" i="2" s="1"/>
  <c r="M382" i="2"/>
  <c r="N382" i="2"/>
  <c r="O382" i="2" s="1"/>
  <c r="M383" i="2"/>
  <c r="N383" i="2"/>
  <c r="O383" i="2"/>
  <c r="M384" i="2"/>
  <c r="N384" i="2" s="1"/>
  <c r="O384" i="2" s="1"/>
  <c r="M385" i="2"/>
  <c r="N385" i="2" s="1"/>
  <c r="O385" i="2" s="1"/>
  <c r="M386" i="2"/>
  <c r="N386" i="2"/>
  <c r="O386" i="2"/>
  <c r="M387" i="2"/>
  <c r="N387" i="2"/>
  <c r="O387" i="2" s="1"/>
  <c r="M388" i="2"/>
  <c r="N388" i="2"/>
  <c r="O388" i="2" s="1"/>
  <c r="M389" i="2"/>
  <c r="N389" i="2" s="1"/>
  <c r="O389" i="2" s="1"/>
  <c r="M390" i="2"/>
  <c r="N390" i="2" s="1"/>
  <c r="O390" i="2" s="1"/>
  <c r="M391" i="2"/>
  <c r="N391" i="2"/>
  <c r="O391" i="2"/>
  <c r="M392" i="2"/>
  <c r="N392" i="2"/>
  <c r="O392" i="2"/>
  <c r="M393" i="2"/>
  <c r="N393" i="2" s="1"/>
  <c r="O393" i="2" s="1"/>
  <c r="M394" i="2"/>
  <c r="N394" i="2"/>
  <c r="O394" i="2" s="1"/>
  <c r="M395" i="2"/>
  <c r="N395" i="2" s="1"/>
  <c r="O395" i="2" s="1"/>
  <c r="M396" i="2"/>
  <c r="N396" i="2" s="1"/>
  <c r="O396" i="2" s="1"/>
  <c r="M397" i="2"/>
  <c r="N397" i="2"/>
  <c r="O397" i="2" s="1"/>
  <c r="M398" i="2"/>
  <c r="N398" i="2" s="1"/>
  <c r="O398" i="2"/>
  <c r="M399" i="2"/>
  <c r="N399" i="2"/>
  <c r="O399" i="2"/>
  <c r="M400" i="2"/>
  <c r="N400" i="2"/>
  <c r="O400" i="2"/>
  <c r="M401" i="2"/>
  <c r="N401" i="2"/>
  <c r="O401" i="2" s="1"/>
  <c r="M402" i="2"/>
  <c r="N402" i="2" s="1"/>
  <c r="O402" i="2" s="1"/>
  <c r="M403" i="2"/>
  <c r="N403" i="2"/>
  <c r="O403" i="2"/>
  <c r="M404" i="2"/>
  <c r="N404" i="2"/>
  <c r="O404" i="2"/>
  <c r="M405" i="2"/>
  <c r="N405" i="2" s="1"/>
  <c r="O405" i="2" s="1"/>
  <c r="M406" i="2"/>
  <c r="N406" i="2"/>
  <c r="O406" i="2" s="1"/>
  <c r="M407" i="2"/>
  <c r="N407" i="2"/>
  <c r="O407" i="2"/>
  <c r="M408" i="2"/>
  <c r="N408" i="2" s="1"/>
  <c r="O408" i="2" s="1"/>
  <c r="M409" i="2"/>
  <c r="N409" i="2"/>
  <c r="O409" i="2" s="1"/>
  <c r="M410" i="2"/>
  <c r="N410" i="2"/>
  <c r="O410" i="2" s="1"/>
  <c r="M411" i="2"/>
  <c r="N411" i="2" s="1"/>
  <c r="O411" i="2" s="1"/>
  <c r="M412" i="2"/>
  <c r="N412" i="2"/>
  <c r="O412" i="2"/>
  <c r="M413" i="2"/>
  <c r="N413" i="2" s="1"/>
  <c r="O413" i="2" s="1"/>
  <c r="M414" i="2"/>
  <c r="N414" i="2"/>
  <c r="O414" i="2" s="1"/>
  <c r="M415" i="2"/>
  <c r="N415" i="2"/>
  <c r="O415" i="2"/>
  <c r="M416" i="2"/>
  <c r="N416" i="2" s="1"/>
  <c r="O416" i="2" s="1"/>
  <c r="M417" i="2"/>
  <c r="N417" i="2"/>
  <c r="O417" i="2"/>
  <c r="M418" i="2"/>
  <c r="N418" i="2"/>
  <c r="O418" i="2" s="1"/>
  <c r="M419" i="2"/>
  <c r="N419" i="2"/>
  <c r="O419" i="2" s="1"/>
  <c r="M420" i="2"/>
  <c r="N420" i="2" s="1"/>
  <c r="O420" i="2"/>
  <c r="M421" i="2"/>
  <c r="N421" i="2" s="1"/>
  <c r="O421" i="2" s="1"/>
  <c r="M422" i="2"/>
  <c r="N422" i="2" s="1"/>
  <c r="O422" i="2"/>
  <c r="M423" i="2"/>
  <c r="N423" i="2"/>
  <c r="O423" i="2"/>
  <c r="M424" i="2"/>
  <c r="N424" i="2"/>
  <c r="O424" i="2"/>
  <c r="M425" i="2"/>
  <c r="N425" i="2" s="1"/>
  <c r="O425" i="2" s="1"/>
  <c r="M426" i="2"/>
  <c r="N426" i="2"/>
  <c r="O426" i="2" s="1"/>
  <c r="M427" i="2"/>
  <c r="N427" i="2"/>
  <c r="O427" i="2"/>
  <c r="M428" i="2"/>
  <c r="N428" i="2"/>
  <c r="O428" i="2" s="1"/>
  <c r="M429" i="2"/>
  <c r="N429" i="2" s="1"/>
  <c r="O429" i="2" s="1"/>
  <c r="M430" i="2"/>
  <c r="N430" i="2" s="1"/>
  <c r="O430" i="2"/>
  <c r="M431" i="2"/>
  <c r="N431" i="2"/>
  <c r="O431" i="2" s="1"/>
  <c r="M432" i="2"/>
  <c r="N432" i="2"/>
  <c r="O432" i="2"/>
  <c r="M433" i="2"/>
  <c r="N433" i="2"/>
  <c r="O433" i="2"/>
  <c r="M434" i="2"/>
  <c r="N434" i="2"/>
  <c r="O434" i="2" s="1"/>
  <c r="M435" i="2"/>
  <c r="N435" i="2"/>
  <c r="O435" i="2"/>
  <c r="M436" i="2"/>
  <c r="N436" i="2"/>
  <c r="O436" i="2"/>
  <c r="M437" i="2"/>
  <c r="N437" i="2"/>
  <c r="O437" i="2"/>
  <c r="M438" i="2"/>
  <c r="N438" i="2" s="1"/>
  <c r="O438" i="2" s="1"/>
  <c r="M439" i="2"/>
  <c r="N439" i="2"/>
  <c r="O439" i="2" s="1"/>
  <c r="M440" i="2"/>
  <c r="N440" i="2" s="1"/>
  <c r="O440" i="2" s="1"/>
  <c r="M441" i="2"/>
  <c r="N441" i="2"/>
  <c r="O441" i="2"/>
  <c r="M442" i="2"/>
  <c r="N442" i="2"/>
  <c r="O442" i="2" s="1"/>
  <c r="M443" i="2"/>
  <c r="N443" i="2"/>
  <c r="O443" i="2" s="1"/>
  <c r="M444" i="2"/>
  <c r="N444" i="2" s="1"/>
  <c r="O444" i="2" s="1"/>
  <c r="M445" i="2"/>
  <c r="N445" i="2" s="1"/>
  <c r="O445" i="2" s="1"/>
  <c r="M446" i="2"/>
  <c r="N446" i="2"/>
  <c r="O446" i="2" s="1"/>
  <c r="M447" i="2"/>
  <c r="N447" i="2"/>
  <c r="O447" i="2"/>
  <c r="M448" i="2"/>
  <c r="N448" i="2"/>
  <c r="O448" i="2"/>
  <c r="M449" i="2"/>
  <c r="N449" i="2" s="1"/>
  <c r="O449" i="2" s="1"/>
  <c r="M450" i="2"/>
  <c r="N450" i="2"/>
  <c r="O450" i="2"/>
  <c r="M451" i="2"/>
  <c r="N451" i="2"/>
  <c r="O451" i="2" s="1"/>
  <c r="M452" i="2"/>
  <c r="N452" i="2"/>
  <c r="O452" i="2" s="1"/>
  <c r="M453" i="2"/>
  <c r="N453" i="2" s="1"/>
  <c r="O453" i="2" s="1"/>
  <c r="M454" i="2"/>
  <c r="N454" i="2" s="1"/>
  <c r="O454" i="2" s="1"/>
  <c r="M455" i="2"/>
  <c r="N455" i="2"/>
  <c r="O455" i="2" s="1"/>
  <c r="M456" i="2"/>
  <c r="N456" i="2"/>
  <c r="O456" i="2"/>
  <c r="M457" i="2"/>
  <c r="N457" i="2" s="1"/>
  <c r="O457" i="2" s="1"/>
  <c r="M458" i="2"/>
  <c r="N458" i="2"/>
  <c r="O458" i="2" s="1"/>
  <c r="M459" i="2"/>
  <c r="N459" i="2" s="1"/>
  <c r="O459" i="2" s="1"/>
  <c r="M460" i="2"/>
  <c r="N460" i="2" s="1"/>
  <c r="O460" i="2" s="1"/>
  <c r="M461" i="2"/>
  <c r="N461" i="2"/>
  <c r="O461" i="2" s="1"/>
  <c r="M462" i="2"/>
  <c r="N462" i="2" s="1"/>
  <c r="O462" i="2"/>
  <c r="M463" i="2"/>
  <c r="N463" i="2"/>
  <c r="O463" i="2" s="1"/>
  <c r="M464" i="2"/>
  <c r="N464" i="2"/>
  <c r="O464" i="2"/>
  <c r="M465" i="2"/>
  <c r="N465" i="2"/>
  <c r="O465" i="2"/>
  <c r="M466" i="2"/>
  <c r="N466" i="2"/>
  <c r="O466" i="2" s="1"/>
  <c r="M467" i="2"/>
  <c r="N467" i="2"/>
  <c r="O467" i="2"/>
  <c r="M468" i="2"/>
  <c r="N468" i="2"/>
  <c r="O468" i="2"/>
  <c r="M469" i="2"/>
  <c r="N469" i="2" s="1"/>
  <c r="O469" i="2" s="1"/>
  <c r="M470" i="2"/>
  <c r="N470" i="2" s="1"/>
  <c r="O470" i="2" s="1"/>
  <c r="M471" i="2"/>
  <c r="N471" i="2"/>
  <c r="O471" i="2"/>
  <c r="M472" i="2"/>
  <c r="N472" i="2" s="1"/>
  <c r="O472" i="2"/>
  <c r="M473" i="2"/>
  <c r="N473" i="2"/>
  <c r="O473" i="2" s="1"/>
  <c r="M474" i="2"/>
  <c r="N474" i="2"/>
  <c r="O474" i="2" s="1"/>
  <c r="M475" i="2"/>
  <c r="N475" i="2" s="1"/>
  <c r="O475" i="2" s="1"/>
  <c r="M476" i="2"/>
  <c r="N476" i="2"/>
  <c r="O476" i="2"/>
  <c r="M477" i="2"/>
  <c r="N477" i="2" s="1"/>
  <c r="O477" i="2" s="1"/>
  <c r="M478" i="2"/>
  <c r="N478" i="2"/>
  <c r="O478" i="2" s="1"/>
  <c r="M479" i="2"/>
  <c r="N479" i="2"/>
  <c r="O479" i="2"/>
  <c r="M480" i="2"/>
  <c r="N480" i="2" s="1"/>
  <c r="O480" i="2" s="1"/>
  <c r="M481" i="2"/>
  <c r="N481" i="2"/>
  <c r="O481" i="2"/>
  <c r="M482" i="2"/>
  <c r="N482" i="2"/>
  <c r="O482" i="2"/>
  <c r="M483" i="2"/>
  <c r="N483" i="2"/>
  <c r="O483" i="2" s="1"/>
  <c r="M484" i="2"/>
  <c r="N484" i="2"/>
  <c r="O484" i="2"/>
  <c r="M485" i="2"/>
  <c r="N485" i="2" s="1"/>
  <c r="O485" i="2"/>
  <c r="M486" i="2"/>
  <c r="N486" i="2" s="1"/>
  <c r="O486" i="2"/>
  <c r="M487" i="2"/>
  <c r="N487" i="2"/>
  <c r="O487" i="2" s="1"/>
  <c r="M488" i="2"/>
  <c r="N488" i="2"/>
  <c r="O488" i="2"/>
  <c r="M489" i="2"/>
  <c r="N489" i="2" s="1"/>
  <c r="O489" i="2" s="1"/>
  <c r="M490" i="2"/>
  <c r="N490" i="2"/>
  <c r="O490" i="2" s="1"/>
  <c r="M491" i="2"/>
  <c r="N491" i="2"/>
  <c r="O491" i="2"/>
  <c r="M492" i="2"/>
  <c r="N492" i="2"/>
  <c r="O492" i="2" s="1"/>
  <c r="M493" i="2"/>
  <c r="N493" i="2" s="1"/>
  <c r="O493" i="2" s="1"/>
  <c r="M494" i="2"/>
  <c r="N494" i="2" s="1"/>
  <c r="O494" i="2"/>
  <c r="M495" i="2"/>
  <c r="N495" i="2"/>
  <c r="O495" i="2"/>
  <c r="M496" i="2"/>
  <c r="N496" i="2"/>
  <c r="O496" i="2" s="1"/>
  <c r="M497" i="2"/>
  <c r="N497" i="2"/>
  <c r="O497" i="2" s="1"/>
  <c r="M498" i="2"/>
  <c r="N498" i="2"/>
  <c r="O498" i="2" s="1"/>
  <c r="M499" i="2"/>
  <c r="N499" i="2"/>
  <c r="O499" i="2"/>
  <c r="M500" i="2"/>
  <c r="N500" i="2"/>
  <c r="O500" i="2"/>
  <c r="M501" i="2"/>
  <c r="N501" i="2" s="1"/>
  <c r="O501" i="2" s="1"/>
  <c r="M502" i="2"/>
  <c r="N502" i="2"/>
  <c r="O502" i="2"/>
  <c r="M503" i="2"/>
  <c r="N503" i="2"/>
  <c r="O503" i="2"/>
  <c r="M504" i="2"/>
  <c r="N504" i="2" s="1"/>
  <c r="O504" i="2"/>
  <c r="M505" i="2"/>
  <c r="N505" i="2"/>
  <c r="O505" i="2" s="1"/>
  <c r="M506" i="2"/>
  <c r="N506" i="2"/>
  <c r="O506" i="2" s="1"/>
  <c r="M507" i="2"/>
  <c r="N507" i="2"/>
  <c r="O507" i="2" s="1"/>
  <c r="M508" i="2"/>
  <c r="N508" i="2"/>
  <c r="O508" i="2" s="1"/>
  <c r="M509" i="2"/>
  <c r="N509" i="2" s="1"/>
  <c r="O509" i="2" s="1"/>
  <c r="M510" i="2"/>
  <c r="N510" i="2"/>
  <c r="O510" i="2" s="1"/>
  <c r="M511" i="2"/>
  <c r="N511" i="2"/>
  <c r="O511" i="2"/>
  <c r="M512" i="2"/>
  <c r="N512" i="2"/>
  <c r="O512" i="2"/>
  <c r="M513" i="2"/>
  <c r="N513" i="2"/>
  <c r="O513" i="2" s="1"/>
  <c r="M514" i="2"/>
  <c r="N514" i="2" s="1"/>
  <c r="O514" i="2" s="1"/>
  <c r="M515" i="2"/>
  <c r="N515" i="2"/>
  <c r="O515" i="2" s="1"/>
  <c r="M516" i="2"/>
  <c r="N516" i="2" s="1"/>
  <c r="O516" i="2" s="1"/>
  <c r="M517" i="2"/>
  <c r="N517" i="2" s="1"/>
  <c r="O517" i="2"/>
  <c r="M518" i="2"/>
  <c r="N518" i="2" s="1"/>
  <c r="O518" i="2"/>
  <c r="M519" i="2"/>
  <c r="N519" i="2" s="1"/>
  <c r="O519" i="2" s="1"/>
  <c r="M520" i="2"/>
  <c r="N520" i="2"/>
  <c r="O520" i="2"/>
  <c r="M521" i="2"/>
  <c r="N521" i="2" s="1"/>
  <c r="O521" i="2" s="1"/>
  <c r="M522" i="2"/>
  <c r="N522" i="2"/>
  <c r="O522" i="2"/>
  <c r="M523" i="2"/>
  <c r="N523" i="2"/>
  <c r="O523" i="2"/>
  <c r="M524" i="2"/>
  <c r="N524" i="2" s="1"/>
  <c r="O524" i="2" s="1"/>
  <c r="M525" i="2"/>
  <c r="N525" i="2" s="1"/>
  <c r="O525" i="2" s="1"/>
  <c r="M526" i="2"/>
  <c r="N526" i="2" s="1"/>
  <c r="O526" i="2"/>
  <c r="M527" i="2"/>
  <c r="N527" i="2" s="1"/>
  <c r="O527" i="2" s="1"/>
  <c r="M528" i="2"/>
  <c r="N528" i="2"/>
  <c r="O528" i="2"/>
  <c r="M529" i="2"/>
  <c r="N529" i="2"/>
  <c r="O529" i="2"/>
  <c r="M530" i="2"/>
  <c r="N530" i="2"/>
  <c r="O530" i="2" s="1"/>
  <c r="M531" i="2"/>
  <c r="N531" i="2"/>
  <c r="O531" i="2"/>
  <c r="M532" i="2"/>
  <c r="N532" i="2"/>
  <c r="O532" i="2"/>
  <c r="M533" i="2"/>
  <c r="N533" i="2"/>
  <c r="O533" i="2" s="1"/>
  <c r="M534" i="2"/>
  <c r="N534" i="2"/>
  <c r="O534" i="2" s="1"/>
  <c r="M535" i="2"/>
  <c r="N535" i="2"/>
  <c r="O535" i="2"/>
  <c r="M536" i="2"/>
  <c r="N536" i="2" s="1"/>
  <c r="O536" i="2"/>
  <c r="M537" i="2"/>
  <c r="N537" i="2"/>
  <c r="O537" i="2"/>
  <c r="M538" i="2"/>
  <c r="N538" i="2"/>
  <c r="O538" i="2" s="1"/>
  <c r="M539" i="2"/>
  <c r="N539" i="2" s="1"/>
  <c r="O539" i="2" s="1"/>
  <c r="M540" i="2"/>
  <c r="N540" i="2" s="1"/>
  <c r="O540" i="2" s="1"/>
  <c r="M541" i="2"/>
  <c r="N541" i="2" s="1"/>
  <c r="O541" i="2" s="1"/>
  <c r="M542" i="2"/>
  <c r="N542" i="2"/>
  <c r="O542" i="2" s="1"/>
  <c r="M543" i="2"/>
  <c r="N543" i="2"/>
  <c r="O543" i="2"/>
  <c r="M544" i="2"/>
  <c r="N544" i="2" s="1"/>
  <c r="O544" i="2" s="1"/>
  <c r="M545" i="2"/>
  <c r="N545" i="2" s="1"/>
  <c r="O545" i="2" s="1"/>
  <c r="M546" i="2"/>
  <c r="N546" i="2" s="1"/>
  <c r="O546" i="2" s="1"/>
  <c r="M547" i="2"/>
  <c r="N547" i="2"/>
  <c r="O547" i="2" s="1"/>
  <c r="M548" i="2"/>
  <c r="N548" i="2"/>
  <c r="O548" i="2"/>
  <c r="M549" i="2"/>
  <c r="N549" i="2" s="1"/>
  <c r="O549" i="2"/>
  <c r="M550" i="2"/>
  <c r="N550" i="2" s="1"/>
  <c r="O550" i="2"/>
  <c r="M551" i="2"/>
  <c r="N551" i="2" s="1"/>
  <c r="O551" i="2" s="1"/>
  <c r="M552" i="2"/>
  <c r="N552" i="2"/>
  <c r="O552" i="2"/>
  <c r="M553" i="2"/>
  <c r="N553" i="2" s="1"/>
  <c r="O553" i="2" s="1"/>
  <c r="M554" i="2"/>
  <c r="N554" i="2"/>
  <c r="O554" i="2"/>
  <c r="M555" i="2"/>
  <c r="N555" i="2"/>
  <c r="O555" i="2" s="1"/>
  <c r="M556" i="2"/>
  <c r="N556" i="2"/>
  <c r="O556" i="2"/>
  <c r="M557" i="2"/>
  <c r="N557" i="2" s="1"/>
  <c r="O557" i="2" s="1"/>
  <c r="M558" i="2"/>
  <c r="N558" i="2" s="1"/>
  <c r="O558" i="2" s="1"/>
  <c r="M559" i="2"/>
  <c r="N559" i="2" s="1"/>
  <c r="O559" i="2" s="1"/>
  <c r="M560" i="2"/>
  <c r="N560" i="2"/>
  <c r="O560" i="2"/>
  <c r="M561" i="2"/>
  <c r="N561" i="2"/>
  <c r="O561" i="2" s="1"/>
  <c r="M562" i="2"/>
  <c r="N562" i="2"/>
  <c r="O562" i="2" s="1"/>
  <c r="M563" i="2"/>
  <c r="N563" i="2"/>
  <c r="O563" i="2"/>
  <c r="M564" i="2"/>
  <c r="N564" i="2"/>
  <c r="O564" i="2"/>
  <c r="M565" i="2"/>
  <c r="N565" i="2"/>
  <c r="O565" i="2" s="1"/>
  <c r="M566" i="2"/>
  <c r="N566" i="2" s="1"/>
  <c r="O566" i="2" s="1"/>
  <c r="M567" i="2"/>
  <c r="N567" i="2"/>
  <c r="O567" i="2"/>
  <c r="M568" i="2"/>
  <c r="N568" i="2" s="1"/>
  <c r="O568" i="2"/>
  <c r="M569" i="2"/>
  <c r="N569" i="2"/>
  <c r="O569" i="2"/>
  <c r="M570" i="2"/>
  <c r="N570" i="2"/>
  <c r="O570" i="2" s="1"/>
  <c r="M571" i="2"/>
  <c r="N571" i="2"/>
  <c r="O571" i="2" s="1"/>
  <c r="M572" i="2"/>
  <c r="N572" i="2" s="1"/>
  <c r="O572" i="2" s="1"/>
  <c r="M573" i="2"/>
  <c r="N573" i="2" s="1"/>
  <c r="O573" i="2" s="1"/>
  <c r="M574" i="2"/>
  <c r="N574" i="2"/>
  <c r="O574" i="2" s="1"/>
  <c r="M575" i="2"/>
  <c r="N575" i="2"/>
  <c r="O575" i="2"/>
  <c r="M576" i="2"/>
  <c r="N576" i="2"/>
  <c r="O576" i="2" s="1"/>
  <c r="M577" i="2"/>
  <c r="N577" i="2" s="1"/>
  <c r="O577" i="2" s="1"/>
  <c r="M578" i="2"/>
  <c r="N578" i="2" s="1"/>
  <c r="O578" i="2"/>
  <c r="M579" i="2"/>
  <c r="N579" i="2"/>
  <c r="O579" i="2" s="1"/>
  <c r="M580" i="2"/>
  <c r="N580" i="2" s="1"/>
  <c r="O580" i="2" s="1"/>
  <c r="M581" i="2"/>
  <c r="N581" i="2" s="1"/>
  <c r="O581" i="2"/>
  <c r="M582" i="2"/>
  <c r="N582" i="2" s="1"/>
  <c r="O582" i="2"/>
  <c r="M583" i="2"/>
  <c r="N583" i="2"/>
  <c r="O583" i="2"/>
  <c r="M584" i="2"/>
  <c r="N584" i="2"/>
  <c r="O584" i="2"/>
  <c r="M585" i="2"/>
  <c r="N585" i="2" s="1"/>
  <c r="O585" i="2" s="1"/>
  <c r="M586" i="2"/>
  <c r="N586" i="2"/>
  <c r="O586" i="2"/>
  <c r="M587" i="2"/>
  <c r="N587" i="2"/>
  <c r="O587" i="2" s="1"/>
  <c r="M588" i="2"/>
  <c r="N588" i="2"/>
  <c r="O588" i="2"/>
  <c r="M589" i="2"/>
  <c r="N589" i="2"/>
  <c r="O589" i="2" s="1"/>
  <c r="M590" i="2"/>
  <c r="N590" i="2" s="1"/>
  <c r="O590" i="2" s="1"/>
  <c r="M591" i="2"/>
  <c r="N591" i="2" s="1"/>
  <c r="O591" i="2"/>
  <c r="M592" i="2"/>
  <c r="N592" i="2"/>
  <c r="O592" i="2" s="1"/>
  <c r="M593" i="2"/>
  <c r="N593" i="2"/>
  <c r="O593" i="2"/>
  <c r="M594" i="2"/>
  <c r="N594" i="2" s="1"/>
  <c r="O594" i="2" s="1"/>
  <c r="M595" i="2"/>
  <c r="N595" i="2"/>
  <c r="O595" i="2"/>
  <c r="M596" i="2"/>
  <c r="N596" i="2"/>
  <c r="O596" i="2"/>
  <c r="M597" i="2"/>
  <c r="N597" i="2" s="1"/>
  <c r="O597" i="2" s="1"/>
  <c r="M598" i="2"/>
  <c r="N598" i="2"/>
  <c r="O598" i="2"/>
  <c r="M599" i="2"/>
  <c r="N599" i="2"/>
  <c r="O599" i="2"/>
  <c r="M600" i="2"/>
  <c r="N600" i="2" s="1"/>
  <c r="O600" i="2" s="1"/>
  <c r="M601" i="2"/>
  <c r="N601" i="2"/>
  <c r="O601" i="2" s="1"/>
  <c r="M602" i="2"/>
  <c r="N602" i="2"/>
  <c r="O602" i="2" s="1"/>
  <c r="M603" i="2"/>
  <c r="N603" i="2" s="1"/>
  <c r="O603" i="2" s="1"/>
  <c r="M604" i="2"/>
  <c r="N604" i="2"/>
  <c r="O604" i="2"/>
  <c r="M605" i="2"/>
  <c r="N605" i="2" s="1"/>
  <c r="O605" i="2" s="1"/>
  <c r="M606" i="2"/>
  <c r="N606" i="2"/>
  <c r="O606" i="2" s="1"/>
  <c r="M607" i="2"/>
  <c r="N607" i="2"/>
  <c r="O607" i="2"/>
  <c r="M608" i="2"/>
  <c r="N608" i="2"/>
  <c r="O608" i="2"/>
  <c r="M609" i="2"/>
  <c r="N609" i="2"/>
  <c r="O609" i="2"/>
  <c r="M610" i="2"/>
  <c r="N610" i="2"/>
  <c r="O610" i="2"/>
  <c r="M611" i="2"/>
  <c r="N611" i="2"/>
  <c r="O611" i="2" s="1"/>
  <c r="M612" i="2"/>
  <c r="N612" i="2"/>
  <c r="O612" i="2" s="1"/>
  <c r="M613" i="2"/>
  <c r="N613" i="2" s="1"/>
  <c r="O613" i="2" s="1"/>
  <c r="M614" i="2"/>
  <c r="N614" i="2" s="1"/>
  <c r="O614" i="2"/>
  <c r="M615" i="2"/>
  <c r="N615" i="2"/>
  <c r="O615" i="2"/>
  <c r="M616" i="2"/>
  <c r="N616" i="2"/>
  <c r="O616" i="2"/>
  <c r="M617" i="2"/>
  <c r="N617" i="2" s="1"/>
  <c r="O617" i="2" s="1"/>
  <c r="M618" i="2"/>
  <c r="N618" i="2"/>
  <c r="O618" i="2" s="1"/>
  <c r="M619" i="2"/>
  <c r="N619" i="2"/>
  <c r="O619" i="2"/>
  <c r="M620" i="2"/>
  <c r="N620" i="2" s="1"/>
  <c r="O620" i="2" s="1"/>
  <c r="M621" i="2"/>
  <c r="N621" i="2" s="1"/>
  <c r="O621" i="2" s="1"/>
  <c r="M622" i="2"/>
  <c r="N622" i="2" s="1"/>
  <c r="O622" i="2"/>
  <c r="M623" i="2"/>
  <c r="N623" i="2"/>
  <c r="O623" i="2"/>
  <c r="M624" i="2"/>
  <c r="N624" i="2"/>
  <c r="O624" i="2"/>
  <c r="M625" i="2"/>
  <c r="N625" i="2"/>
  <c r="O625" i="2"/>
  <c r="M626" i="2"/>
  <c r="N626" i="2" s="1"/>
  <c r="O626" i="2" s="1"/>
  <c r="M627" i="2"/>
  <c r="N627" i="2"/>
  <c r="O627" i="2"/>
  <c r="M628" i="2"/>
  <c r="N628" i="2"/>
  <c r="O628" i="2"/>
  <c r="M629" i="2"/>
  <c r="N629" i="2" s="1"/>
  <c r="O629" i="2"/>
  <c r="M630" i="2"/>
  <c r="N630" i="2"/>
  <c r="O630" i="2" s="1"/>
  <c r="M631" i="2"/>
  <c r="N631" i="2"/>
  <c r="O631" i="2"/>
  <c r="M632" i="2"/>
  <c r="N632" i="2" s="1"/>
  <c r="O632" i="2" s="1"/>
  <c r="M633" i="2"/>
  <c r="N633" i="2"/>
  <c r="O633" i="2"/>
  <c r="M634" i="2"/>
  <c r="N634" i="2" s="1"/>
  <c r="O634" i="2" s="1"/>
  <c r="M635" i="2"/>
  <c r="N635" i="2"/>
  <c r="O635" i="2" s="1"/>
  <c r="M636" i="2"/>
  <c r="N636" i="2" s="1"/>
  <c r="O636" i="2" s="1"/>
  <c r="M637" i="2"/>
  <c r="N637" i="2" s="1"/>
  <c r="O637" i="2" s="1"/>
  <c r="M638" i="2"/>
  <c r="N638" i="2"/>
  <c r="O638" i="2" s="1"/>
  <c r="M639" i="2"/>
  <c r="N639" i="2"/>
  <c r="O639" i="2"/>
  <c r="M640" i="2"/>
  <c r="N640" i="2"/>
  <c r="O640" i="2" s="1"/>
  <c r="M641" i="2"/>
  <c r="N641" i="2"/>
  <c r="O641" i="2"/>
  <c r="M642" i="2"/>
  <c r="N642" i="2" s="1"/>
  <c r="O642" i="2"/>
  <c r="M643" i="2"/>
  <c r="N643" i="2"/>
  <c r="O643" i="2" s="1"/>
  <c r="M644" i="2"/>
  <c r="N644" i="2" s="1"/>
  <c r="O644" i="2" s="1"/>
  <c r="M645" i="2"/>
  <c r="N645" i="2" s="1"/>
  <c r="O645" i="2" s="1"/>
  <c r="M646" i="2"/>
  <c r="N646" i="2" s="1"/>
  <c r="O646" i="2" s="1"/>
  <c r="M647" i="2"/>
  <c r="N647" i="2"/>
  <c r="O647" i="2" s="1"/>
  <c r="M648" i="2"/>
  <c r="N648" i="2"/>
  <c r="O648" i="2"/>
  <c r="M649" i="2"/>
  <c r="N649" i="2" s="1"/>
  <c r="O649" i="2" s="1"/>
  <c r="M650" i="2"/>
  <c r="N650" i="2"/>
  <c r="O650" i="2"/>
  <c r="M651" i="2"/>
  <c r="N651" i="2"/>
  <c r="O651" i="2"/>
  <c r="M652" i="2"/>
  <c r="N652" i="2" s="1"/>
  <c r="O652" i="2" s="1"/>
  <c r="M653" i="2"/>
  <c r="N653" i="2"/>
  <c r="O653" i="2" s="1"/>
  <c r="M654" i="2"/>
  <c r="N654" i="2" s="1"/>
  <c r="O654" i="2"/>
  <c r="M655" i="2"/>
  <c r="N655" i="2"/>
  <c r="O655" i="2" s="1"/>
  <c r="M656" i="2"/>
  <c r="N656" i="2"/>
  <c r="O656" i="2"/>
  <c r="M657" i="2"/>
  <c r="N657" i="2"/>
  <c r="O657" i="2" s="1"/>
  <c r="M658" i="2"/>
  <c r="N658" i="2"/>
  <c r="O658" i="2" s="1"/>
  <c r="M659" i="2"/>
  <c r="N659" i="2"/>
  <c r="O659" i="2"/>
  <c r="M660" i="2"/>
  <c r="N660" i="2"/>
  <c r="O660" i="2"/>
  <c r="M661" i="2"/>
  <c r="N661" i="2"/>
  <c r="O661" i="2" s="1"/>
  <c r="M662" i="2"/>
  <c r="N662" i="2"/>
  <c r="O662" i="2"/>
  <c r="M663" i="2"/>
  <c r="N663" i="2"/>
  <c r="O663" i="2" s="1"/>
  <c r="M664" i="2"/>
  <c r="N664" i="2" s="1"/>
  <c r="O664" i="2" s="1"/>
  <c r="M665" i="2"/>
  <c r="N665" i="2"/>
  <c r="O665" i="2" s="1"/>
  <c r="M666" i="2"/>
  <c r="N666" i="2"/>
  <c r="O666" i="2" s="1"/>
  <c r="M667" i="2"/>
  <c r="N667" i="2"/>
  <c r="O667" i="2" s="1"/>
  <c r="M668" i="2"/>
  <c r="N668" i="2"/>
  <c r="O668" i="2"/>
  <c r="M669" i="2"/>
  <c r="N669" i="2" s="1"/>
  <c r="O669" i="2" s="1"/>
  <c r="M670" i="2"/>
  <c r="N670" i="2"/>
  <c r="O670" i="2" s="1"/>
  <c r="M671" i="2"/>
  <c r="N671" i="2"/>
  <c r="O671" i="2" s="1"/>
  <c r="M672" i="2"/>
  <c r="N672" i="2"/>
  <c r="O672" i="2" s="1"/>
  <c r="M673" i="2"/>
  <c r="N673" i="2"/>
  <c r="O673" i="2"/>
  <c r="M674" i="2"/>
  <c r="N674" i="2" s="1"/>
  <c r="O674" i="2" s="1"/>
  <c r="M675" i="2"/>
  <c r="N675" i="2"/>
  <c r="O675" i="2" s="1"/>
  <c r="M676" i="2"/>
  <c r="N676" i="2"/>
  <c r="O676" i="2"/>
  <c r="M677" i="2"/>
  <c r="N677" i="2" s="1"/>
  <c r="O677" i="2" s="1"/>
  <c r="M678" i="2"/>
  <c r="N678" i="2" s="1"/>
  <c r="O678" i="2" s="1"/>
  <c r="M679" i="2"/>
  <c r="N679" i="2"/>
  <c r="O679" i="2" s="1"/>
  <c r="M680" i="2"/>
  <c r="N680" i="2"/>
  <c r="O680" i="2"/>
  <c r="M681" i="2"/>
  <c r="N681" i="2" s="1"/>
  <c r="O681" i="2" s="1"/>
  <c r="M682" i="2"/>
  <c r="N682" i="2"/>
  <c r="O682" i="2"/>
  <c r="M683" i="2"/>
  <c r="N683" i="2" s="1"/>
  <c r="O683" i="2" s="1"/>
  <c r="M684" i="2"/>
  <c r="N684" i="2"/>
  <c r="O684" i="2"/>
  <c r="M685" i="2"/>
  <c r="N685" i="2"/>
  <c r="O685" i="2" s="1"/>
  <c r="M686" i="2"/>
  <c r="N686" i="2" s="1"/>
  <c r="O686" i="2"/>
  <c r="M687" i="2"/>
  <c r="N687" i="2" s="1"/>
  <c r="O687" i="2" s="1"/>
  <c r="M688" i="2"/>
  <c r="N688" i="2"/>
  <c r="O688" i="2"/>
  <c r="M689" i="2"/>
  <c r="N689" i="2"/>
  <c r="O689" i="2"/>
  <c r="M690" i="2"/>
  <c r="N690" i="2" s="1"/>
  <c r="O690" i="2" s="1"/>
  <c r="M691" i="2"/>
  <c r="N691" i="2"/>
  <c r="O691" i="2"/>
  <c r="M692" i="2"/>
  <c r="N692" i="2"/>
  <c r="O692" i="2"/>
  <c r="M693" i="2"/>
  <c r="N693" i="2" s="1"/>
  <c r="O693" i="2" s="1"/>
  <c r="M694" i="2"/>
  <c r="N694" i="2" s="1"/>
  <c r="O694" i="2" s="1"/>
  <c r="M695" i="2"/>
  <c r="N695" i="2" s="1"/>
  <c r="O695" i="2" s="1"/>
  <c r="M696" i="2"/>
  <c r="N696" i="2" s="1"/>
  <c r="O696" i="2"/>
  <c r="M697" i="2"/>
  <c r="N697" i="2"/>
  <c r="O697" i="2"/>
  <c r="M698" i="2"/>
  <c r="N698" i="2"/>
  <c r="O698" i="2" s="1"/>
  <c r="M699" i="2"/>
  <c r="N699" i="2" s="1"/>
  <c r="O699" i="2" s="1"/>
  <c r="M700" i="2"/>
  <c r="N700" i="2" s="1"/>
  <c r="O700" i="2" s="1"/>
  <c r="M701" i="2"/>
  <c r="N701" i="2" s="1"/>
  <c r="O701" i="2" s="1"/>
  <c r="M702" i="2"/>
  <c r="N702" i="2"/>
  <c r="O702" i="2" s="1"/>
  <c r="M703" i="2"/>
  <c r="N703" i="2"/>
  <c r="O703" i="2" s="1"/>
  <c r="M704" i="2"/>
  <c r="N704" i="2"/>
  <c r="O704" i="2"/>
  <c r="M705" i="2"/>
  <c r="N705" i="2"/>
  <c r="O705" i="2"/>
  <c r="M706" i="2"/>
  <c r="N706" i="2"/>
  <c r="O706" i="2" s="1"/>
  <c r="M707" i="2"/>
  <c r="N707" i="2"/>
  <c r="O707" i="2" s="1"/>
  <c r="M708" i="2"/>
  <c r="N708" i="2" s="1"/>
  <c r="O708" i="2" s="1"/>
  <c r="M709" i="2"/>
  <c r="N709" i="2" s="1"/>
  <c r="O709" i="2"/>
  <c r="M710" i="2"/>
  <c r="N710" i="2" s="1"/>
  <c r="O710" i="2"/>
  <c r="M711" i="2"/>
  <c r="N711" i="2"/>
  <c r="O711" i="2"/>
  <c r="M712" i="2"/>
  <c r="N712" i="2"/>
  <c r="O712" i="2"/>
  <c r="M713" i="2"/>
  <c r="N713" i="2" s="1"/>
  <c r="O713" i="2" s="1"/>
  <c r="M714" i="2"/>
  <c r="N714" i="2" s="1"/>
  <c r="O714" i="2" s="1"/>
  <c r="M715" i="2"/>
  <c r="N715" i="2" s="1"/>
  <c r="O715" i="2" s="1"/>
  <c r="M716" i="2"/>
  <c r="N716" i="2" s="1"/>
  <c r="O716" i="2" s="1"/>
  <c r="M717" i="2"/>
  <c r="N717" i="2"/>
  <c r="O717" i="2" s="1"/>
  <c r="M718" i="2"/>
  <c r="N718" i="2" s="1"/>
  <c r="O718" i="2"/>
  <c r="M719" i="2"/>
  <c r="N719" i="2" s="1"/>
  <c r="O719" i="2" s="1"/>
  <c r="M720" i="2"/>
  <c r="N720" i="2"/>
  <c r="O720" i="2"/>
  <c r="M721" i="2"/>
  <c r="N721" i="2"/>
  <c r="O721" i="2"/>
  <c r="M722" i="2"/>
  <c r="N722" i="2" s="1"/>
  <c r="O722" i="2" s="1"/>
  <c r="M723" i="2"/>
  <c r="N723" i="2"/>
  <c r="O723" i="2"/>
  <c r="M724" i="2"/>
  <c r="N724" i="2"/>
  <c r="O724" i="2"/>
  <c r="M725" i="2"/>
  <c r="N725" i="2" s="1"/>
  <c r="O725" i="2" s="1"/>
  <c r="M726" i="2"/>
  <c r="N726" i="2" s="1"/>
  <c r="O726" i="2" s="1"/>
  <c r="M727" i="2"/>
  <c r="N727" i="2"/>
  <c r="O727" i="2" s="1"/>
  <c r="M728" i="2"/>
  <c r="N728" i="2" s="1"/>
  <c r="O728" i="2" s="1"/>
  <c r="M729" i="2"/>
  <c r="N729" i="2"/>
  <c r="O729" i="2"/>
  <c r="M730" i="2"/>
  <c r="N730" i="2"/>
  <c r="O730" i="2" s="1"/>
  <c r="M731" i="2"/>
  <c r="N731" i="2"/>
  <c r="O731" i="2" s="1"/>
  <c r="M732" i="2"/>
  <c r="N732" i="2" s="1"/>
  <c r="O732" i="2"/>
  <c r="M733" i="2"/>
  <c r="N733" i="2" s="1"/>
  <c r="O733" i="2" s="1"/>
  <c r="M734" i="2"/>
  <c r="N734" i="2"/>
  <c r="O734" i="2" s="1"/>
  <c r="M735" i="2"/>
  <c r="N735" i="2"/>
  <c r="O735" i="2"/>
  <c r="M736" i="2"/>
  <c r="N736" i="2"/>
  <c r="O736" i="2"/>
  <c r="M737" i="2"/>
  <c r="N737" i="2"/>
  <c r="O737" i="2"/>
  <c r="M738" i="2"/>
  <c r="N738" i="2"/>
  <c r="O738" i="2" s="1"/>
  <c r="M739" i="2"/>
  <c r="N739" i="2"/>
  <c r="O739" i="2" s="1"/>
  <c r="M740" i="2"/>
  <c r="N740" i="2" s="1"/>
  <c r="O740" i="2" s="1"/>
  <c r="M741" i="2"/>
  <c r="N741" i="2" s="1"/>
  <c r="O741" i="2" s="1"/>
  <c r="M742" i="2"/>
  <c r="N742" i="2" s="1"/>
  <c r="O742" i="2"/>
  <c r="M743" i="2"/>
  <c r="N743" i="2" s="1"/>
  <c r="O743" i="2"/>
  <c r="M744" i="2"/>
  <c r="N744" i="2"/>
  <c r="O744" i="2"/>
  <c r="M745" i="2"/>
  <c r="N745" i="2" s="1"/>
  <c r="O745" i="2" s="1"/>
  <c r="M746" i="2"/>
  <c r="N746" i="2"/>
  <c r="O746" i="2" s="1"/>
  <c r="M747" i="2"/>
  <c r="N747" i="2"/>
  <c r="O747" i="2" s="1"/>
  <c r="M748" i="2"/>
  <c r="N748" i="2"/>
  <c r="O748" i="2"/>
  <c r="M749" i="2"/>
  <c r="N749" i="2" s="1"/>
  <c r="O749" i="2" s="1"/>
  <c r="M750" i="2"/>
  <c r="N750" i="2" s="1"/>
  <c r="O750" i="2"/>
  <c r="M751" i="2"/>
  <c r="N751" i="2"/>
  <c r="O751" i="2" s="1"/>
  <c r="M752" i="2"/>
  <c r="N752" i="2"/>
  <c r="O752" i="2" s="1"/>
  <c r="M753" i="2"/>
  <c r="N753" i="2"/>
  <c r="O753" i="2"/>
  <c r="M754" i="2"/>
  <c r="N754" i="2"/>
  <c r="O754" i="2" s="1"/>
  <c r="M755" i="2"/>
  <c r="N755" i="2"/>
  <c r="O755" i="2"/>
  <c r="M756" i="2"/>
  <c r="N756" i="2"/>
  <c r="O756" i="2"/>
  <c r="M757" i="2"/>
  <c r="N757" i="2"/>
  <c r="O757" i="2"/>
  <c r="M758" i="2"/>
  <c r="N758" i="2" s="1"/>
  <c r="O758" i="2" s="1"/>
  <c r="M759" i="2"/>
  <c r="N759" i="2" s="1"/>
  <c r="O759" i="2" s="1"/>
  <c r="M760" i="2"/>
  <c r="N760" i="2" s="1"/>
  <c r="O760" i="2"/>
  <c r="M761" i="2"/>
  <c r="N761" i="2"/>
  <c r="O761" i="2"/>
  <c r="M762" i="2"/>
  <c r="N762" i="2" s="1"/>
  <c r="O762" i="2" s="1"/>
  <c r="M763" i="2"/>
  <c r="N763" i="2"/>
  <c r="O763" i="2"/>
  <c r="M764" i="2"/>
  <c r="N764" i="2"/>
  <c r="O764" i="2" s="1"/>
  <c r="M765" i="2"/>
  <c r="N765" i="2" s="1"/>
  <c r="O765" i="2" s="1"/>
  <c r="M766" i="2"/>
  <c r="N766" i="2" s="1"/>
  <c r="O766" i="2" s="1"/>
  <c r="M767" i="2"/>
  <c r="N767" i="2"/>
  <c r="O767" i="2"/>
  <c r="M768" i="2"/>
  <c r="N768" i="2"/>
  <c r="O768" i="2" s="1"/>
  <c r="M769" i="2"/>
  <c r="N769" i="2"/>
  <c r="O769" i="2"/>
  <c r="M770" i="2"/>
  <c r="N770" i="2"/>
  <c r="O770" i="2" s="1"/>
  <c r="M771" i="2"/>
  <c r="N771" i="2"/>
  <c r="O771" i="2" s="1"/>
  <c r="M772" i="2"/>
  <c r="N772" i="2"/>
  <c r="O772" i="2"/>
  <c r="M773" i="2"/>
  <c r="N773" i="2" s="1"/>
  <c r="O773" i="2"/>
  <c r="M774" i="2"/>
  <c r="N774" i="2" s="1"/>
  <c r="O774" i="2" s="1"/>
  <c r="M775" i="2"/>
  <c r="N775" i="2" s="1"/>
  <c r="O775" i="2" s="1"/>
  <c r="M776" i="2"/>
  <c r="N776" i="2"/>
  <c r="O776" i="2"/>
  <c r="M777" i="2"/>
  <c r="N777" i="2" s="1"/>
  <c r="O777" i="2" s="1"/>
  <c r="M778" i="2"/>
  <c r="N778" i="2"/>
  <c r="O778" i="2" s="1"/>
  <c r="M779" i="2"/>
  <c r="N779" i="2"/>
  <c r="O779" i="2"/>
  <c r="M780" i="2"/>
  <c r="N780" i="2" s="1"/>
  <c r="O780" i="2" s="1"/>
  <c r="M781" i="2"/>
  <c r="N781" i="2" s="1"/>
  <c r="O781" i="2" s="1"/>
  <c r="M782" i="2"/>
  <c r="N782" i="2" s="1"/>
  <c r="O782" i="2"/>
  <c r="M783" i="2"/>
  <c r="N783" i="2" s="1"/>
  <c r="O783" i="2" s="1"/>
  <c r="M784" i="2"/>
  <c r="N784" i="2"/>
  <c r="O784" i="2"/>
  <c r="M785" i="2"/>
  <c r="N785" i="2" s="1"/>
  <c r="O785" i="2"/>
  <c r="M786" i="2"/>
  <c r="N786" i="2"/>
  <c r="O786" i="2" s="1"/>
  <c r="M787" i="2"/>
  <c r="N787" i="2"/>
  <c r="O787" i="2"/>
  <c r="M788" i="2"/>
  <c r="N788" i="2"/>
  <c r="O788" i="2"/>
  <c r="M789" i="2"/>
  <c r="N789" i="2"/>
  <c r="O789" i="2"/>
  <c r="M790" i="2"/>
  <c r="N790" i="2" s="1"/>
  <c r="O790" i="2" s="1"/>
  <c r="M791" i="2"/>
  <c r="N791" i="2" s="1"/>
  <c r="O791" i="2" s="1"/>
  <c r="M792" i="2"/>
  <c r="N792" i="2" s="1"/>
  <c r="O792" i="2"/>
  <c r="M793" i="2"/>
  <c r="N793" i="2"/>
  <c r="O793" i="2" s="1"/>
  <c r="M794" i="2"/>
  <c r="N794" i="2"/>
  <c r="O794" i="2" s="1"/>
  <c r="M795" i="2"/>
  <c r="N795" i="2"/>
  <c r="O795" i="2"/>
  <c r="M796" i="2"/>
  <c r="N796" i="2"/>
  <c r="O796" i="2"/>
  <c r="M797" i="2"/>
  <c r="N797" i="2" s="1"/>
  <c r="O797" i="2" s="1"/>
  <c r="M798" i="2"/>
  <c r="N798" i="2"/>
  <c r="O798" i="2" s="1"/>
  <c r="M799" i="2"/>
  <c r="N799" i="2"/>
  <c r="O799" i="2" s="1"/>
  <c r="M800" i="2"/>
  <c r="N800" i="2"/>
  <c r="O800" i="2" s="1"/>
  <c r="M801" i="2"/>
  <c r="N801" i="2"/>
  <c r="O801" i="2"/>
  <c r="M802" i="2"/>
  <c r="N802" i="2"/>
  <c r="O802" i="2" s="1"/>
  <c r="M803" i="2"/>
  <c r="N803" i="2"/>
  <c r="O803" i="2" s="1"/>
  <c r="M804" i="2"/>
  <c r="N804" i="2"/>
  <c r="O804" i="2"/>
  <c r="M805" i="2"/>
  <c r="N805" i="2" s="1"/>
  <c r="O805" i="2"/>
  <c r="M806" i="2"/>
  <c r="N806" i="2" s="1"/>
  <c r="O806" i="2" s="1"/>
  <c r="M807" i="2"/>
  <c r="N807" i="2" s="1"/>
  <c r="O807" i="2" s="1"/>
  <c r="M808" i="2"/>
  <c r="N808" i="2"/>
  <c r="O808" i="2"/>
  <c r="M809" i="2"/>
  <c r="N809" i="2" s="1"/>
  <c r="O809" i="2" s="1"/>
  <c r="M810" i="2"/>
  <c r="N810" i="2" s="1"/>
  <c r="O810" i="2" s="1"/>
  <c r="M811" i="2"/>
  <c r="N811" i="2" s="1"/>
  <c r="O811" i="2" s="1"/>
  <c r="M812" i="2"/>
  <c r="N812" i="2" s="1"/>
  <c r="O812" i="2" s="1"/>
  <c r="M813" i="2"/>
  <c r="N813" i="2" s="1"/>
  <c r="O813" i="2" s="1"/>
  <c r="M814" i="2"/>
  <c r="N814" i="2" s="1"/>
  <c r="O814" i="2"/>
  <c r="M815" i="2"/>
  <c r="N815" i="2"/>
  <c r="O815" i="2"/>
  <c r="M816" i="2"/>
  <c r="N816" i="2"/>
  <c r="O816" i="2" s="1"/>
  <c r="M817" i="2"/>
  <c r="N817" i="2"/>
  <c r="O817" i="2"/>
  <c r="M818" i="2"/>
  <c r="N818" i="2"/>
  <c r="O818" i="2" s="1"/>
  <c r="M819" i="2"/>
  <c r="N819" i="2"/>
  <c r="O819" i="2" s="1"/>
  <c r="M820" i="2"/>
  <c r="N820" i="2"/>
  <c r="O820" i="2"/>
  <c r="M821" i="2"/>
  <c r="N821" i="2"/>
  <c r="O821" i="2"/>
  <c r="M822" i="2"/>
  <c r="N822" i="2"/>
  <c r="O822" i="2" s="1"/>
  <c r="M823" i="2"/>
  <c r="N823" i="2"/>
  <c r="O823" i="2"/>
  <c r="M824" i="2"/>
  <c r="N824" i="2" s="1"/>
  <c r="O824" i="2" s="1"/>
  <c r="M825" i="2"/>
  <c r="N825" i="2"/>
  <c r="O825" i="2" s="1"/>
  <c r="M826" i="2"/>
  <c r="N826" i="2"/>
  <c r="O826" i="2" s="1"/>
  <c r="M827" i="2"/>
  <c r="N827" i="2"/>
  <c r="O827" i="2"/>
  <c r="M828" i="2"/>
  <c r="N828" i="2"/>
  <c r="O828" i="2" s="1"/>
  <c r="M829" i="2"/>
  <c r="N829" i="2" s="1"/>
  <c r="O829" i="2" s="1"/>
  <c r="M830" i="2"/>
  <c r="N830" i="2"/>
  <c r="O830" i="2" s="1"/>
  <c r="M831" i="2"/>
  <c r="N831" i="2"/>
  <c r="O831" i="2"/>
  <c r="M832" i="2"/>
  <c r="N832" i="2"/>
  <c r="O832" i="2"/>
  <c r="M833" i="2"/>
  <c r="N833" i="2"/>
  <c r="O833" i="2"/>
  <c r="M834" i="2"/>
  <c r="N834" i="2"/>
  <c r="O834" i="2"/>
  <c r="M835" i="2"/>
  <c r="N835" i="2"/>
  <c r="O835" i="2" s="1"/>
  <c r="M836" i="2"/>
  <c r="N836" i="2"/>
  <c r="O836" i="2" s="1"/>
  <c r="M837" i="2"/>
  <c r="N837" i="2" s="1"/>
  <c r="O837" i="2"/>
  <c r="M838" i="2"/>
  <c r="N838" i="2" s="1"/>
  <c r="O838" i="2" s="1"/>
  <c r="M839" i="2"/>
  <c r="N839" i="2"/>
  <c r="O839" i="2"/>
  <c r="M840" i="2"/>
  <c r="N840" i="2"/>
  <c r="O840" i="2"/>
  <c r="M841" i="2"/>
  <c r="N841" i="2" s="1"/>
  <c r="O841" i="2" s="1"/>
  <c r="M842" i="2"/>
  <c r="N842" i="2"/>
  <c r="O842" i="2"/>
  <c r="M843" i="2"/>
  <c r="N843" i="2"/>
  <c r="O843" i="2" s="1"/>
  <c r="M844" i="2"/>
  <c r="N844" i="2"/>
  <c r="O844" i="2"/>
  <c r="M845" i="2"/>
  <c r="N845" i="2"/>
  <c r="O845" i="2" s="1"/>
  <c r="M846" i="2"/>
  <c r="N846" i="2" s="1"/>
  <c r="O846" i="2" s="1"/>
  <c r="M847" i="2"/>
  <c r="N847" i="2"/>
  <c r="O847" i="2" s="1"/>
  <c r="M848" i="2"/>
  <c r="N848" i="2"/>
  <c r="O848" i="2"/>
  <c r="M849" i="2"/>
  <c r="N849" i="2" s="1"/>
  <c r="O849" i="2" s="1"/>
  <c r="M850" i="2"/>
  <c r="N850" i="2" s="1"/>
  <c r="O850" i="2" s="1"/>
  <c r="M851" i="2"/>
  <c r="N851" i="2"/>
  <c r="O851" i="2"/>
  <c r="M852" i="2"/>
  <c r="N852" i="2"/>
  <c r="O852" i="2"/>
  <c r="M853" i="2"/>
  <c r="N853" i="2" s="1"/>
  <c r="O853" i="2" s="1"/>
  <c r="M854" i="2"/>
  <c r="N854" i="2"/>
  <c r="O854" i="2"/>
  <c r="M855" i="2"/>
  <c r="N855" i="2"/>
  <c r="O855" i="2" s="1"/>
  <c r="M856" i="2"/>
  <c r="N856" i="2" s="1"/>
  <c r="O856" i="2"/>
  <c r="M857" i="2"/>
  <c r="N857" i="2"/>
  <c r="O857" i="2"/>
  <c r="M858" i="2"/>
  <c r="N858" i="2"/>
  <c r="O858" i="2" s="1"/>
  <c r="M859" i="2"/>
  <c r="N859" i="2" s="1"/>
  <c r="O859" i="2" s="1"/>
  <c r="M860" i="2"/>
  <c r="N860" i="2"/>
  <c r="O860" i="2" s="1"/>
  <c r="M861" i="2"/>
  <c r="N861" i="2" s="1"/>
  <c r="O861" i="2" s="1"/>
  <c r="M862" i="2"/>
  <c r="N862" i="2"/>
  <c r="O862" i="2" s="1"/>
  <c r="M863" i="2"/>
  <c r="N863" i="2"/>
  <c r="O863" i="2"/>
  <c r="M864" i="2"/>
  <c r="N864" i="2"/>
  <c r="O864" i="2"/>
  <c r="M865" i="2"/>
  <c r="N865" i="2"/>
  <c r="O865" i="2" s="1"/>
  <c r="M866" i="2"/>
  <c r="N866" i="2"/>
  <c r="O866" i="2"/>
  <c r="M867" i="2"/>
  <c r="N867" i="2"/>
  <c r="O867" i="2" s="1"/>
  <c r="M868" i="2"/>
  <c r="N868" i="2"/>
  <c r="O868" i="2"/>
  <c r="M869" i="2"/>
  <c r="N869" i="2"/>
  <c r="O869" i="2"/>
  <c r="M870" i="2"/>
  <c r="N870" i="2"/>
  <c r="O870" i="2"/>
  <c r="M871" i="2"/>
  <c r="N871" i="2" s="1"/>
  <c r="O871" i="2"/>
  <c r="M872" i="2"/>
  <c r="N872" i="2"/>
  <c r="O872" i="2"/>
  <c r="M873" i="2"/>
  <c r="N873" i="2" s="1"/>
  <c r="O873" i="2" s="1"/>
  <c r="M874" i="2"/>
  <c r="N874" i="2"/>
  <c r="O874" i="2" s="1"/>
  <c r="M875" i="2"/>
  <c r="N875" i="2"/>
  <c r="O875" i="2"/>
  <c r="M876" i="2"/>
  <c r="N876" i="2"/>
  <c r="O876" i="2" s="1"/>
  <c r="M877" i="2"/>
  <c r="N877" i="2" s="1"/>
  <c r="O877" i="2" s="1"/>
  <c r="M878" i="2"/>
  <c r="N878" i="2" s="1"/>
  <c r="O878" i="2"/>
  <c r="M879" i="2"/>
  <c r="N879" i="2"/>
  <c r="O879" i="2"/>
  <c r="M880" i="2"/>
  <c r="N880" i="2"/>
  <c r="O880" i="2"/>
  <c r="M881" i="2"/>
  <c r="N881" i="2"/>
  <c r="O881" i="2"/>
  <c r="M882" i="2"/>
  <c r="N882" i="2"/>
  <c r="O882" i="2" s="1"/>
  <c r="M883" i="2"/>
  <c r="N883" i="2"/>
  <c r="O883" i="2" s="1"/>
  <c r="M884" i="2"/>
  <c r="N884" i="2"/>
  <c r="O884" i="2"/>
  <c r="M885" i="2"/>
  <c r="N885" i="2"/>
  <c r="O885" i="2"/>
  <c r="M886" i="2"/>
  <c r="N886" i="2" s="1"/>
  <c r="O886" i="2" s="1"/>
  <c r="M887" i="2"/>
  <c r="N887" i="2"/>
  <c r="O887" i="2"/>
  <c r="M888" i="2"/>
  <c r="N888" i="2" s="1"/>
  <c r="O888" i="2" s="1"/>
  <c r="M889" i="2"/>
  <c r="N889" i="2"/>
  <c r="O889" i="2" s="1"/>
  <c r="M890" i="2"/>
  <c r="N890" i="2"/>
  <c r="O890" i="2"/>
  <c r="M891" i="2"/>
  <c r="N891" i="2" s="1"/>
  <c r="O891" i="2" s="1"/>
  <c r="M892" i="2"/>
  <c r="N892" i="2" s="1"/>
  <c r="O892" i="2" s="1"/>
  <c r="M893" i="2"/>
  <c r="N893" i="2" s="1"/>
  <c r="O893" i="2" s="1"/>
  <c r="M894" i="2"/>
  <c r="N894" i="2"/>
  <c r="O894" i="2" s="1"/>
  <c r="M895" i="2"/>
  <c r="N895" i="2"/>
  <c r="O895" i="2"/>
  <c r="M896" i="2"/>
  <c r="N896" i="2"/>
  <c r="O896" i="2" s="1"/>
  <c r="M897" i="2"/>
  <c r="N897" i="2"/>
  <c r="O897" i="2"/>
  <c r="M898" i="2"/>
  <c r="N898" i="2" s="1"/>
  <c r="O898" i="2" s="1"/>
  <c r="M899" i="2"/>
  <c r="N899" i="2"/>
  <c r="O899" i="2" s="1"/>
  <c r="M900" i="2"/>
  <c r="N900" i="2"/>
  <c r="O900" i="2"/>
  <c r="M901" i="2"/>
  <c r="N901" i="2"/>
  <c r="O901" i="2"/>
  <c r="M902" i="2"/>
  <c r="N902" i="2"/>
  <c r="O902" i="2" s="1"/>
  <c r="M903" i="2"/>
  <c r="N903" i="2" s="1"/>
  <c r="O903" i="2" s="1"/>
  <c r="M904" i="2"/>
  <c r="N904" i="2"/>
  <c r="O904" i="2"/>
  <c r="M905" i="2"/>
  <c r="N905" i="2" s="1"/>
  <c r="O905" i="2" s="1"/>
  <c r="M906" i="2"/>
  <c r="N906" i="2" s="1"/>
  <c r="O906" i="2" s="1"/>
  <c r="M907" i="2"/>
  <c r="N907" i="2"/>
  <c r="O907" i="2"/>
  <c r="M908" i="2"/>
  <c r="N908" i="2"/>
  <c r="O908" i="2"/>
  <c r="M909" i="2"/>
  <c r="N909" i="2" s="1"/>
  <c r="O909" i="2" s="1"/>
  <c r="M910" i="2"/>
  <c r="N910" i="2"/>
  <c r="O910" i="2" s="1"/>
  <c r="M911" i="2"/>
  <c r="N911" i="2"/>
  <c r="O911" i="2"/>
  <c r="M912" i="2"/>
  <c r="N912" i="2" s="1"/>
  <c r="O912" i="2" s="1"/>
  <c r="M913" i="2"/>
  <c r="N913" i="2"/>
  <c r="O913" i="2"/>
  <c r="M914" i="2"/>
  <c r="N914" i="2" s="1"/>
  <c r="O914" i="2" s="1"/>
  <c r="M915" i="2"/>
  <c r="N915" i="2"/>
  <c r="O915" i="2"/>
  <c r="M916" i="2"/>
  <c r="N916" i="2"/>
  <c r="O916" i="2"/>
  <c r="M917" i="2"/>
  <c r="N917" i="2"/>
  <c r="O917" i="2" s="1"/>
  <c r="M918" i="2"/>
  <c r="N918" i="2"/>
  <c r="O918" i="2"/>
  <c r="M919" i="2"/>
  <c r="N919" i="2"/>
  <c r="O919" i="2"/>
  <c r="M920" i="2"/>
  <c r="N920" i="2" s="1"/>
  <c r="O920" i="2"/>
  <c r="M921" i="2"/>
  <c r="N921" i="2"/>
  <c r="O921" i="2"/>
  <c r="M922" i="2"/>
  <c r="N922" i="2" s="1"/>
  <c r="O922" i="2" s="1"/>
  <c r="M923" i="2"/>
  <c r="N923" i="2"/>
  <c r="O923" i="2" s="1"/>
  <c r="M924" i="2"/>
  <c r="N924" i="2"/>
  <c r="O924" i="2"/>
  <c r="M925" i="2"/>
  <c r="N925" i="2" s="1"/>
  <c r="O925" i="2" s="1"/>
  <c r="M926" i="2"/>
  <c r="N926" i="2" s="1"/>
  <c r="O926" i="2" s="1"/>
  <c r="M927" i="2"/>
  <c r="N927" i="2"/>
  <c r="O927" i="2"/>
  <c r="M928" i="2"/>
  <c r="N928" i="2" s="1"/>
  <c r="O928" i="2" s="1"/>
  <c r="M929" i="2"/>
  <c r="N929" i="2"/>
  <c r="O929" i="2"/>
  <c r="M930" i="2"/>
  <c r="N930" i="2" s="1"/>
  <c r="O930" i="2" s="1"/>
  <c r="M931" i="2"/>
  <c r="N931" i="2"/>
  <c r="O931" i="2"/>
  <c r="M932" i="2"/>
  <c r="N932" i="2"/>
  <c r="O932" i="2"/>
  <c r="M933" i="2"/>
  <c r="N933" i="2" s="1"/>
  <c r="O933" i="2" s="1"/>
  <c r="M934" i="2"/>
  <c r="N934" i="2"/>
  <c r="O934" i="2" s="1"/>
  <c r="M935" i="2"/>
  <c r="N935" i="2"/>
  <c r="O935" i="2"/>
  <c r="M936" i="2"/>
  <c r="N936" i="2"/>
  <c r="O936" i="2"/>
  <c r="M937" i="2"/>
  <c r="N937" i="2" s="1"/>
  <c r="O937" i="2" s="1"/>
  <c r="M938" i="2"/>
  <c r="N938" i="2"/>
  <c r="O938" i="2" s="1"/>
  <c r="M939" i="2"/>
  <c r="N939" i="2"/>
  <c r="O939" i="2" s="1"/>
  <c r="M940" i="2"/>
  <c r="N940" i="2"/>
  <c r="O940" i="2"/>
  <c r="M941" i="2"/>
  <c r="N941" i="2"/>
  <c r="O941" i="2" s="1"/>
  <c r="M942" i="2"/>
  <c r="N942" i="2"/>
  <c r="O942" i="2" s="1"/>
  <c r="M943" i="2"/>
  <c r="N943" i="2"/>
  <c r="O943" i="2"/>
  <c r="M944" i="2"/>
  <c r="N944" i="2"/>
  <c r="O944" i="2" s="1"/>
  <c r="M945" i="2"/>
  <c r="N945" i="2" s="1"/>
  <c r="O945" i="2" s="1"/>
  <c r="M946" i="2"/>
  <c r="N946" i="2"/>
  <c r="O946" i="2" s="1"/>
  <c r="M947" i="2"/>
  <c r="N947" i="2"/>
  <c r="O947" i="2"/>
  <c r="M948" i="2"/>
  <c r="N948" i="2"/>
  <c r="O948" i="2"/>
  <c r="M949" i="2"/>
  <c r="N949" i="2"/>
  <c r="O949" i="2"/>
  <c r="M950" i="2"/>
  <c r="N950" i="2"/>
  <c r="O950" i="2"/>
  <c r="M951" i="2"/>
  <c r="N951" i="2"/>
  <c r="O951" i="2" s="1"/>
  <c r="M952" i="2"/>
  <c r="N952" i="2" s="1"/>
  <c r="O952" i="2"/>
  <c r="M953" i="2"/>
  <c r="N953" i="2"/>
  <c r="O953" i="2"/>
  <c r="M954" i="2"/>
  <c r="N954" i="2" s="1"/>
  <c r="O954" i="2" s="1"/>
  <c r="M955" i="2"/>
  <c r="N955" i="2"/>
  <c r="O955" i="2"/>
  <c r="M956" i="2"/>
  <c r="N956" i="2"/>
  <c r="O956" i="2" s="1"/>
  <c r="M957" i="2"/>
  <c r="N957" i="2" s="1"/>
  <c r="O957" i="2" s="1"/>
  <c r="M958" i="2"/>
  <c r="N958" i="2"/>
  <c r="O958" i="2" s="1"/>
  <c r="M959" i="2"/>
  <c r="N959" i="2"/>
  <c r="O959" i="2"/>
  <c r="M960" i="2"/>
  <c r="N960" i="2"/>
  <c r="O960" i="2" s="1"/>
  <c r="M961" i="2"/>
  <c r="N961" i="2"/>
  <c r="O961" i="2"/>
  <c r="M962" i="2"/>
  <c r="N962" i="2"/>
  <c r="O962" i="2"/>
  <c r="M963" i="2"/>
  <c r="N963" i="2"/>
  <c r="O963" i="2" s="1"/>
  <c r="M964" i="2"/>
  <c r="N964" i="2"/>
  <c r="O964" i="2"/>
  <c r="M965" i="2"/>
  <c r="N965" i="2" s="1"/>
  <c r="O965" i="2" s="1"/>
  <c r="M966" i="2"/>
  <c r="N966" i="2"/>
  <c r="O966" i="2"/>
  <c r="M967" i="2"/>
  <c r="N967" i="2"/>
  <c r="O967" i="2"/>
  <c r="M968" i="2"/>
  <c r="N968" i="2"/>
  <c r="O968" i="2"/>
  <c r="M969" i="2"/>
  <c r="N969" i="2" s="1"/>
  <c r="O969" i="2" s="1"/>
  <c r="M970" i="2"/>
  <c r="N970" i="2"/>
  <c r="O970" i="2" s="1"/>
  <c r="M971" i="2"/>
  <c r="N971" i="2"/>
  <c r="O971" i="2"/>
  <c r="M972" i="2"/>
  <c r="N972" i="2"/>
  <c r="O972" i="2"/>
  <c r="M973" i="2"/>
  <c r="N973" i="2" s="1"/>
  <c r="O973" i="2" s="1"/>
  <c r="M974" i="2"/>
  <c r="N974" i="2"/>
  <c r="O974" i="2" s="1"/>
  <c r="M975" i="2"/>
  <c r="N975" i="2"/>
  <c r="O975" i="2" s="1"/>
  <c r="M976" i="2"/>
  <c r="N976" i="2"/>
  <c r="O976" i="2"/>
  <c r="M977" i="2"/>
  <c r="N977" i="2"/>
  <c r="O977" i="2"/>
  <c r="M978" i="2"/>
  <c r="N978" i="2" s="1"/>
  <c r="O978" i="2" s="1"/>
  <c r="M979" i="2"/>
  <c r="N979" i="2"/>
  <c r="O979" i="2"/>
  <c r="M980" i="2"/>
  <c r="N980" i="2"/>
  <c r="O980" i="2"/>
  <c r="M981" i="2"/>
  <c r="N981" i="2" s="1"/>
  <c r="O981" i="2"/>
  <c r="M982" i="2"/>
  <c r="N982" i="2"/>
  <c r="O982" i="2" s="1"/>
  <c r="M983" i="2"/>
  <c r="N983" i="2"/>
  <c r="O983" i="2"/>
  <c r="M984" i="2"/>
  <c r="N984" i="2" s="1"/>
  <c r="O984" i="2"/>
  <c r="M985" i="2"/>
  <c r="N985" i="2"/>
  <c r="O985" i="2"/>
  <c r="M986" i="2"/>
  <c r="N986" i="2"/>
  <c r="O986" i="2"/>
  <c r="M987" i="2"/>
  <c r="N987" i="2" s="1"/>
  <c r="O987" i="2" s="1"/>
  <c r="M988" i="2"/>
  <c r="N988" i="2"/>
  <c r="O988" i="2"/>
  <c r="M989" i="2"/>
  <c r="N989" i="2" s="1"/>
  <c r="O989" i="2" s="1"/>
  <c r="M990" i="2"/>
  <c r="N990" i="2" s="1"/>
  <c r="O990" i="2" s="1"/>
  <c r="M991" i="2"/>
  <c r="N991" i="2"/>
  <c r="O991" i="2"/>
  <c r="M992" i="2"/>
  <c r="N992" i="2"/>
  <c r="O992" i="2"/>
  <c r="M993" i="2"/>
  <c r="N993" i="2" s="1"/>
  <c r="O993" i="2"/>
  <c r="M994" i="2"/>
  <c r="N994" i="2"/>
  <c r="O994" i="2" s="1"/>
  <c r="M995" i="2"/>
  <c r="N995" i="2"/>
  <c r="O995" i="2"/>
  <c r="M996" i="2"/>
  <c r="N996" i="2"/>
  <c r="O996" i="2" s="1"/>
  <c r="M997" i="2"/>
  <c r="N997" i="2"/>
  <c r="O997" i="2" s="1"/>
  <c r="M998" i="2"/>
  <c r="N998" i="2"/>
  <c r="O998" i="2" s="1"/>
  <c r="M999" i="2"/>
  <c r="N999" i="2" s="1"/>
  <c r="O999" i="2" s="1"/>
  <c r="M1000" i="2"/>
  <c r="N1000" i="2"/>
  <c r="O1000" i="2"/>
  <c r="M1001" i="2"/>
  <c r="N1001" i="2" s="1"/>
  <c r="O1001" i="2" s="1"/>
  <c r="M1002" i="2"/>
  <c r="N1002" i="2" s="1"/>
  <c r="O1002" i="2" s="1"/>
  <c r="M1003" i="2"/>
  <c r="N1003" i="2"/>
  <c r="O1003" i="2"/>
  <c r="M1004" i="2"/>
  <c r="N1004" i="2"/>
  <c r="O1004" i="2"/>
  <c r="M1005" i="2"/>
  <c r="N1005" i="2" s="1"/>
  <c r="O1005" i="2" s="1"/>
  <c r="M1006" i="2"/>
  <c r="N1006" i="2"/>
  <c r="O1006" i="2"/>
  <c r="M1007" i="2"/>
  <c r="N1007" i="2"/>
  <c r="O1007" i="2"/>
  <c r="M1008" i="2"/>
  <c r="N1008" i="2" s="1"/>
  <c r="O1008" i="2" s="1"/>
  <c r="M1009" i="2"/>
  <c r="N1009" i="2" s="1"/>
  <c r="O1009" i="2"/>
  <c r="M1010" i="2"/>
  <c r="N1010" i="2"/>
  <c r="O1010" i="2" s="1"/>
  <c r="M1011" i="2"/>
  <c r="N1011" i="2"/>
  <c r="O1011" i="2" s="1"/>
  <c r="M1012" i="2"/>
  <c r="N1012" i="2"/>
  <c r="O1012" i="2"/>
  <c r="M1013" i="2"/>
  <c r="N1013" i="2"/>
  <c r="O1013" i="2"/>
  <c r="M1014" i="2"/>
  <c r="N1014" i="2"/>
  <c r="O1014" i="2" s="1"/>
  <c r="M1015" i="2"/>
  <c r="N1015" i="2"/>
  <c r="O1015" i="2"/>
  <c r="M1016" i="2"/>
  <c r="N1016" i="2" s="1"/>
  <c r="O1016" i="2" s="1"/>
  <c r="M1017" i="2"/>
  <c r="N1017" i="2"/>
  <c r="O1017" i="2"/>
  <c r="M1018" i="2"/>
  <c r="N1018" i="2"/>
  <c r="O1018" i="2"/>
  <c r="M1019" i="2"/>
  <c r="N1019" i="2" s="1"/>
  <c r="O1019" i="2" s="1"/>
  <c r="M1020" i="2"/>
  <c r="N1020" i="2"/>
  <c r="O1020" i="2" s="1"/>
  <c r="M1021" i="2"/>
  <c r="N1021" i="2" s="1"/>
  <c r="O1021" i="2" s="1"/>
  <c r="M1022" i="2"/>
  <c r="N1022" i="2"/>
  <c r="O1022" i="2" s="1"/>
  <c r="M1023" i="2"/>
  <c r="N1023" i="2"/>
  <c r="O1023" i="2"/>
  <c r="M1024" i="2"/>
  <c r="N1024" i="2" s="1"/>
  <c r="O1024" i="2"/>
  <c r="M1025" i="2"/>
  <c r="N1025" i="2" s="1"/>
  <c r="O1025" i="2" s="1"/>
  <c r="M1026" i="2"/>
  <c r="N1026" i="2"/>
  <c r="O1026" i="2"/>
  <c r="M1027" i="2"/>
  <c r="N1027" i="2"/>
  <c r="O1027" i="2" s="1"/>
  <c r="M1028" i="2"/>
  <c r="N1028" i="2"/>
  <c r="O1028" i="2" s="1"/>
  <c r="M1029" i="2"/>
  <c r="N1029" i="2" s="1"/>
  <c r="O1029" i="2" s="1"/>
  <c r="M1030" i="2"/>
  <c r="N1030" i="2" s="1"/>
  <c r="O1030" i="2" s="1"/>
  <c r="M1031" i="2"/>
  <c r="N1031" i="2" s="1"/>
  <c r="O1031" i="2" s="1"/>
  <c r="M1032" i="2"/>
  <c r="N1032" i="2"/>
  <c r="O1032" i="2"/>
  <c r="M1033" i="2"/>
  <c r="N1033" i="2" s="1"/>
  <c r="O1033" i="2"/>
  <c r="M1034" i="2"/>
  <c r="N1034" i="2"/>
  <c r="O1034" i="2"/>
  <c r="M1035" i="2"/>
  <c r="N1035" i="2"/>
  <c r="O1035" i="2"/>
  <c r="M1036" i="2"/>
  <c r="N1036" i="2"/>
  <c r="O1036" i="2" s="1"/>
  <c r="M1037" i="2"/>
  <c r="N1037" i="2"/>
  <c r="O1037" i="2" s="1"/>
  <c r="M1038" i="2"/>
  <c r="N1038" i="2"/>
  <c r="O1038" i="2"/>
  <c r="M1039" i="2"/>
  <c r="N1039" i="2" s="1"/>
  <c r="O1039" i="2" s="1"/>
  <c r="M1040" i="2"/>
  <c r="N1040" i="2"/>
  <c r="O1040" i="2"/>
  <c r="M1041" i="2"/>
  <c r="N1041" i="2" s="1"/>
  <c r="O1041" i="2" s="1"/>
  <c r="M1042" i="2"/>
  <c r="N1042" i="2" s="1"/>
  <c r="O1042" i="2" s="1"/>
  <c r="M1043" i="2"/>
  <c r="N1043" i="2"/>
  <c r="O1043" i="2"/>
  <c r="M1044" i="2"/>
  <c r="N1044" i="2"/>
  <c r="O1044" i="2"/>
  <c r="M1045" i="2"/>
  <c r="N1045" i="2" s="1"/>
  <c r="O1045" i="2" s="1"/>
  <c r="M1046" i="2"/>
  <c r="N1046" i="2"/>
  <c r="O1046" i="2"/>
  <c r="M1047" i="2"/>
  <c r="N1047" i="2" s="1"/>
  <c r="O1047" i="2"/>
  <c r="M1048" i="2"/>
  <c r="N1048" i="2" s="1"/>
  <c r="O1048" i="2" s="1"/>
  <c r="M1049" i="2"/>
  <c r="N1049" i="2"/>
  <c r="O1049" i="2"/>
  <c r="M1050" i="2"/>
  <c r="N1050" i="2"/>
  <c r="O1050" i="2" s="1"/>
  <c r="M1051" i="2"/>
  <c r="N1051" i="2"/>
  <c r="O1051" i="2"/>
  <c r="M1052" i="2"/>
  <c r="N1052" i="2"/>
  <c r="O1052" i="2"/>
  <c r="M1053" i="2"/>
  <c r="N1053" i="2" s="1"/>
  <c r="O1053" i="2" s="1"/>
  <c r="M1054" i="2"/>
  <c r="N1054" i="2" s="1"/>
  <c r="O1054" i="2" s="1"/>
  <c r="M1055" i="2"/>
  <c r="N1055" i="2"/>
  <c r="O1055" i="2"/>
  <c r="M1056" i="2"/>
  <c r="N1056" i="2"/>
  <c r="O1056" i="2"/>
  <c r="M1057" i="2"/>
  <c r="N1057" i="2" s="1"/>
  <c r="O1057" i="2" s="1"/>
  <c r="M1058" i="2"/>
  <c r="N1058" i="2"/>
  <c r="O1058" i="2"/>
  <c r="M1059" i="2"/>
  <c r="N1059" i="2"/>
  <c r="O1059" i="2"/>
  <c r="M1060" i="2"/>
  <c r="N1060" i="2" s="1"/>
  <c r="O1060" i="2" s="1"/>
  <c r="M1061" i="2"/>
  <c r="N1061" i="2"/>
  <c r="O1061" i="2"/>
  <c r="M1062" i="2"/>
  <c r="N1062" i="2" s="1"/>
  <c r="O1062" i="2" s="1"/>
  <c r="M1063" i="2"/>
  <c r="N1063" i="2"/>
  <c r="O1063" i="2"/>
  <c r="M1064" i="2"/>
  <c r="N1064" i="2"/>
  <c r="O1064" i="2"/>
  <c r="M1065" i="2"/>
  <c r="N1065" i="2" s="1"/>
  <c r="O1065" i="2" s="1"/>
  <c r="M1066" i="2"/>
  <c r="N1066" i="2"/>
  <c r="O1066" i="2"/>
  <c r="M1067" i="2"/>
  <c r="N1067" i="2"/>
  <c r="O1067" i="2"/>
  <c r="M1068" i="2"/>
  <c r="N1068" i="2" s="1"/>
  <c r="O1068" i="2" s="1"/>
  <c r="M1069" i="2"/>
  <c r="N1069" i="2"/>
  <c r="O1069" i="2" s="1"/>
  <c r="M1070" i="2"/>
  <c r="N1070" i="2"/>
  <c r="O1070" i="2" s="1"/>
  <c r="M1071" i="2"/>
  <c r="N1071" i="2" s="1"/>
  <c r="O1071" i="2" s="1"/>
  <c r="M1072" i="2"/>
  <c r="N1072" i="2"/>
  <c r="O1072" i="2" s="1"/>
  <c r="M1073" i="2"/>
  <c r="N1073" i="2"/>
  <c r="O1073" i="2" s="1"/>
  <c r="M1074" i="2"/>
  <c r="N1074" i="2"/>
  <c r="O1074" i="2" s="1"/>
  <c r="M1075" i="2"/>
  <c r="N1075" i="2"/>
  <c r="O1075" i="2"/>
  <c r="M1076" i="2"/>
  <c r="N1076" i="2"/>
  <c r="O1076" i="2"/>
  <c r="M1077" i="2"/>
  <c r="N1077" i="2" s="1"/>
  <c r="O1077" i="2" s="1"/>
  <c r="M1078" i="2"/>
  <c r="N1078" i="2" s="1"/>
  <c r="O1078" i="2"/>
  <c r="M1079" i="2"/>
  <c r="N1079" i="2" s="1"/>
  <c r="O1079" i="2" s="1"/>
  <c r="M1080" i="2"/>
  <c r="N1080" i="2" s="1"/>
  <c r="O1080" i="2"/>
  <c r="M1081" i="2"/>
  <c r="N1081" i="2"/>
  <c r="O1081" i="2"/>
  <c r="M1082" i="2"/>
  <c r="N1082" i="2"/>
  <c r="O1082" i="2"/>
  <c r="M1083" i="2"/>
  <c r="N1083" i="2"/>
  <c r="O1083" i="2" s="1"/>
  <c r="M1084" i="2"/>
  <c r="N1084" i="2"/>
  <c r="O1084" i="2"/>
  <c r="M1085" i="2"/>
  <c r="N1085" i="2" s="1"/>
  <c r="O1085" i="2" s="1"/>
  <c r="M1086" i="2"/>
  <c r="N1086" i="2" s="1"/>
  <c r="O1086" i="2" s="1"/>
  <c r="M1087" i="2"/>
  <c r="N1087" i="2" s="1"/>
  <c r="O1087" i="2" s="1"/>
  <c r="M1088" i="2"/>
  <c r="N1088" i="2"/>
  <c r="O1088" i="2"/>
  <c r="M1089" i="2"/>
  <c r="N1089" i="2" s="1"/>
  <c r="O1089" i="2" s="1"/>
  <c r="M1090" i="2"/>
  <c r="N1090" i="2" s="1"/>
  <c r="O1090" i="2"/>
  <c r="M1091" i="2"/>
  <c r="N1091" i="2"/>
  <c r="O1091" i="2"/>
  <c r="M1092" i="2"/>
  <c r="N1092" i="2" s="1"/>
  <c r="O1092" i="2" s="1"/>
  <c r="M1093" i="2"/>
  <c r="N1093" i="2"/>
  <c r="O1093" i="2" s="1"/>
  <c r="M1094" i="2"/>
  <c r="N1094" i="2"/>
  <c r="O1094" i="2"/>
  <c r="M1095" i="2"/>
  <c r="N1095" i="2"/>
  <c r="O1095" i="2" s="1"/>
  <c r="M1096" i="2"/>
  <c r="N1096" i="2"/>
  <c r="O1096" i="2"/>
  <c r="M1097" i="2"/>
  <c r="N1097" i="2" s="1"/>
  <c r="O1097" i="2"/>
  <c r="M1098" i="2"/>
  <c r="N1098" i="2"/>
  <c r="O1098" i="2"/>
  <c r="M1099" i="2"/>
  <c r="N1099" i="2" s="1"/>
  <c r="O1099" i="2" s="1"/>
  <c r="M1100" i="2"/>
  <c r="N1100" i="2" s="1"/>
  <c r="O1100" i="2" s="1"/>
  <c r="M1101" i="2"/>
  <c r="N1101" i="2" s="1"/>
  <c r="O1101" i="2" s="1"/>
  <c r="M1102" i="2"/>
  <c r="N1102" i="2"/>
  <c r="O1102" i="2" s="1"/>
  <c r="M1103" i="2"/>
  <c r="N1103" i="2" s="1"/>
  <c r="O1103" i="2" s="1"/>
  <c r="M1104" i="2"/>
  <c r="N1104" i="2"/>
  <c r="O1104" i="2" s="1"/>
  <c r="M1105" i="2"/>
  <c r="N1105" i="2"/>
  <c r="O1105" i="2"/>
  <c r="M1106" i="2"/>
  <c r="N1106" i="2"/>
  <c r="O1106" i="2" s="1"/>
  <c r="M1107" i="2"/>
  <c r="N1107" i="2"/>
  <c r="O1107" i="2"/>
  <c r="M1108" i="2"/>
  <c r="N1108" i="2"/>
  <c r="O1108" i="2"/>
  <c r="M1109" i="2"/>
  <c r="N1109" i="2" s="1"/>
  <c r="O1109" i="2" s="1"/>
  <c r="M1110" i="2"/>
  <c r="N1110" i="2"/>
  <c r="O1110" i="2" s="1"/>
  <c r="M1111" i="2"/>
  <c r="N1111" i="2" s="1"/>
  <c r="O1111" i="2" s="1"/>
  <c r="M1112" i="2"/>
  <c r="N1112" i="2" s="1"/>
  <c r="O1112" i="2"/>
  <c r="M1113" i="2"/>
  <c r="N1113" i="2"/>
  <c r="O1113" i="2"/>
  <c r="M1114" i="2"/>
  <c r="N1114" i="2"/>
  <c r="O1114" i="2"/>
  <c r="M1115" i="2"/>
  <c r="N1115" i="2"/>
  <c r="O1115" i="2"/>
  <c r="M1116" i="2"/>
  <c r="N1116" i="2" s="1"/>
  <c r="O1116" i="2" s="1"/>
  <c r="M1117" i="2"/>
  <c r="N1117" i="2" s="1"/>
  <c r="O1117" i="2" s="1"/>
  <c r="M1118" i="2"/>
  <c r="N1118" i="2" s="1"/>
  <c r="O1118" i="2" s="1"/>
  <c r="M1119" i="2"/>
  <c r="N1119" i="2"/>
  <c r="O1119" i="2"/>
  <c r="M1120" i="2"/>
  <c r="N1120" i="2"/>
  <c r="O1120" i="2" s="1"/>
  <c r="M1121" i="2"/>
  <c r="N1121" i="2" s="1"/>
  <c r="O1121" i="2" s="1"/>
  <c r="M1122" i="2"/>
  <c r="N1122" i="2"/>
  <c r="O1122" i="2"/>
  <c r="M1123" i="2"/>
  <c r="N1123" i="2"/>
  <c r="O1123" i="2" s="1"/>
  <c r="M1124" i="2"/>
  <c r="N1124" i="2"/>
  <c r="O1124" i="2" s="1"/>
  <c r="M1125" i="2"/>
  <c r="N1125" i="2"/>
  <c r="O1125" i="2"/>
  <c r="M1126" i="2"/>
  <c r="N1126" i="2"/>
  <c r="O1126" i="2" s="1"/>
  <c r="M1127" i="2"/>
  <c r="N1127" i="2" s="1"/>
  <c r="O1127" i="2"/>
  <c r="M1128" i="2"/>
  <c r="N1128" i="2"/>
  <c r="O1128" i="2"/>
  <c r="M1129" i="2"/>
  <c r="N1129" i="2" s="1"/>
  <c r="O1129" i="2"/>
  <c r="M1130" i="2"/>
  <c r="N1130" i="2" s="1"/>
  <c r="O1130" i="2" s="1"/>
  <c r="M1131" i="2"/>
  <c r="N1131" i="2"/>
  <c r="O1131" i="2"/>
  <c r="M1132" i="2"/>
  <c r="N1132" i="2" s="1"/>
  <c r="O1132" i="2" s="1"/>
  <c r="M1133" i="2"/>
  <c r="N1133" i="2" s="1"/>
  <c r="O1133" i="2" s="1"/>
  <c r="M1134" i="2"/>
  <c r="N1134" i="2"/>
  <c r="O1134" i="2" s="1"/>
  <c r="M1135" i="2"/>
  <c r="N1135" i="2"/>
  <c r="O1135" i="2"/>
  <c r="M1136" i="2"/>
  <c r="N1136" i="2"/>
  <c r="O1136" i="2"/>
  <c r="M1137" i="2"/>
  <c r="N1137" i="2"/>
  <c r="O1137" i="2"/>
  <c r="M1138" i="2"/>
  <c r="N1138" i="2"/>
  <c r="O1138" i="2" s="1"/>
  <c r="M1139" i="2"/>
  <c r="N1139" i="2"/>
  <c r="O1139" i="2"/>
  <c r="M1140" i="2"/>
  <c r="N1140" i="2"/>
  <c r="O1140" i="2"/>
  <c r="M1141" i="2"/>
  <c r="N1141" i="2"/>
  <c r="O1141" i="2" s="1"/>
  <c r="M1142" i="2"/>
  <c r="N1142" i="2"/>
  <c r="O1142" i="2"/>
  <c r="M1143" i="2"/>
  <c r="N1143" i="2"/>
  <c r="O1143" i="2" s="1"/>
  <c r="M1144" i="2"/>
  <c r="N1144" i="2" s="1"/>
  <c r="O1144" i="2" s="1"/>
  <c r="M1145" i="2"/>
  <c r="N1145" i="2"/>
  <c r="O1145" i="2"/>
  <c r="M1146" i="2"/>
  <c r="N1146" i="2" s="1"/>
  <c r="O1146" i="2"/>
  <c r="M1147" i="2"/>
  <c r="N1147" i="2" s="1"/>
  <c r="O1147" i="2" s="1"/>
  <c r="M1148" i="2"/>
  <c r="N1148" i="2"/>
  <c r="O1148" i="2"/>
  <c r="M1149" i="2"/>
  <c r="N1149" i="2" s="1"/>
  <c r="O1149" i="2" s="1"/>
  <c r="M1150" i="2"/>
  <c r="N1150" i="2"/>
  <c r="O1150" i="2" s="1"/>
  <c r="M1151" i="2"/>
  <c r="N1151" i="2" s="1"/>
  <c r="O1151" i="2" s="1"/>
  <c r="M1152" i="2"/>
  <c r="N1152" i="2"/>
  <c r="O1152" i="2" s="1"/>
  <c r="M1153" i="2"/>
  <c r="N1153" i="2"/>
  <c r="O1153" i="2"/>
  <c r="M1154" i="2"/>
  <c r="N1154" i="2"/>
  <c r="O1154" i="2"/>
  <c r="M1155" i="2"/>
  <c r="N1155" i="2"/>
  <c r="O1155" i="2"/>
  <c r="M1156" i="2"/>
  <c r="N1156" i="2"/>
  <c r="O1156" i="2" s="1"/>
  <c r="M1157" i="2"/>
  <c r="N1157" i="2"/>
  <c r="O1157" i="2"/>
  <c r="M1158" i="2"/>
  <c r="N1158" i="2"/>
  <c r="O1158" i="2" s="1"/>
  <c r="M1159" i="2"/>
  <c r="N1159" i="2" s="1"/>
  <c r="O1159" i="2" s="1"/>
  <c r="M1160" i="2"/>
  <c r="N1160" i="2"/>
  <c r="O1160" i="2"/>
  <c r="M1161" i="2"/>
  <c r="N1161" i="2" s="1"/>
  <c r="O1161" i="2" s="1"/>
  <c r="M1162" i="2"/>
  <c r="N1162" i="2" s="1"/>
  <c r="O1162" i="2"/>
  <c r="M1163" i="2"/>
  <c r="N1163" i="2"/>
  <c r="O1163" i="2" s="1"/>
  <c r="M1164" i="2"/>
  <c r="N1164" i="2"/>
  <c r="O1164" i="2"/>
  <c r="M1165" i="2"/>
  <c r="N1165" i="2"/>
  <c r="O1165" i="2" s="1"/>
  <c r="M1166" i="2"/>
  <c r="N1166" i="2"/>
  <c r="O1166" i="2"/>
  <c r="M1167" i="2"/>
  <c r="N1167" i="2" s="1"/>
  <c r="O1167" i="2"/>
  <c r="M1168" i="2"/>
  <c r="N1168" i="2" s="1"/>
  <c r="O1168" i="2" s="1"/>
  <c r="M1169" i="2"/>
  <c r="N1169" i="2" s="1"/>
  <c r="O1169" i="2"/>
  <c r="M1170" i="2"/>
  <c r="N1170" i="2"/>
  <c r="O1170" i="2" s="1"/>
  <c r="M1171" i="2"/>
  <c r="N1171" i="2"/>
  <c r="O1171" i="2"/>
  <c r="M1172" i="2"/>
  <c r="N1172" i="2"/>
  <c r="O1172" i="2"/>
  <c r="M1173" i="2"/>
  <c r="N1173" i="2"/>
  <c r="O1173" i="2" s="1"/>
  <c r="M1174" i="2"/>
  <c r="N1174" i="2"/>
  <c r="O1174" i="2" s="1"/>
  <c r="M1175" i="2"/>
  <c r="N1175" i="2" s="1"/>
  <c r="O1175" i="2" s="1"/>
  <c r="M1176" i="2"/>
  <c r="N1176" i="2" s="1"/>
  <c r="O1176" i="2"/>
  <c r="M1177" i="2"/>
  <c r="N1177" i="2"/>
  <c r="O1177" i="2"/>
  <c r="M1178" i="2"/>
  <c r="N1178" i="2"/>
  <c r="O1178" i="2"/>
  <c r="M1179" i="2"/>
  <c r="N1179" i="2"/>
  <c r="O1179" i="2" s="1"/>
  <c r="M1180" i="2"/>
  <c r="N1180" i="2"/>
  <c r="O1180" i="2" s="1"/>
  <c r="M1181" i="2"/>
  <c r="N1181" i="2" s="1"/>
  <c r="O1181" i="2" s="1"/>
  <c r="M1182" i="2"/>
  <c r="N1182" i="2" s="1"/>
  <c r="O1182" i="2" s="1"/>
  <c r="M1183" i="2"/>
  <c r="N1183" i="2" s="1"/>
  <c r="O1183" i="2" s="1"/>
  <c r="M1184" i="2"/>
  <c r="N1184" i="2"/>
  <c r="O1184" i="2"/>
  <c r="M1185" i="2"/>
  <c r="N1185" i="2"/>
  <c r="O1185" i="2"/>
  <c r="M1186" i="2"/>
  <c r="N1186" i="2" s="1"/>
  <c r="O1186" i="2" s="1"/>
  <c r="M1187" i="2"/>
  <c r="N1187" i="2"/>
  <c r="O1187" i="2" s="1"/>
  <c r="M1188" i="2"/>
  <c r="N1188" i="2"/>
  <c r="O1188" i="2"/>
  <c r="M1189" i="2"/>
  <c r="N1189" i="2"/>
  <c r="O1189" i="2"/>
  <c r="M1190" i="2"/>
  <c r="N1190" i="2"/>
  <c r="O1190" i="2"/>
  <c r="M1191" i="2"/>
  <c r="N1191" i="2"/>
  <c r="O1191" i="2" s="1"/>
  <c r="M1192" i="2"/>
  <c r="N1192" i="2"/>
  <c r="O1192" i="2"/>
  <c r="M1193" i="2"/>
  <c r="N1193" i="2" s="1"/>
  <c r="O1193" i="2"/>
  <c r="M1194" i="2"/>
  <c r="N1194" i="2" s="1"/>
  <c r="O1194" i="2" s="1"/>
  <c r="M1195" i="2"/>
  <c r="N1195" i="2"/>
  <c r="O1195" i="2"/>
  <c r="M1196" i="2"/>
  <c r="N1196" i="2"/>
  <c r="O1196" i="2"/>
  <c r="M1197" i="2"/>
  <c r="N1197" i="2" s="1"/>
  <c r="O1197" i="2" s="1"/>
  <c r="M1198" i="2"/>
  <c r="N1198" i="2"/>
  <c r="O1198" i="2"/>
  <c r="M1199" i="2"/>
  <c r="N1199" i="2"/>
  <c r="O1199" i="2"/>
  <c r="M1200" i="2"/>
  <c r="N1200" i="2" s="1"/>
  <c r="O1200" i="2" s="1"/>
  <c r="M1201" i="2"/>
  <c r="N1201" i="2"/>
  <c r="O1201" i="2"/>
  <c r="M1202" i="2"/>
  <c r="N1202" i="2" s="1"/>
  <c r="O1202" i="2" s="1"/>
  <c r="M1203" i="2"/>
  <c r="N1203" i="2"/>
  <c r="O1203" i="2" s="1"/>
  <c r="M1204" i="2"/>
  <c r="N1204" i="2"/>
  <c r="O1204" i="2"/>
  <c r="M1205" i="2"/>
  <c r="N1205" i="2"/>
  <c r="O1205" i="2" s="1"/>
  <c r="M1206" i="2"/>
  <c r="N1206" i="2"/>
  <c r="O1206" i="2"/>
  <c r="M1207" i="2"/>
  <c r="N1207" i="2"/>
  <c r="O1207" i="2"/>
  <c r="M1208" i="2"/>
  <c r="N1208" i="2" s="1"/>
  <c r="O1208" i="2"/>
  <c r="M1209" i="2"/>
  <c r="N1209" i="2"/>
  <c r="O1209" i="2" s="1"/>
  <c r="M1210" i="2"/>
  <c r="N1210" i="2" s="1"/>
  <c r="O1210" i="2" s="1"/>
  <c r="M1211" i="2"/>
  <c r="N1211" i="2"/>
  <c r="O1211" i="2" s="1"/>
  <c r="M1212" i="2"/>
  <c r="N1212" i="2"/>
  <c r="O1212" i="2"/>
  <c r="M1213" i="2"/>
  <c r="N1213" i="2" s="1"/>
  <c r="O1213" i="2" s="1"/>
  <c r="M1214" i="2"/>
  <c r="N1214" i="2" s="1"/>
  <c r="O1214" i="2" s="1"/>
  <c r="M1215" i="2"/>
  <c r="N1215" i="2" s="1"/>
  <c r="O1215" i="2" s="1"/>
  <c r="M1216" i="2"/>
  <c r="N1216" i="2"/>
  <c r="O1216" i="2"/>
  <c r="M1217" i="2"/>
  <c r="N1217" i="2"/>
  <c r="O1217" i="2" s="1"/>
  <c r="M1218" i="2"/>
  <c r="N1218" i="2"/>
  <c r="O1218" i="2"/>
  <c r="M1219" i="2"/>
  <c r="N1219" i="2"/>
  <c r="O1219" i="2"/>
  <c r="M1220" i="2"/>
  <c r="N1220" i="2"/>
  <c r="O1220" i="2" s="1"/>
  <c r="M1221" i="2"/>
  <c r="N1221" i="2" s="1"/>
  <c r="O1221" i="2" s="1"/>
  <c r="M1222" i="2"/>
  <c r="N1222" i="2"/>
  <c r="O1222" i="2"/>
  <c r="M1223" i="2"/>
  <c r="N1223" i="2" s="1"/>
  <c r="O1223" i="2" s="1"/>
  <c r="M1224" i="2"/>
  <c r="N1224" i="2"/>
  <c r="O1224" i="2"/>
  <c r="M1225" i="2"/>
  <c r="N1225" i="2" s="1"/>
  <c r="O1225" i="2" s="1"/>
  <c r="M1226" i="2"/>
  <c r="N1226" i="2" s="1"/>
  <c r="O1226" i="2" s="1"/>
  <c r="M1227" i="2"/>
  <c r="N1227" i="2"/>
  <c r="O1227" i="2"/>
  <c r="M1228" i="2"/>
  <c r="N1228" i="2"/>
  <c r="O1228" i="2" s="1"/>
  <c r="M1229" i="2"/>
  <c r="N1229" i="2"/>
  <c r="O1229" i="2" s="1"/>
  <c r="M1230" i="2"/>
  <c r="N1230" i="2" s="1"/>
  <c r="O1230" i="2" s="1"/>
  <c r="M1231" i="2"/>
  <c r="N1231" i="2"/>
  <c r="O1231" i="2"/>
  <c r="M1232" i="2"/>
  <c r="N1232" i="2"/>
  <c r="O1232" i="2"/>
  <c r="M1233" i="2"/>
  <c r="N1233" i="2" s="1"/>
  <c r="O1233" i="2" s="1"/>
  <c r="M1234" i="2"/>
  <c r="N1234" i="2"/>
  <c r="O1234" i="2" s="1"/>
  <c r="M1235" i="2"/>
  <c r="N1235" i="2"/>
  <c r="O1235" i="2"/>
  <c r="M1236" i="2"/>
  <c r="N1236" i="2"/>
  <c r="O1236" i="2"/>
  <c r="M1237" i="2"/>
  <c r="N1237" i="2"/>
  <c r="O1237" i="2" s="1"/>
  <c r="M1238" i="2"/>
  <c r="N1238" i="2" s="1"/>
  <c r="O1238" i="2"/>
  <c r="M1239" i="2"/>
  <c r="N1239" i="2"/>
  <c r="O1239" i="2"/>
  <c r="M1240" i="2"/>
  <c r="N1240" i="2" s="1"/>
  <c r="O1240" i="2" s="1"/>
  <c r="M1241" i="2"/>
  <c r="N1241" i="2"/>
  <c r="O1241" i="2"/>
  <c r="M1242" i="2"/>
  <c r="N1242" i="2"/>
  <c r="O1242" i="2" s="1"/>
  <c r="M1243" i="2"/>
  <c r="N1243" i="2" s="1"/>
  <c r="O1243" i="2" s="1"/>
  <c r="M1244" i="2"/>
  <c r="N1244" i="2" s="1"/>
  <c r="O1244" i="2" s="1"/>
  <c r="M1245" i="2"/>
  <c r="N1245" i="2" s="1"/>
  <c r="O1245" i="2" s="1"/>
  <c r="M1246" i="2"/>
  <c r="N1246" i="2"/>
  <c r="O1246" i="2" s="1"/>
  <c r="M1247" i="2"/>
  <c r="N1247" i="2" s="1"/>
  <c r="O1247" i="2" s="1"/>
  <c r="M1248" i="2"/>
  <c r="N1248" i="2"/>
  <c r="O1248" i="2"/>
  <c r="M1249" i="2"/>
  <c r="N1249" i="2" s="1"/>
  <c r="O1249" i="2"/>
  <c r="M1250" i="2"/>
  <c r="N1250" i="2" s="1"/>
  <c r="O1250" i="2" s="1"/>
  <c r="M1251" i="2"/>
  <c r="N1251" i="2"/>
  <c r="O1251" i="2"/>
  <c r="M1252" i="2"/>
  <c r="N1252" i="2"/>
  <c r="O1252" i="2" s="1"/>
  <c r="M1253" i="2"/>
  <c r="N1253" i="2"/>
  <c r="O1253" i="2"/>
  <c r="M1254" i="2"/>
  <c r="N1254" i="2"/>
  <c r="O1254" i="2"/>
  <c r="M1255" i="2"/>
  <c r="N1255" i="2"/>
  <c r="O1255" i="2" s="1"/>
  <c r="M1256" i="2"/>
  <c r="N1256" i="2"/>
  <c r="O1256" i="2"/>
  <c r="M1257" i="2"/>
  <c r="N1257" i="2" s="1"/>
  <c r="O1257" i="2"/>
  <c r="M1258" i="2"/>
  <c r="N1258" i="2"/>
  <c r="O1258" i="2" s="1"/>
  <c r="M1259" i="2"/>
  <c r="N1259" i="2"/>
  <c r="O1259" i="2"/>
  <c r="M1260" i="2"/>
  <c r="N1260" i="2"/>
  <c r="O1260" i="2" s="1"/>
  <c r="M1261" i="2"/>
  <c r="N1261" i="2" s="1"/>
  <c r="O1261" i="2" s="1"/>
  <c r="M1262" i="2"/>
  <c r="N1262" i="2" s="1"/>
  <c r="O1262" i="2" s="1"/>
  <c r="M1263" i="2"/>
  <c r="N1263" i="2"/>
  <c r="O1263" i="2"/>
  <c r="M1264" i="2"/>
  <c r="N1264" i="2" s="1"/>
  <c r="O1264" i="2" s="1"/>
  <c r="M1265" i="2"/>
  <c r="N1265" i="2"/>
  <c r="O1265" i="2"/>
  <c r="M1266" i="2"/>
  <c r="N1266" i="2"/>
  <c r="O1266" i="2" s="1"/>
  <c r="M1267" i="2"/>
  <c r="N1267" i="2"/>
  <c r="O1267" i="2" s="1"/>
  <c r="M1268" i="2"/>
  <c r="N1268" i="2"/>
  <c r="O1268" i="2"/>
  <c r="M1269" i="2"/>
  <c r="N1269" i="2"/>
  <c r="O1269" i="2"/>
  <c r="M1270" i="2"/>
  <c r="N1270" i="2" s="1"/>
  <c r="O1270" i="2" s="1"/>
  <c r="M1271" i="2"/>
  <c r="N1271" i="2"/>
  <c r="O1271" i="2"/>
  <c r="M1272" i="2"/>
  <c r="N1272" i="2" s="1"/>
  <c r="O1272" i="2" s="1"/>
  <c r="M1273" i="2"/>
  <c r="N1273" i="2"/>
  <c r="O1273" i="2" s="1"/>
  <c r="M1274" i="2"/>
  <c r="N1274" i="2"/>
  <c r="O1274" i="2"/>
  <c r="M1275" i="2"/>
  <c r="N1275" i="2" s="1"/>
  <c r="O1275" i="2" s="1"/>
  <c r="M1276" i="2"/>
  <c r="N1276" i="2"/>
  <c r="O1276" i="2"/>
  <c r="M1277" i="2"/>
  <c r="N1277" i="2" s="1"/>
  <c r="O1277" i="2"/>
  <c r="M1278" i="2"/>
  <c r="N1278" i="2"/>
  <c r="O1278" i="2" s="1"/>
  <c r="M1279" i="2"/>
  <c r="N1279" i="2" s="1"/>
  <c r="O1279" i="2"/>
  <c r="M1280" i="2"/>
  <c r="N1280" i="2"/>
  <c r="O1280" i="2" s="1"/>
  <c r="M1281" i="2"/>
  <c r="N1281" i="2"/>
  <c r="O1281" i="2"/>
  <c r="M1282" i="2"/>
  <c r="N1282" i="2"/>
  <c r="O1282" i="2"/>
  <c r="M1283" i="2"/>
  <c r="N1283" i="2"/>
  <c r="O1283" i="2"/>
  <c r="M1284" i="2"/>
  <c r="N1284" i="2" s="1"/>
  <c r="O1284" i="2"/>
  <c r="M1285" i="2"/>
  <c r="N1285" i="2" s="1"/>
  <c r="O1285" i="2" s="1"/>
  <c r="M1286" i="2"/>
  <c r="N1286" i="2" s="1"/>
  <c r="O1286" i="2" s="1"/>
  <c r="M1287" i="2"/>
  <c r="N1287" i="2" s="1"/>
  <c r="O1287" i="2" s="1"/>
  <c r="M1288" i="2"/>
  <c r="N1288" i="2"/>
  <c r="O1288" i="2"/>
  <c r="M1289" i="2"/>
  <c r="N1289" i="2" s="1"/>
  <c r="O1289" i="2" s="1"/>
  <c r="M1290" i="2"/>
  <c r="N1290" i="2"/>
  <c r="O1290" i="2" s="1"/>
  <c r="M1291" i="2"/>
  <c r="N1291" i="2"/>
  <c r="O1291" i="2"/>
  <c r="M1292" i="2"/>
  <c r="N1292" i="2"/>
  <c r="O1292" i="2"/>
  <c r="M1293" i="2"/>
  <c r="N1293" i="2" s="1"/>
  <c r="O1293" i="2" s="1"/>
  <c r="M1294" i="2"/>
  <c r="N1294" i="2"/>
  <c r="O1294" i="2"/>
  <c r="M1295" i="2"/>
  <c r="N1295" i="2" s="1"/>
  <c r="O1295" i="2" s="1"/>
  <c r="M1296" i="2"/>
  <c r="N1296" i="2" s="1"/>
  <c r="O1296" i="2" s="1"/>
  <c r="M1297" i="2"/>
  <c r="N1297" i="2"/>
  <c r="O1297" i="2"/>
  <c r="M1298" i="2"/>
  <c r="N1298" i="2"/>
  <c r="O1298" i="2" s="1"/>
  <c r="M1299" i="2"/>
  <c r="N1299" i="2" s="1"/>
  <c r="O1299" i="2" s="1"/>
  <c r="M1300" i="2"/>
  <c r="N1300" i="2"/>
  <c r="O1300" i="2"/>
  <c r="M1301" i="2"/>
  <c r="N1301" i="2" s="1"/>
  <c r="O1301" i="2" s="1"/>
  <c r="M1302" i="2"/>
  <c r="N1302" i="2"/>
  <c r="O1302" i="2" s="1"/>
  <c r="M1303" i="2"/>
  <c r="N1303" i="2" s="1"/>
  <c r="O1303" i="2" s="1"/>
  <c r="M1304" i="2"/>
  <c r="N1304" i="2"/>
  <c r="O1304" i="2" s="1"/>
  <c r="M1305" i="2"/>
  <c r="N1305" i="2"/>
  <c r="O1305" i="2"/>
  <c r="M1306" i="2"/>
  <c r="N1306" i="2" s="1"/>
  <c r="O1306" i="2"/>
  <c r="M1307" i="2"/>
  <c r="N1307" i="2"/>
  <c r="O1307" i="2" s="1"/>
  <c r="M1308" i="2"/>
  <c r="N1308" i="2"/>
  <c r="O1308" i="2"/>
  <c r="M1309" i="2"/>
  <c r="N1309" i="2" s="1"/>
  <c r="O1309" i="2"/>
  <c r="M1310" i="2"/>
  <c r="N1310" i="2" s="1"/>
  <c r="O1310" i="2" s="1"/>
  <c r="M1311" i="2"/>
  <c r="N1311" i="2"/>
  <c r="O1311" i="2"/>
  <c r="M1312" i="2"/>
  <c r="N1312" i="2"/>
  <c r="O1312" i="2"/>
  <c r="M1313" i="2"/>
  <c r="N1313" i="2"/>
  <c r="O1313" i="2" s="1"/>
  <c r="M1314" i="2"/>
  <c r="N1314" i="2"/>
  <c r="O1314" i="2"/>
  <c r="M1315" i="2"/>
  <c r="N1315" i="2"/>
  <c r="O1315" i="2"/>
  <c r="M1316" i="2"/>
  <c r="N1316" i="2" s="1"/>
  <c r="O1316" i="2" s="1"/>
  <c r="M1317" i="2"/>
  <c r="N1317" i="2"/>
  <c r="O1317" i="2" s="1"/>
  <c r="M1318" i="2"/>
  <c r="N1318" i="2"/>
  <c r="O1318" i="2"/>
  <c r="M1319" i="2"/>
  <c r="N1319" i="2" s="1"/>
  <c r="O1319" i="2" s="1"/>
  <c r="M1320" i="2"/>
  <c r="N1320" i="2"/>
  <c r="O1320" i="2"/>
  <c r="M1321" i="2"/>
  <c r="N1321" i="2" s="1"/>
  <c r="O1321" i="2"/>
  <c r="M1322" i="2"/>
  <c r="N1322" i="2" s="1"/>
  <c r="O1322" i="2" s="1"/>
  <c r="M1323" i="2"/>
  <c r="N1323" i="2"/>
  <c r="O1323" i="2"/>
  <c r="M1324" i="2"/>
  <c r="N1324" i="2"/>
  <c r="O1324" i="2" s="1"/>
  <c r="M1325" i="2"/>
  <c r="N1325" i="2"/>
  <c r="O1325" i="2"/>
  <c r="M1326" i="2"/>
  <c r="N1326" i="2" s="1"/>
  <c r="O1326" i="2" s="1"/>
  <c r="M1327" i="2"/>
  <c r="N1327" i="2"/>
  <c r="O1327" i="2" s="1"/>
  <c r="M1328" i="2"/>
  <c r="N1328" i="2"/>
  <c r="O1328" i="2" s="1"/>
  <c r="M1329" i="2"/>
  <c r="N1329" i="2"/>
  <c r="O1329" i="2"/>
  <c r="M1330" i="2"/>
  <c r="N1330" i="2"/>
  <c r="O1330" i="2" s="1"/>
  <c r="M1331" i="2"/>
  <c r="N1331" i="2" s="1"/>
  <c r="O1331" i="2" s="1"/>
  <c r="M1332" i="2"/>
  <c r="N1332" i="2"/>
  <c r="O1332" i="2"/>
  <c r="M1333" i="2"/>
  <c r="N1333" i="2" s="1"/>
  <c r="O1333" i="2" s="1"/>
  <c r="M1334" i="2"/>
  <c r="N1334" i="2"/>
  <c r="O1334" i="2"/>
  <c r="M1335" i="2"/>
  <c r="N1335" i="2"/>
  <c r="O1335" i="2"/>
  <c r="M1336" i="2"/>
  <c r="N1336" i="2" s="1"/>
  <c r="O1336" i="2" s="1"/>
  <c r="M1337" i="2"/>
  <c r="N1337" i="2"/>
  <c r="O1337" i="2" s="1"/>
  <c r="M1338" i="2"/>
  <c r="N1338" i="2"/>
  <c r="O1338" i="2"/>
  <c r="M1339" i="2"/>
  <c r="N1339" i="2"/>
  <c r="O1339" i="2" s="1"/>
  <c r="M1340" i="2"/>
  <c r="N1340" i="2"/>
  <c r="O1340" i="2"/>
  <c r="M1341" i="2"/>
  <c r="N1341" i="2" s="1"/>
  <c r="O1341" i="2"/>
  <c r="M1342" i="2"/>
  <c r="N1342" i="2" s="1"/>
  <c r="O1342" i="2" s="1"/>
  <c r="M1343" i="2"/>
  <c r="N1343" i="2"/>
  <c r="O1343" i="2"/>
  <c r="M1344" i="2"/>
  <c r="N1344" i="2"/>
  <c r="O1344" i="2" s="1"/>
  <c r="M1345" i="2"/>
  <c r="N1345" i="2" s="1"/>
  <c r="O1345" i="2" s="1"/>
  <c r="M1346" i="2"/>
  <c r="N1346" i="2"/>
  <c r="O1346" i="2"/>
  <c r="M1347" i="2"/>
  <c r="N1347" i="2" s="1"/>
  <c r="O1347" i="2" s="1"/>
  <c r="M1348" i="2"/>
  <c r="N1348" i="2"/>
  <c r="O1348" i="2"/>
  <c r="M1349" i="2"/>
  <c r="N1349" i="2" s="1"/>
  <c r="O1349" i="2" s="1"/>
  <c r="M1350" i="2"/>
  <c r="N1350" i="2"/>
  <c r="O1350" i="2" s="1"/>
  <c r="M1351" i="2"/>
  <c r="N1351" i="2"/>
  <c r="O1351" i="2"/>
  <c r="M1352" i="2"/>
  <c r="N1352" i="2"/>
  <c r="O1352" i="2"/>
  <c r="M1353" i="2"/>
  <c r="N1353" i="2" s="1"/>
  <c r="O1353" i="2" s="1"/>
  <c r="M1354" i="2"/>
  <c r="N1354" i="2"/>
  <c r="O1354" i="2"/>
  <c r="M1355" i="2"/>
  <c r="N1355" i="2"/>
  <c r="O1355" i="2"/>
  <c r="M1356" i="2"/>
  <c r="N1356" i="2" s="1"/>
  <c r="O1356" i="2" s="1"/>
  <c r="M1357" i="2"/>
  <c r="N1357" i="2"/>
  <c r="O1357" i="2" s="1"/>
  <c r="M1358" i="2"/>
  <c r="N1358" i="2" s="1"/>
  <c r="O1358" i="2" s="1"/>
  <c r="M1359" i="2"/>
  <c r="N1359" i="2"/>
  <c r="O1359" i="2"/>
  <c r="M1360" i="2"/>
  <c r="N1360" i="2" s="1"/>
  <c r="O1360" i="2" s="1"/>
  <c r="M1361" i="2"/>
  <c r="N1361" i="2"/>
  <c r="O1361" i="2" s="1"/>
  <c r="M1362" i="2"/>
  <c r="N1362" i="2"/>
  <c r="O1362" i="2"/>
  <c r="M1363" i="2"/>
  <c r="N1363" i="2"/>
  <c r="O1363" i="2"/>
  <c r="M1364" i="2"/>
  <c r="N1364" i="2" s="1"/>
  <c r="O1364" i="2" s="1"/>
  <c r="M1365" i="2"/>
  <c r="N1365" i="2"/>
  <c r="O1365" i="2"/>
  <c r="M1366" i="2"/>
  <c r="N1366" i="2" s="1"/>
  <c r="O1366" i="2" s="1"/>
  <c r="M1367" i="2"/>
  <c r="N1367" i="2"/>
  <c r="O1367" i="2"/>
  <c r="M1368" i="2"/>
  <c r="N1368" i="2"/>
  <c r="O1368" i="2"/>
  <c r="M1369" i="2"/>
  <c r="N1369" i="2"/>
  <c r="O1369" i="2" s="1"/>
  <c r="M1370" i="2"/>
  <c r="N1370" i="2"/>
  <c r="O1370" i="2" s="1"/>
  <c r="M1371" i="2"/>
  <c r="N1371" i="2"/>
  <c r="O1371" i="2"/>
  <c r="M1372" i="2"/>
  <c r="N1372" i="2" s="1"/>
  <c r="O1372" i="2" s="1"/>
  <c r="M1373" i="2"/>
  <c r="N1373" i="2"/>
  <c r="O1373" i="2"/>
  <c r="M1374" i="2"/>
  <c r="N1374" i="2"/>
  <c r="O1374" i="2"/>
  <c r="M1375" i="2"/>
  <c r="N1375" i="2" s="1"/>
  <c r="O1375" i="2" s="1"/>
  <c r="M1376" i="2"/>
  <c r="N1376" i="2"/>
  <c r="O1376" i="2"/>
  <c r="M1377" i="2"/>
  <c r="N1377" i="2"/>
  <c r="O1377" i="2" s="1"/>
  <c r="M1378" i="2"/>
  <c r="N1378" i="2"/>
  <c r="O1378" i="2"/>
  <c r="M1379" i="2"/>
  <c r="N1379" i="2" s="1"/>
  <c r="O1379" i="2" s="1"/>
  <c r="M1380" i="2"/>
  <c r="N1380" i="2"/>
  <c r="O1380" i="2" s="1"/>
  <c r="M1381" i="2"/>
  <c r="N1381" i="2"/>
  <c r="O1381" i="2"/>
  <c r="M1382" i="2"/>
  <c r="N1382" i="2"/>
  <c r="O1382" i="2"/>
  <c r="M1383" i="2"/>
  <c r="N1383" i="2" s="1"/>
  <c r="O1383" i="2" s="1"/>
  <c r="M1384" i="2"/>
  <c r="N1384" i="2"/>
  <c r="O1384" i="2"/>
  <c r="M1385" i="2"/>
  <c r="N1385" i="2"/>
  <c r="O1385" i="2"/>
  <c r="M1386" i="2"/>
  <c r="N1386" i="2" s="1"/>
  <c r="O1386" i="2" s="1"/>
  <c r="M1387" i="2"/>
  <c r="N1387" i="2"/>
  <c r="O1387" i="2"/>
  <c r="M1388" i="2"/>
  <c r="N1388" i="2"/>
  <c r="O1388" i="2" s="1"/>
  <c r="M1389" i="2"/>
  <c r="N1389" i="2"/>
  <c r="O1389" i="2"/>
  <c r="M1390" i="2"/>
  <c r="N1390" i="2"/>
  <c r="O1390" i="2"/>
  <c r="M1391" i="2"/>
  <c r="N1391" i="2"/>
  <c r="O1391" i="2" s="1"/>
  <c r="M1392" i="2"/>
  <c r="N1392" i="2" s="1"/>
  <c r="O1392" i="2" s="1"/>
  <c r="M1393" i="2"/>
  <c r="N1393" i="2"/>
  <c r="O1393" i="2"/>
  <c r="M1394" i="2"/>
  <c r="N1394" i="2"/>
  <c r="O1394" i="2"/>
  <c r="M1395" i="2"/>
  <c r="N1395" i="2"/>
  <c r="O1395" i="2"/>
  <c r="M1396" i="2"/>
  <c r="N1396" i="2"/>
  <c r="O1396" i="2" s="1"/>
  <c r="M1397" i="2"/>
  <c r="N1397" i="2" s="1"/>
  <c r="O1397" i="2" s="1"/>
  <c r="M1398" i="2"/>
  <c r="N1398" i="2"/>
  <c r="O1398" i="2"/>
  <c r="M1399" i="2"/>
  <c r="N1399" i="2" s="1"/>
  <c r="O1399" i="2" s="1"/>
  <c r="M1400" i="2"/>
  <c r="N1400" i="2"/>
  <c r="O1400" i="2"/>
  <c r="M1401" i="2"/>
  <c r="N1401" i="2"/>
  <c r="O1401" i="2"/>
  <c r="M1402" i="2"/>
  <c r="N1402" i="2" s="1"/>
  <c r="O1402" i="2" s="1"/>
  <c r="M1403" i="2"/>
  <c r="N1403" i="2"/>
  <c r="O1403" i="2" s="1"/>
  <c r="M1404" i="2"/>
  <c r="N1404" i="2"/>
  <c r="O1404" i="2" s="1"/>
  <c r="M1405" i="2"/>
  <c r="N1405" i="2" s="1"/>
  <c r="O1405" i="2" s="1"/>
  <c r="M1406" i="2"/>
  <c r="N1406" i="2"/>
  <c r="O1406" i="2"/>
  <c r="M1407" i="2"/>
  <c r="N1407" i="2"/>
  <c r="O1407" i="2"/>
  <c r="M1408" i="2"/>
  <c r="N1408" i="2" s="1"/>
  <c r="O1408" i="2" s="1"/>
  <c r="M1409" i="2"/>
  <c r="N1409" i="2"/>
  <c r="O1409" i="2"/>
  <c r="M1410" i="2"/>
  <c r="N1410" i="2" s="1"/>
  <c r="O1410" i="2" s="1"/>
  <c r="M1411" i="2"/>
  <c r="N1411" i="2"/>
  <c r="O1411" i="2" s="1"/>
  <c r="M1412" i="2"/>
  <c r="N1412" i="2" s="1"/>
  <c r="O1412" i="2" s="1"/>
  <c r="M1413" i="2"/>
  <c r="N1413" i="2" s="1"/>
  <c r="O1413" i="2"/>
  <c r="M1414" i="2"/>
  <c r="N1414" i="2"/>
  <c r="O1414" i="2" s="1"/>
  <c r="M1415" i="2"/>
  <c r="N1415" i="2" s="1"/>
  <c r="O1415" i="2"/>
  <c r="M1416" i="2"/>
  <c r="N1416" i="2" s="1"/>
  <c r="O1416" i="2" s="1"/>
  <c r="M1417" i="2"/>
  <c r="N1417" i="2"/>
  <c r="O1417" i="2"/>
  <c r="M1418" i="2"/>
  <c r="N1418" i="2"/>
  <c r="O1418" i="2"/>
  <c r="M1419" i="2"/>
  <c r="N1419" i="2" s="1"/>
  <c r="O1419" i="2" s="1"/>
  <c r="M1420" i="2"/>
  <c r="N1420" i="2" s="1"/>
  <c r="O1420" i="2" s="1"/>
  <c r="M1421" i="2"/>
  <c r="N1421" i="2" s="1"/>
  <c r="O1421" i="2" s="1"/>
  <c r="M1422" i="2"/>
  <c r="N1422" i="2"/>
  <c r="O1422" i="2"/>
  <c r="M1423" i="2"/>
  <c r="N1423" i="2"/>
  <c r="O1423" i="2"/>
  <c r="M1424" i="2"/>
  <c r="N1424" i="2" s="1"/>
  <c r="O1424" i="2"/>
  <c r="M1425" i="2"/>
  <c r="N1425" i="2"/>
  <c r="O1425" i="2" s="1"/>
  <c r="M1426" i="2"/>
  <c r="N1426" i="2"/>
  <c r="O1426" i="2"/>
  <c r="M1427" i="2"/>
  <c r="N1427" i="2"/>
  <c r="O1427" i="2"/>
  <c r="M1428" i="2"/>
  <c r="N1428" i="2"/>
  <c r="O1428" i="2"/>
  <c r="M1429" i="2"/>
  <c r="N1429" i="2"/>
  <c r="O1429" i="2" s="1"/>
  <c r="M1430" i="2"/>
  <c r="N1430" i="2"/>
  <c r="O1430" i="2"/>
  <c r="M1431" i="2"/>
  <c r="N1431" i="2"/>
  <c r="O1431" i="2"/>
  <c r="M1432" i="2"/>
  <c r="N1432" i="2" s="1"/>
  <c r="O1432" i="2" s="1"/>
  <c r="M1433" i="2"/>
  <c r="N1433" i="2" s="1"/>
  <c r="O1433" i="2" s="1"/>
  <c r="M1434" i="2"/>
  <c r="N1434" i="2"/>
  <c r="O1434" i="2"/>
  <c r="M1435" i="2"/>
  <c r="N1435" i="2"/>
  <c r="O1435" i="2"/>
  <c r="M1436" i="2"/>
  <c r="N1436" i="2" s="1"/>
  <c r="O1436" i="2" s="1"/>
  <c r="M1437" i="2"/>
  <c r="N1437" i="2"/>
  <c r="O1437" i="2"/>
  <c r="M1438" i="2"/>
  <c r="N1438" i="2"/>
  <c r="O1438" i="2"/>
  <c r="M1439" i="2"/>
  <c r="N1439" i="2"/>
  <c r="O1439" i="2"/>
  <c r="M1440" i="2"/>
  <c r="N1440" i="2" s="1"/>
  <c r="O1440" i="2" s="1"/>
  <c r="M1441" i="2"/>
  <c r="N1441" i="2"/>
  <c r="O1441" i="2"/>
  <c r="M1442" i="2"/>
  <c r="N1442" i="2"/>
  <c r="O1442" i="2"/>
  <c r="M1443" i="2"/>
  <c r="N1443" i="2" s="1"/>
  <c r="O1443" i="2" s="1"/>
  <c r="M1444" i="2"/>
  <c r="N1444" i="2"/>
  <c r="O1444" i="2"/>
  <c r="M1445" i="2"/>
  <c r="N1445" i="2"/>
  <c r="O1445" i="2" s="1"/>
  <c r="M1446" i="2"/>
  <c r="N1446" i="2"/>
  <c r="O1446" i="2"/>
  <c r="M1447" i="2"/>
  <c r="N1447" i="2" s="1"/>
  <c r="O1447" i="2" s="1"/>
  <c r="M1448" i="2"/>
  <c r="N1448" i="2"/>
  <c r="O1448" i="2"/>
  <c r="M1449" i="2"/>
  <c r="N1449" i="2"/>
  <c r="O1449" i="2"/>
  <c r="M1450" i="2"/>
  <c r="N1450" i="2"/>
  <c r="O1450" i="2"/>
  <c r="M1451" i="2"/>
  <c r="N1451" i="2" s="1"/>
  <c r="O1451" i="2" s="1"/>
  <c r="M1452" i="2"/>
  <c r="N1452" i="2"/>
  <c r="O1452" i="2"/>
  <c r="M1453" i="2"/>
  <c r="N1453" i="2"/>
  <c r="O1453" i="2"/>
  <c r="M1454" i="2"/>
  <c r="N1454" i="2" s="1"/>
  <c r="O1454" i="2" s="1"/>
  <c r="M1455" i="2"/>
  <c r="N1455" i="2"/>
  <c r="O1455" i="2"/>
  <c r="M1456" i="2"/>
  <c r="N1456" i="2"/>
  <c r="O1456" i="2"/>
  <c r="M1457" i="2"/>
  <c r="N1457" i="2"/>
  <c r="O1457" i="2"/>
  <c r="M1458" i="2"/>
  <c r="N1458" i="2"/>
  <c r="O1458" i="2"/>
  <c r="M1459" i="2"/>
  <c r="N1459" i="2"/>
  <c r="O1459" i="2" s="1"/>
  <c r="M1460" i="2"/>
  <c r="N1460" i="2"/>
  <c r="O1460" i="2"/>
  <c r="M1461" i="2"/>
  <c r="N1461" i="2"/>
  <c r="O1461" i="2"/>
  <c r="M1462" i="2"/>
  <c r="N1462" i="2" s="1"/>
  <c r="O1462" i="2" s="1"/>
  <c r="M1463" i="2"/>
  <c r="N1463" i="2" s="1"/>
  <c r="O1463" i="2" s="1"/>
  <c r="M1464" i="2"/>
  <c r="N1464" i="2"/>
  <c r="O1464" i="2"/>
  <c r="M1465" i="2"/>
  <c r="N1465" i="2"/>
  <c r="O1465" i="2"/>
  <c r="M1466" i="2"/>
  <c r="N1466" i="2"/>
  <c r="O1466" i="2"/>
  <c r="M1467" i="2"/>
  <c r="N1467" i="2"/>
  <c r="O1467" i="2" s="1"/>
  <c r="M1468" i="2"/>
  <c r="N1468" i="2"/>
  <c r="O1468" i="2" s="1"/>
  <c r="M1469" i="2"/>
  <c r="N1469" i="2" s="1"/>
  <c r="O1469" i="2" s="1"/>
  <c r="M1470" i="2"/>
  <c r="N1470" i="2"/>
  <c r="O1470" i="2" s="1"/>
  <c r="M1471" i="2"/>
  <c r="N1471" i="2"/>
  <c r="O1471" i="2"/>
  <c r="M1472" i="2"/>
  <c r="N1472" i="2"/>
  <c r="O1472" i="2"/>
  <c r="M1473" i="2"/>
  <c r="N1473" i="2" s="1"/>
  <c r="O1473" i="2" s="1"/>
  <c r="M1474" i="2"/>
  <c r="N1474" i="2"/>
  <c r="O1474" i="2"/>
  <c r="M1475" i="2"/>
  <c r="N1475" i="2"/>
  <c r="O1475" i="2" s="1"/>
  <c r="M1476" i="2"/>
  <c r="N1476" i="2"/>
  <c r="O1476" i="2"/>
  <c r="M1477" i="2"/>
  <c r="N1477" i="2"/>
  <c r="O1477" i="2"/>
  <c r="M1478" i="2"/>
  <c r="N1478" i="2" s="1"/>
  <c r="O1478" i="2" s="1"/>
  <c r="M1479" i="2"/>
  <c r="N1479" i="2" s="1"/>
  <c r="O1479" i="2"/>
  <c r="M1480" i="2"/>
  <c r="N1480" i="2" s="1"/>
  <c r="O1480" i="2" s="1"/>
  <c r="M1481" i="2"/>
  <c r="N1481" i="2"/>
  <c r="O1481" i="2" s="1"/>
  <c r="M1482" i="2"/>
  <c r="N1482" i="2"/>
  <c r="O1482" i="2"/>
  <c r="M1483" i="2"/>
  <c r="N1483" i="2"/>
  <c r="O1483" i="2"/>
  <c r="M1484" i="2"/>
  <c r="N1484" i="2" s="1"/>
  <c r="O1484" i="2" s="1"/>
  <c r="M1485" i="2"/>
  <c r="N1485" i="2"/>
  <c r="O1485" i="2" s="1"/>
  <c r="M1486" i="2"/>
  <c r="N1486" i="2"/>
  <c r="O1486" i="2"/>
  <c r="M1487" i="2"/>
  <c r="N1487" i="2"/>
  <c r="O1487" i="2"/>
  <c r="M1488" i="2"/>
  <c r="N1488" i="2"/>
  <c r="O1488" i="2" s="1"/>
  <c r="M1489" i="2"/>
  <c r="N1489" i="2" s="1"/>
  <c r="O1489" i="2" s="1"/>
  <c r="M1490" i="2"/>
  <c r="N1490" i="2"/>
  <c r="O1490" i="2"/>
  <c r="M1491" i="2"/>
  <c r="N1491" i="2"/>
  <c r="O1491" i="2"/>
  <c r="M1492" i="2"/>
  <c r="N1492" i="2" s="1"/>
  <c r="O1492" i="2" s="1"/>
  <c r="M1493" i="2"/>
  <c r="N1493" i="2"/>
  <c r="O1493" i="2"/>
  <c r="M1494" i="2"/>
  <c r="N1494" i="2"/>
  <c r="O1494" i="2" s="1"/>
  <c r="M1495" i="2"/>
  <c r="N1495" i="2" s="1"/>
  <c r="O1495" i="2"/>
  <c r="M1496" i="2"/>
  <c r="N1496" i="2"/>
  <c r="O1496" i="2"/>
  <c r="M1497" i="2"/>
  <c r="N1497" i="2"/>
  <c r="O1497" i="2" s="1"/>
  <c r="M1498" i="2"/>
  <c r="N1498" i="2"/>
  <c r="O1498" i="2"/>
  <c r="M1499" i="2"/>
  <c r="N1499" i="2"/>
  <c r="O1499" i="2"/>
  <c r="M1500" i="2"/>
  <c r="N1500" i="2" s="1"/>
  <c r="O1500" i="2" s="1"/>
  <c r="M1501" i="2"/>
  <c r="N1501" i="2"/>
  <c r="O1501" i="2" s="1"/>
  <c r="M1502" i="2"/>
  <c r="N1502" i="2"/>
  <c r="O1502" i="2"/>
  <c r="M1503" i="2"/>
  <c r="N1503" i="2" s="1"/>
  <c r="O1503" i="2" s="1"/>
  <c r="M1504" i="2"/>
  <c r="N1504" i="2"/>
  <c r="O1504" i="2"/>
  <c r="M1505" i="2"/>
  <c r="N1505" i="2"/>
  <c r="O1505" i="2"/>
  <c r="M1506" i="2"/>
  <c r="N1506" i="2" s="1"/>
  <c r="O1506" i="2"/>
  <c r="M1507" i="2"/>
  <c r="N1507" i="2"/>
  <c r="O1507" i="2" s="1"/>
  <c r="M1508" i="2"/>
  <c r="N1508" i="2"/>
  <c r="O1508" i="2" s="1"/>
  <c r="M1509" i="2"/>
  <c r="N1509" i="2"/>
  <c r="O1509" i="2"/>
  <c r="M1510" i="2"/>
  <c r="N1510" i="2"/>
  <c r="O1510" i="2" s="1"/>
  <c r="M1511" i="2"/>
  <c r="N1511" i="2" s="1"/>
  <c r="O1511" i="2" s="1"/>
  <c r="M1512" i="2"/>
  <c r="N1512" i="2"/>
  <c r="O1512" i="2"/>
  <c r="M1513" i="2"/>
  <c r="N1513" i="2"/>
  <c r="O1513" i="2"/>
  <c r="M1514" i="2"/>
  <c r="N1514" i="2" s="1"/>
  <c r="O1514" i="2" s="1"/>
  <c r="M1515" i="2"/>
  <c r="N1515" i="2"/>
  <c r="O1515" i="2"/>
  <c r="M1516" i="2"/>
  <c r="N1516" i="2"/>
  <c r="O1516" i="2"/>
  <c r="M1517" i="2"/>
  <c r="N1517" i="2" s="1"/>
  <c r="O1517" i="2"/>
  <c r="M1518" i="2"/>
  <c r="N1518" i="2"/>
  <c r="O1518" i="2"/>
  <c r="M1519" i="2"/>
  <c r="N1519" i="2"/>
  <c r="O1519" i="2" s="1"/>
  <c r="M1520" i="2"/>
  <c r="N1520" i="2"/>
  <c r="O1520" i="2" s="1"/>
  <c r="M1521" i="2"/>
  <c r="N1521" i="2"/>
  <c r="O1521" i="2"/>
  <c r="M1522" i="2"/>
  <c r="N1522" i="2"/>
  <c r="O1522" i="2"/>
  <c r="M1523" i="2"/>
  <c r="N1523" i="2" s="1"/>
  <c r="O1523" i="2" s="1"/>
  <c r="M1524" i="2"/>
  <c r="N1524" i="2"/>
  <c r="O1524" i="2"/>
  <c r="M1525" i="2"/>
  <c r="N1525" i="2"/>
  <c r="O1525" i="2"/>
  <c r="M1526" i="2"/>
  <c r="N1526" i="2"/>
  <c r="O1526" i="2"/>
  <c r="M1527" i="2"/>
  <c r="N1527" i="2" s="1"/>
  <c r="O1527" i="2" s="1"/>
  <c r="M1528" i="2"/>
  <c r="N1528" i="2"/>
  <c r="O1528" i="2"/>
  <c r="M1529" i="2"/>
  <c r="N1529" i="2"/>
  <c r="O1529" i="2" s="1"/>
  <c r="M1530" i="2"/>
  <c r="N1530" i="2" s="1"/>
  <c r="O1530" i="2" s="1"/>
  <c r="M1531" i="2"/>
  <c r="N1531" i="2"/>
  <c r="O1531" i="2"/>
  <c r="M1532" i="2"/>
  <c r="N1532" i="2"/>
  <c r="O1532" i="2" s="1"/>
  <c r="M1533" i="2"/>
  <c r="N1533" i="2" s="1"/>
  <c r="O1533" i="2"/>
  <c r="M1534" i="2"/>
  <c r="N1534" i="2"/>
  <c r="O1534" i="2" s="1"/>
  <c r="M1535" i="2"/>
  <c r="N1535" i="2"/>
  <c r="O1535" i="2"/>
  <c r="M1536" i="2"/>
  <c r="N1536" i="2"/>
  <c r="O1536" i="2"/>
  <c r="M1537" i="2"/>
  <c r="N1537" i="2"/>
  <c r="O1537" i="2"/>
  <c r="M1538" i="2"/>
  <c r="N1538" i="2"/>
  <c r="O1538" i="2" s="1"/>
  <c r="M1539" i="2"/>
  <c r="N1539" i="2"/>
  <c r="O1539" i="2" s="1"/>
  <c r="M1540" i="2"/>
  <c r="N1540" i="2" s="1"/>
  <c r="O1540" i="2" s="1"/>
  <c r="M1541" i="2"/>
  <c r="N1541" i="2" s="1"/>
  <c r="O1541" i="2" s="1"/>
  <c r="M1542" i="2"/>
  <c r="N1542" i="2"/>
  <c r="O1542" i="2"/>
  <c r="M1543" i="2"/>
  <c r="N1543" i="2" s="1"/>
  <c r="O1543" i="2"/>
  <c r="M1544" i="2"/>
  <c r="N1544" i="2" s="1"/>
  <c r="O1544" i="2"/>
  <c r="M1545" i="2"/>
  <c r="N1545" i="2"/>
  <c r="O1545" i="2" s="1"/>
  <c r="M1546" i="2"/>
  <c r="N1546" i="2"/>
  <c r="O1546" i="2"/>
  <c r="M1547" i="2"/>
  <c r="N1547" i="2"/>
  <c r="O1547" i="2"/>
  <c r="M1548" i="2"/>
  <c r="N1548" i="2"/>
  <c r="O1548" i="2"/>
  <c r="M1549" i="2"/>
  <c r="N1549" i="2"/>
  <c r="O1549" i="2" s="1"/>
  <c r="M1550" i="2"/>
  <c r="N1550" i="2"/>
  <c r="O1550" i="2"/>
  <c r="M1551" i="2"/>
  <c r="N1551" i="2"/>
  <c r="O1551" i="2"/>
  <c r="M1552" i="2"/>
  <c r="N1552" i="2" s="1"/>
  <c r="O1552" i="2" s="1"/>
  <c r="M1553" i="2"/>
  <c r="N1553" i="2"/>
  <c r="O1553" i="2" s="1"/>
  <c r="M1554" i="2"/>
  <c r="N1554" i="2"/>
  <c r="O1554" i="2"/>
  <c r="M1555" i="2"/>
  <c r="N1555" i="2"/>
  <c r="O1555" i="2" s="1"/>
  <c r="M1556" i="2"/>
  <c r="N1556" i="2" s="1"/>
  <c r="O1556" i="2" s="1"/>
  <c r="M1557" i="2"/>
  <c r="N1557" i="2"/>
  <c r="O1557" i="2" s="1"/>
  <c r="M1558" i="2"/>
  <c r="N1558" i="2"/>
  <c r="O1558" i="2"/>
  <c r="M1559" i="2"/>
  <c r="N1559" i="2"/>
  <c r="O1559" i="2"/>
  <c r="M1560" i="2"/>
  <c r="N1560" i="2" s="1"/>
  <c r="O1560" i="2" s="1"/>
  <c r="M1561" i="2"/>
  <c r="N1561" i="2"/>
  <c r="O1561" i="2" s="1"/>
  <c r="M1562" i="2"/>
  <c r="N1562" i="2" s="1"/>
  <c r="O1562" i="2" s="1"/>
  <c r="M1563" i="2"/>
  <c r="N1563" i="2"/>
  <c r="O1563" i="2"/>
  <c r="M1564" i="2"/>
  <c r="N1564" i="2"/>
  <c r="O1564" i="2" s="1"/>
  <c r="M1565" i="2"/>
  <c r="N1565" i="2"/>
  <c r="O1565" i="2" s="1"/>
  <c r="M1566" i="2"/>
  <c r="N1566" i="2"/>
  <c r="O1566" i="2"/>
  <c r="M1567" i="2"/>
  <c r="N1567" i="2" s="1"/>
  <c r="O1567" i="2" s="1"/>
  <c r="M1568" i="2"/>
  <c r="N1568" i="2"/>
  <c r="O1568" i="2" s="1"/>
  <c r="M1569" i="2"/>
  <c r="N1569" i="2"/>
  <c r="O1569" i="2"/>
  <c r="M1570" i="2"/>
  <c r="N1570" i="2"/>
  <c r="O1570" i="2"/>
  <c r="M1571" i="2"/>
  <c r="N1571" i="2" s="1"/>
  <c r="O1571" i="2" s="1"/>
  <c r="M1572" i="2"/>
  <c r="N1572" i="2" s="1"/>
  <c r="O1572" i="2" s="1"/>
  <c r="M1573" i="2"/>
  <c r="N1573" i="2"/>
  <c r="O1573" i="2"/>
  <c r="M1574" i="2"/>
  <c r="N1574" i="2"/>
  <c r="O1574" i="2"/>
  <c r="M1575" i="2"/>
  <c r="N1575" i="2" s="1"/>
  <c r="O1575" i="2"/>
  <c r="M1576" i="2"/>
  <c r="N1576" i="2"/>
  <c r="O1576" i="2"/>
  <c r="M1577" i="2"/>
  <c r="N1577" i="2"/>
  <c r="O1577" i="2"/>
  <c r="M1578" i="2"/>
  <c r="N1578" i="2" s="1"/>
  <c r="O1578" i="2" s="1"/>
  <c r="M1579" i="2"/>
  <c r="N1579" i="2"/>
  <c r="O1579" i="2" s="1"/>
  <c r="M1580" i="2"/>
  <c r="N1580" i="2"/>
  <c r="O1580" i="2"/>
  <c r="M1581" i="2"/>
  <c r="N1581" i="2"/>
  <c r="O1581" i="2"/>
  <c r="M1582" i="2"/>
  <c r="N1582" i="2" s="1"/>
  <c r="O1582" i="2" s="1"/>
  <c r="M1583" i="2"/>
  <c r="N1583" i="2"/>
  <c r="O1583" i="2"/>
  <c r="M1584" i="2"/>
  <c r="N1584" i="2"/>
  <c r="O1584" i="2"/>
  <c r="M1585" i="2"/>
  <c r="N1585" i="2"/>
  <c r="O1585" i="2"/>
  <c r="M1586" i="2"/>
  <c r="N1586" i="2"/>
  <c r="O1586" i="2"/>
  <c r="M1587" i="2"/>
  <c r="N1587" i="2"/>
  <c r="O1587" i="2" s="1"/>
  <c r="M1588" i="2"/>
  <c r="N1588" i="2"/>
  <c r="O1588" i="2"/>
  <c r="M1589" i="2"/>
  <c r="N1589" i="2"/>
  <c r="O1589" i="2"/>
  <c r="M1590" i="2"/>
  <c r="N1590" i="2" s="1"/>
  <c r="O1590" i="2" s="1"/>
  <c r="M1591" i="2"/>
  <c r="N1591" i="2"/>
  <c r="O1591" i="2"/>
  <c r="M1592" i="2"/>
  <c r="N1592" i="2" s="1"/>
  <c r="O1592" i="2" s="1"/>
  <c r="M1593" i="2"/>
  <c r="N1593" i="2" s="1"/>
  <c r="O1593" i="2"/>
  <c r="M1594" i="2"/>
  <c r="N1594" i="2"/>
  <c r="O1594" i="2" s="1"/>
  <c r="M1595" i="2"/>
  <c r="N1595" i="2"/>
  <c r="O1595" i="2" s="1"/>
  <c r="M1596" i="2"/>
  <c r="N1596" i="2"/>
  <c r="O1596" i="2" s="1"/>
  <c r="M1597" i="2"/>
  <c r="N1597" i="2"/>
  <c r="O1597" i="2" s="1"/>
  <c r="M1598" i="2"/>
  <c r="N1598" i="2"/>
  <c r="O1598" i="2" s="1"/>
  <c r="M1599" i="2"/>
  <c r="N1599" i="2"/>
  <c r="O1599" i="2"/>
  <c r="M1600" i="2"/>
  <c r="N1600" i="2"/>
  <c r="O1600" i="2"/>
  <c r="M1601" i="2"/>
  <c r="N1601" i="2" s="1"/>
  <c r="O1601" i="2" s="1"/>
  <c r="M1602" i="2"/>
  <c r="N1602" i="2"/>
  <c r="O1602" i="2"/>
  <c r="M1603" i="2"/>
  <c r="N1603" i="2"/>
  <c r="O1603" i="2"/>
  <c r="M1604" i="2"/>
  <c r="N1604" i="2" s="1"/>
  <c r="O1604" i="2" s="1"/>
  <c r="M1605" i="2"/>
  <c r="N1605" i="2" s="1"/>
  <c r="O1605" i="2" s="1"/>
  <c r="M1606" i="2"/>
  <c r="N1606" i="2"/>
  <c r="O1606" i="2" s="1"/>
  <c r="M1607" i="2"/>
  <c r="N1607" i="2" s="1"/>
  <c r="O1607" i="2"/>
  <c r="M1608" i="2"/>
  <c r="N1608" i="2"/>
  <c r="O1608" i="2"/>
  <c r="M1609" i="2"/>
  <c r="N1609" i="2"/>
  <c r="O1609" i="2" s="1"/>
  <c r="M1610" i="2"/>
  <c r="N1610" i="2"/>
  <c r="O1610" i="2" s="1"/>
  <c r="M1611" i="2"/>
  <c r="N1611" i="2"/>
  <c r="O1611" i="2"/>
  <c r="M1612" i="2"/>
  <c r="N1612" i="2" s="1"/>
  <c r="O1612" i="2" s="1"/>
  <c r="M1613" i="2"/>
  <c r="N1613" i="2"/>
  <c r="O1613" i="2"/>
  <c r="M1614" i="2"/>
  <c r="N1614" i="2"/>
  <c r="O1614" i="2"/>
  <c r="M1615" i="2"/>
  <c r="N1615" i="2" s="1"/>
  <c r="O1615" i="2"/>
  <c r="M1616" i="2"/>
  <c r="N1616" i="2"/>
  <c r="O1616" i="2"/>
  <c r="M1617" i="2"/>
  <c r="N1617" i="2" s="1"/>
  <c r="O1617" i="2" s="1"/>
  <c r="M1618" i="2"/>
  <c r="N1618" i="2"/>
  <c r="O1618" i="2"/>
  <c r="M1619" i="2"/>
  <c r="N1619" i="2"/>
  <c r="O1619" i="2"/>
  <c r="M1620" i="2"/>
  <c r="N1620" i="2" s="1"/>
  <c r="O1620" i="2" s="1"/>
  <c r="M1621" i="2"/>
  <c r="N1621" i="2"/>
  <c r="O1621" i="2" s="1"/>
  <c r="M1622" i="2"/>
  <c r="N1622" i="2"/>
  <c r="O1622" i="2"/>
  <c r="M1623" i="2"/>
  <c r="N1623" i="2"/>
  <c r="O1623" i="2"/>
  <c r="M1624" i="2"/>
  <c r="N1624" i="2"/>
  <c r="O1624" i="2"/>
  <c r="M1625" i="2"/>
  <c r="N1625" i="2" s="1"/>
  <c r="O1625" i="2" s="1"/>
  <c r="M1626" i="2"/>
  <c r="N1626" i="2"/>
  <c r="O1626" i="2"/>
  <c r="M1627" i="2"/>
  <c r="N1627" i="2"/>
  <c r="O1627" i="2"/>
  <c r="M1628" i="2"/>
  <c r="N1628" i="2" s="1"/>
  <c r="O1628" i="2" s="1"/>
  <c r="M1629" i="2"/>
  <c r="N1629" i="2"/>
  <c r="O1629" i="2"/>
  <c r="M1630" i="2"/>
  <c r="N1630" i="2"/>
  <c r="O1630" i="2" s="1"/>
  <c r="M1631" i="2"/>
  <c r="N1631" i="2" s="1"/>
  <c r="O1631" i="2" s="1"/>
  <c r="M1632" i="2"/>
  <c r="N1632" i="2"/>
  <c r="O1632" i="2" s="1"/>
  <c r="M1633" i="2"/>
  <c r="N1633" i="2"/>
  <c r="O1633" i="2"/>
  <c r="M1634" i="2"/>
  <c r="N1634" i="2"/>
  <c r="O1634" i="2"/>
  <c r="M1635" i="2"/>
  <c r="N1635" i="2"/>
  <c r="O1635" i="2"/>
  <c r="M1636" i="2"/>
  <c r="N1636" i="2"/>
  <c r="O1636" i="2" s="1"/>
  <c r="M1637" i="2"/>
  <c r="N1637" i="2"/>
  <c r="O1637" i="2"/>
  <c r="M1638" i="2"/>
  <c r="N1638" i="2"/>
  <c r="O1638" i="2" s="1"/>
  <c r="M1639" i="2"/>
  <c r="N1639" i="2" s="1"/>
  <c r="O1639" i="2" s="1"/>
  <c r="M1640" i="2"/>
  <c r="N1640" i="2"/>
  <c r="O1640" i="2"/>
  <c r="M1641" i="2"/>
  <c r="N1641" i="2"/>
  <c r="O1641" i="2"/>
  <c r="M1642" i="2"/>
  <c r="N1642" i="2" s="1"/>
  <c r="O1642" i="2" s="1"/>
  <c r="M1643" i="2"/>
  <c r="N1643" i="2" s="1"/>
  <c r="O1643" i="2" s="1"/>
  <c r="M1644" i="2"/>
  <c r="N1644" i="2"/>
  <c r="O1644" i="2"/>
  <c r="M1645" i="2"/>
  <c r="N1645" i="2"/>
  <c r="O1645" i="2"/>
  <c r="M1646" i="2"/>
  <c r="N1646" i="2"/>
  <c r="O1646" i="2"/>
  <c r="M1647" i="2"/>
  <c r="N1647" i="2"/>
  <c r="O1647" i="2" s="1"/>
  <c r="M1648" i="2"/>
  <c r="N1648" i="2"/>
  <c r="O1648" i="2"/>
  <c r="M1649" i="2"/>
  <c r="N1649" i="2"/>
  <c r="O1649" i="2"/>
  <c r="M1650" i="2"/>
  <c r="N1650" i="2"/>
  <c r="O1650" i="2"/>
  <c r="M1651" i="2"/>
  <c r="N1651" i="2"/>
  <c r="O1651" i="2"/>
  <c r="M1652" i="2"/>
  <c r="N1652" i="2"/>
  <c r="O1652" i="2"/>
  <c r="M1653" i="2"/>
  <c r="N1653" i="2"/>
  <c r="O1653" i="2"/>
  <c r="M1654" i="2"/>
  <c r="N1654" i="2" s="1"/>
  <c r="O1654" i="2" s="1"/>
  <c r="M1655" i="2"/>
  <c r="N1655" i="2"/>
  <c r="O1655" i="2" s="1"/>
  <c r="M1656" i="2"/>
  <c r="N1656" i="2"/>
  <c r="O1656" i="2"/>
  <c r="M1657" i="2"/>
  <c r="N1657" i="2"/>
  <c r="O1657" i="2" s="1"/>
  <c r="M1658" i="2"/>
  <c r="N1658" i="2" s="1"/>
  <c r="O1658" i="2" s="1"/>
  <c r="M1659" i="2"/>
  <c r="N1659" i="2"/>
  <c r="O1659" i="2"/>
  <c r="M1660" i="2"/>
  <c r="N1660" i="2"/>
  <c r="O1660" i="2" s="1"/>
  <c r="M1661" i="2"/>
  <c r="N1661" i="2" s="1"/>
  <c r="O1661" i="2" s="1"/>
  <c r="M1662" i="2"/>
  <c r="N1662" i="2"/>
  <c r="O1662" i="2"/>
  <c r="M1663" i="2"/>
  <c r="N1663" i="2"/>
  <c r="O1663" i="2" s="1"/>
  <c r="M1664" i="2"/>
  <c r="N1664" i="2"/>
  <c r="O1664" i="2"/>
  <c r="M1665" i="2"/>
  <c r="N1665" i="2" s="1"/>
  <c r="O1665" i="2" s="1"/>
  <c r="M1666" i="2"/>
  <c r="N1666" i="2"/>
  <c r="O1666" i="2" s="1"/>
  <c r="M1667" i="2"/>
  <c r="N1667" i="2"/>
  <c r="O1667" i="2"/>
  <c r="M1668" i="2"/>
  <c r="N1668" i="2"/>
  <c r="O1668" i="2"/>
  <c r="M1669" i="2"/>
  <c r="N1669" i="2" s="1"/>
  <c r="O1669" i="2" s="1"/>
  <c r="M1670" i="2"/>
  <c r="N1670" i="2" s="1"/>
  <c r="O1670" i="2" s="1"/>
  <c r="M1671" i="2"/>
  <c r="N1671" i="2" s="1"/>
  <c r="O1671" i="2"/>
  <c r="M1672" i="2"/>
  <c r="N1672" i="2" s="1"/>
  <c r="O1672" i="2" s="1"/>
  <c r="M1673" i="2"/>
  <c r="N1673" i="2"/>
  <c r="O1673" i="2"/>
  <c r="M1674" i="2"/>
  <c r="N1674" i="2"/>
  <c r="O1674" i="2"/>
  <c r="M1675" i="2"/>
  <c r="N1675" i="2"/>
  <c r="O1675" i="2"/>
  <c r="M1676" i="2"/>
  <c r="N1676" i="2" s="1"/>
  <c r="O1676" i="2" s="1"/>
  <c r="M1677" i="2"/>
  <c r="N1677" i="2"/>
  <c r="O1677" i="2" s="1"/>
  <c r="M1678" i="2"/>
  <c r="N1678" i="2"/>
  <c r="O1678" i="2"/>
  <c r="M1679" i="2"/>
  <c r="N1679" i="2"/>
  <c r="O1679" i="2"/>
  <c r="M1680" i="2"/>
  <c r="N1680" i="2" s="1"/>
  <c r="O1680" i="2" s="1"/>
  <c r="M1681" i="2"/>
  <c r="N1681" i="2"/>
  <c r="O1681" i="2"/>
  <c r="M1682" i="2"/>
  <c r="N1682" i="2"/>
  <c r="O1682" i="2"/>
  <c r="M1683" i="2"/>
  <c r="N1683" i="2"/>
  <c r="O1683" i="2"/>
  <c r="M1684" i="2"/>
  <c r="N1684" i="2"/>
  <c r="O1684" i="2"/>
  <c r="M1685" i="2"/>
  <c r="N1685" i="2"/>
  <c r="O1685" i="2" s="1"/>
  <c r="M1686" i="2"/>
  <c r="N1686" i="2"/>
  <c r="O1686" i="2"/>
  <c r="M1687" i="2"/>
  <c r="N1687" i="2"/>
  <c r="O1687" i="2"/>
  <c r="M1688" i="2"/>
  <c r="N1688" i="2" s="1"/>
  <c r="O1688" i="2" s="1"/>
  <c r="M1689" i="2"/>
  <c r="N1689" i="2"/>
  <c r="O1689" i="2"/>
  <c r="M1690" i="2"/>
  <c r="N1690" i="2" s="1"/>
  <c r="O1690" i="2" s="1"/>
  <c r="M1691" i="2"/>
  <c r="N1691" i="2" s="1"/>
  <c r="O1691" i="2"/>
  <c r="M1692" i="2"/>
  <c r="N1692" i="2"/>
  <c r="O1692" i="2" s="1"/>
  <c r="M1693" i="2"/>
  <c r="N1693" i="2"/>
  <c r="O1693" i="2"/>
  <c r="M1694" i="2"/>
  <c r="N1694" i="2"/>
  <c r="O1694" i="2"/>
  <c r="M1695" i="2"/>
  <c r="N1695" i="2" s="1"/>
  <c r="O1695" i="2" s="1"/>
  <c r="M1696" i="2"/>
  <c r="N1696" i="2"/>
  <c r="O1696" i="2" s="1"/>
  <c r="M1697" i="2"/>
  <c r="N1697" i="2"/>
  <c r="O1697" i="2" s="1"/>
  <c r="M1698" i="2"/>
  <c r="N1698" i="2"/>
  <c r="O1698" i="2"/>
  <c r="M1699" i="2"/>
  <c r="N1699" i="2" s="1"/>
  <c r="O1699" i="2" s="1"/>
  <c r="M1700" i="2"/>
  <c r="N1700" i="2"/>
  <c r="O1700" i="2"/>
  <c r="M1701" i="2"/>
  <c r="N1701" i="2"/>
  <c r="O1701" i="2"/>
  <c r="M1702" i="2"/>
  <c r="N1702" i="2" s="1"/>
  <c r="O1702" i="2"/>
  <c r="M1703" i="2"/>
  <c r="N1703" i="2" s="1"/>
  <c r="O1703" i="2"/>
  <c r="M1704" i="2"/>
  <c r="N1704" i="2"/>
  <c r="O1704" i="2"/>
  <c r="M1705" i="2"/>
  <c r="N1705" i="2"/>
  <c r="O1705" i="2"/>
  <c r="M1706" i="2"/>
  <c r="N1706" i="2"/>
  <c r="O1706" i="2"/>
  <c r="M1707" i="2"/>
  <c r="N1707" i="2"/>
  <c r="O1707" i="2" s="1"/>
  <c r="M1708" i="2"/>
  <c r="N1708" i="2"/>
  <c r="O1708" i="2" s="1"/>
  <c r="M1709" i="2"/>
  <c r="N1709" i="2"/>
  <c r="O1709" i="2"/>
  <c r="M1710" i="2"/>
  <c r="N1710" i="2" s="1"/>
  <c r="O1710" i="2" s="1"/>
  <c r="M1711" i="2"/>
  <c r="N1711" i="2"/>
  <c r="O1711" i="2"/>
  <c r="M1712" i="2"/>
  <c r="N1712" i="2"/>
  <c r="O1712" i="2"/>
  <c r="M1713" i="2"/>
  <c r="N1713" i="2" s="1"/>
  <c r="O1713" i="2"/>
  <c r="M1714" i="2"/>
  <c r="N1714" i="2"/>
  <c r="O1714" i="2"/>
  <c r="M1715" i="2"/>
  <c r="N1715" i="2" s="1"/>
  <c r="O1715" i="2" s="1"/>
  <c r="M1716" i="2"/>
  <c r="N1716" i="2"/>
  <c r="O1716" i="2"/>
  <c r="M1717" i="2"/>
  <c r="N1717" i="2"/>
  <c r="O1717" i="2"/>
  <c r="M1718" i="2"/>
  <c r="N1718" i="2" s="1"/>
  <c r="O1718" i="2"/>
  <c r="M1719" i="2"/>
  <c r="N1719" i="2"/>
  <c r="O1719" i="2" s="1"/>
  <c r="M1720" i="2"/>
  <c r="N1720" i="2"/>
  <c r="O1720" i="2"/>
  <c r="M1721" i="2"/>
  <c r="N1721" i="2"/>
  <c r="O1721" i="2"/>
  <c r="M1722" i="2"/>
  <c r="N1722" i="2"/>
  <c r="O1722" i="2"/>
  <c r="M1723" i="2"/>
  <c r="N1723" i="2"/>
  <c r="O1723" i="2" s="1"/>
  <c r="M1724" i="2"/>
  <c r="N1724" i="2"/>
  <c r="O1724" i="2" s="1"/>
  <c r="M1725" i="2"/>
  <c r="N1725" i="2"/>
  <c r="O1725" i="2" s="1"/>
  <c r="M1726" i="2"/>
  <c r="N1726" i="2"/>
  <c r="O1726" i="2" s="1"/>
  <c r="M1727" i="2"/>
  <c r="N1727" i="2"/>
  <c r="O1727" i="2"/>
  <c r="M1728" i="2"/>
  <c r="N1728" i="2"/>
  <c r="O1728" i="2" s="1"/>
  <c r="M1729" i="2"/>
  <c r="N1729" i="2" s="1"/>
  <c r="O1729" i="2"/>
  <c r="M1730" i="2"/>
  <c r="N1730" i="2"/>
  <c r="O1730" i="2" s="1"/>
  <c r="M1731" i="2"/>
  <c r="N1731" i="2"/>
  <c r="O1731" i="2"/>
  <c r="M1732" i="2"/>
  <c r="N1732" i="2"/>
  <c r="O1732" i="2"/>
  <c r="M1733" i="2"/>
  <c r="N1733" i="2"/>
  <c r="O1733" i="2"/>
  <c r="M1734" i="2"/>
  <c r="N1734" i="2"/>
  <c r="O1734" i="2" s="1"/>
  <c r="M1735" i="2"/>
  <c r="N1735" i="2" s="1"/>
  <c r="O1735" i="2"/>
  <c r="M1736" i="2"/>
  <c r="N1736" i="2"/>
  <c r="O1736" i="2"/>
  <c r="M1737" i="2"/>
  <c r="N1737" i="2"/>
  <c r="O1737" i="2" s="1"/>
  <c r="M1738" i="2"/>
  <c r="N1738" i="2"/>
  <c r="O1738" i="2"/>
  <c r="M1739" i="2"/>
  <c r="N1739" i="2"/>
  <c r="O1739" i="2"/>
  <c r="M1740" i="2"/>
  <c r="N1740" i="2" s="1"/>
  <c r="O1740" i="2" s="1"/>
  <c r="M1741" i="2"/>
  <c r="N1741" i="2" s="1"/>
  <c r="O1741" i="2" s="1"/>
  <c r="M1742" i="2"/>
  <c r="N1742" i="2"/>
  <c r="O1742" i="2"/>
  <c r="M1743" i="2"/>
  <c r="N1743" i="2"/>
  <c r="O1743" i="2"/>
  <c r="M1744" i="2"/>
  <c r="N1744" i="2"/>
  <c r="O1744" i="2"/>
  <c r="M1745" i="2"/>
  <c r="N1745" i="2" s="1"/>
  <c r="O1745" i="2" s="1"/>
  <c r="M1746" i="2"/>
  <c r="N1746" i="2"/>
  <c r="O1746" i="2"/>
  <c r="M1747" i="2"/>
  <c r="N1747" i="2"/>
  <c r="O1747" i="2" s="1"/>
  <c r="M1748" i="2"/>
  <c r="N1748" i="2" s="1"/>
  <c r="O1748" i="2" s="1"/>
  <c r="M1749" i="2"/>
  <c r="N1749" i="2"/>
  <c r="O1749" i="2"/>
  <c r="M1750" i="2"/>
  <c r="N1750" i="2"/>
  <c r="O1750" i="2" s="1"/>
  <c r="M1751" i="2"/>
  <c r="N1751" i="2"/>
  <c r="O1751" i="2"/>
  <c r="M1752" i="2"/>
  <c r="N1752" i="2" s="1"/>
  <c r="O1752" i="2" s="1"/>
  <c r="M1753" i="2"/>
  <c r="N1753" i="2"/>
  <c r="O1753" i="2" s="1"/>
  <c r="M1754" i="2"/>
  <c r="N1754" i="2"/>
  <c r="O1754" i="2"/>
  <c r="M1755" i="2"/>
  <c r="N1755" i="2"/>
  <c r="O1755" i="2"/>
  <c r="M1756" i="2"/>
  <c r="N1756" i="2" s="1"/>
  <c r="O1756" i="2" s="1"/>
  <c r="M1757" i="2"/>
  <c r="N1757" i="2"/>
  <c r="O1757" i="2"/>
  <c r="M1758" i="2"/>
  <c r="N1758" i="2"/>
  <c r="O1758" i="2" s="1"/>
  <c r="M1759" i="2"/>
  <c r="N1759" i="2" s="1"/>
  <c r="O1759" i="2" s="1"/>
  <c r="M1760" i="2"/>
  <c r="N1760" i="2"/>
  <c r="O1760" i="2"/>
  <c r="M1761" i="2"/>
  <c r="N1761" i="2" s="1"/>
  <c r="O1761" i="2" s="1"/>
  <c r="M1762" i="2"/>
  <c r="N1762" i="2"/>
  <c r="O1762" i="2"/>
  <c r="M1763" i="2"/>
  <c r="N1763" i="2" s="1"/>
  <c r="O1763" i="2" s="1"/>
  <c r="M1764" i="2"/>
  <c r="N1764" i="2"/>
  <c r="O1764" i="2" s="1"/>
  <c r="M1765" i="2"/>
  <c r="N1765" i="2"/>
  <c r="O1765" i="2"/>
  <c r="M1766" i="2"/>
  <c r="N1766" i="2"/>
  <c r="O1766" i="2" s="1"/>
  <c r="M1767" i="2"/>
  <c r="N1767" i="2" s="1"/>
  <c r="O1767" i="2" s="1"/>
  <c r="M1768" i="2"/>
  <c r="N1768" i="2"/>
  <c r="O1768" i="2"/>
  <c r="M1769" i="2"/>
  <c r="N1769" i="2"/>
  <c r="O1769" i="2"/>
  <c r="M1770" i="2"/>
  <c r="N1770" i="2"/>
  <c r="O1770" i="2"/>
  <c r="M1771" i="2"/>
  <c r="N1771" i="2"/>
  <c r="O1771" i="2" s="1"/>
  <c r="M1772" i="2"/>
  <c r="N1772" i="2" s="1"/>
  <c r="O1772" i="2" s="1"/>
  <c r="M1773" i="2"/>
  <c r="N1773" i="2"/>
  <c r="O1773" i="2"/>
  <c r="M1774" i="2"/>
  <c r="N1774" i="2"/>
  <c r="O1774" i="2"/>
  <c r="M1775" i="2"/>
  <c r="N1775" i="2" s="1"/>
  <c r="O1775" i="2" s="1"/>
  <c r="M1776" i="2"/>
  <c r="N1776" i="2"/>
  <c r="O1776" i="2"/>
  <c r="M1777" i="2"/>
  <c r="N1777" i="2"/>
  <c r="O1777" i="2"/>
  <c r="M1778" i="2"/>
  <c r="N1778" i="2" s="1"/>
  <c r="O1778" i="2"/>
  <c r="M1779" i="2"/>
  <c r="N1779" i="2" s="1"/>
  <c r="O1779" i="2" s="1"/>
  <c r="M1780" i="2"/>
  <c r="N1780" i="2"/>
  <c r="O1780" i="2" s="1"/>
  <c r="M1781" i="2"/>
  <c r="N1781" i="2"/>
  <c r="O1781" i="2"/>
  <c r="M1782" i="2"/>
  <c r="N1782" i="2"/>
  <c r="O1782" i="2"/>
  <c r="M1783" i="2"/>
  <c r="N1783" i="2" s="1"/>
  <c r="O1783" i="2" s="1"/>
  <c r="M1784" i="2"/>
  <c r="N1784" i="2" s="1"/>
  <c r="O1784" i="2" s="1"/>
  <c r="M1785" i="2"/>
  <c r="N1785" i="2"/>
  <c r="O1785" i="2"/>
  <c r="M1786" i="2"/>
  <c r="N1786" i="2"/>
  <c r="O1786" i="2"/>
  <c r="M1787" i="2"/>
  <c r="N1787" i="2"/>
  <c r="O1787" i="2"/>
  <c r="M1788" i="2"/>
  <c r="N1788" i="2"/>
  <c r="O1788" i="2" s="1"/>
  <c r="M1789" i="2"/>
  <c r="N1789" i="2"/>
  <c r="O1789" i="2"/>
  <c r="M1790" i="2"/>
  <c r="N1790" i="2"/>
  <c r="O1790" i="2"/>
  <c r="M1791" i="2"/>
  <c r="N1791" i="2" s="1"/>
  <c r="O1791" i="2" s="1"/>
  <c r="M1792" i="2"/>
  <c r="N1792" i="2"/>
  <c r="O1792" i="2" s="1"/>
  <c r="M1793" i="2"/>
  <c r="N1793" i="2"/>
  <c r="O1793" i="2"/>
  <c r="M1794" i="2"/>
  <c r="N1794" i="2"/>
  <c r="O1794" i="2"/>
  <c r="M1795" i="2"/>
  <c r="N1795" i="2" s="1"/>
  <c r="O1795" i="2" s="1"/>
  <c r="M1796" i="2"/>
  <c r="N1796" i="2"/>
  <c r="O1796" i="2" s="1"/>
  <c r="M1797" i="2"/>
  <c r="N1797" i="2"/>
  <c r="O1797" i="2"/>
  <c r="M1798" i="2"/>
  <c r="N1798" i="2"/>
  <c r="O1798" i="2"/>
  <c r="M1799" i="2"/>
  <c r="N1799" i="2" s="1"/>
  <c r="O1799" i="2" s="1"/>
  <c r="M1800" i="2"/>
  <c r="N1800" i="2"/>
  <c r="O1800" i="2"/>
  <c r="M1801" i="2"/>
  <c r="N1801" i="2"/>
  <c r="O1801" i="2"/>
  <c r="M1802" i="2"/>
  <c r="N1802" i="2"/>
  <c r="O1802" i="2"/>
  <c r="M1803" i="2"/>
  <c r="N1803" i="2"/>
  <c r="O1803" i="2"/>
  <c r="M1804" i="2"/>
  <c r="N1804" i="2" s="1"/>
  <c r="O1804" i="2" s="1"/>
  <c r="M1805" i="2"/>
  <c r="N1805" i="2" s="1"/>
  <c r="O1805" i="2" s="1"/>
  <c r="M1806" i="2"/>
  <c r="N1806" i="2"/>
  <c r="O1806" i="2"/>
  <c r="M1807" i="2"/>
  <c r="N1807" i="2" s="1"/>
  <c r="O1807" i="2" s="1"/>
  <c r="M1808" i="2"/>
  <c r="N1808" i="2"/>
  <c r="O1808" i="2"/>
  <c r="M1809" i="2"/>
  <c r="N1809" i="2"/>
  <c r="O1809" i="2" s="1"/>
  <c r="M1810" i="2"/>
  <c r="N1810" i="2" s="1"/>
  <c r="O1810" i="2" s="1"/>
  <c r="M1811" i="2"/>
  <c r="N1811" i="2"/>
  <c r="O1811" i="2"/>
  <c r="M1812" i="2"/>
  <c r="N1812" i="2"/>
  <c r="O1812" i="2" s="1"/>
  <c r="M1813" i="2"/>
  <c r="N1813" i="2"/>
  <c r="O1813" i="2"/>
  <c r="M1814" i="2"/>
  <c r="N1814" i="2"/>
  <c r="O1814" i="2" s="1"/>
  <c r="M1815" i="2"/>
  <c r="N1815" i="2" s="1"/>
  <c r="O1815" i="2"/>
  <c r="M1816" i="2"/>
  <c r="N1816" i="2"/>
  <c r="O1816" i="2" s="1"/>
  <c r="M1817" i="2"/>
  <c r="N1817" i="2"/>
  <c r="O1817" i="2"/>
  <c r="M1818" i="2"/>
  <c r="N1818" i="2"/>
  <c r="O1818" i="2"/>
  <c r="M1819" i="2"/>
  <c r="N1819" i="2"/>
  <c r="O1819" i="2"/>
  <c r="M1820" i="2"/>
  <c r="N1820" i="2"/>
  <c r="O1820" i="2" s="1"/>
  <c r="M1821" i="2"/>
  <c r="N1821" i="2"/>
  <c r="O1821" i="2"/>
  <c r="M1822" i="2"/>
  <c r="N1822" i="2"/>
  <c r="O1822" i="2" s="1"/>
  <c r="M1823" i="2"/>
  <c r="N1823" i="2" s="1"/>
  <c r="O1823" i="2" s="1"/>
  <c r="M1824" i="2"/>
  <c r="N1824" i="2"/>
  <c r="O1824" i="2" s="1"/>
  <c r="M1825" i="2"/>
  <c r="N1825" i="2"/>
  <c r="O1825" i="2"/>
  <c r="M1826" i="2"/>
  <c r="N1826" i="2"/>
  <c r="O1826" i="2"/>
  <c r="M1827" i="2"/>
  <c r="N1827" i="2" s="1"/>
  <c r="O1827" i="2" s="1"/>
  <c r="M1828" i="2"/>
  <c r="N1828" i="2"/>
  <c r="O1828" i="2" s="1"/>
  <c r="M1829" i="2"/>
  <c r="N1829" i="2"/>
  <c r="O1829" i="2"/>
  <c r="M1830" i="2"/>
  <c r="N1830" i="2"/>
  <c r="O1830" i="2" s="1"/>
  <c r="M1831" i="2"/>
  <c r="N1831" i="2" s="1"/>
  <c r="O1831" i="2" s="1"/>
  <c r="M1832" i="2"/>
  <c r="N1832" i="2"/>
  <c r="O1832" i="2"/>
  <c r="M1833" i="2"/>
  <c r="N1833" i="2"/>
  <c r="O1833" i="2"/>
  <c r="M1834" i="2"/>
  <c r="N1834" i="2"/>
  <c r="O1834" i="2"/>
  <c r="M1835" i="2"/>
  <c r="N1835" i="2"/>
  <c r="O1835" i="2" s="1"/>
  <c r="M1836" i="2"/>
  <c r="N1836" i="2"/>
  <c r="O1836" i="2" s="1"/>
  <c r="M1837" i="2"/>
  <c r="N1837" i="2" s="1"/>
  <c r="O1837" i="2" s="1"/>
  <c r="M1838" i="2"/>
  <c r="N1838" i="2"/>
  <c r="O1838" i="2"/>
  <c r="M1839" i="2"/>
  <c r="N1839" i="2" s="1"/>
  <c r="O1839" i="2" s="1"/>
  <c r="M1840" i="2"/>
  <c r="N1840" i="2"/>
  <c r="O1840" i="2"/>
  <c r="M1841" i="2"/>
  <c r="N1841" i="2"/>
  <c r="O1841" i="2"/>
  <c r="M1842" i="2"/>
  <c r="N1842" i="2" s="1"/>
  <c r="O1842" i="2" s="1"/>
  <c r="M1843" i="2"/>
  <c r="N1843" i="2" s="1"/>
  <c r="O1843" i="2" s="1"/>
  <c r="M1844" i="2"/>
  <c r="N1844" i="2"/>
  <c r="O1844" i="2" s="1"/>
  <c r="N2" i="2"/>
  <c r="M2" i="2"/>
  <c r="O9" i="2" l="1"/>
</calcChain>
</file>

<file path=xl/sharedStrings.xml><?xml version="1.0" encoding="utf-8"?>
<sst xmlns="http://schemas.openxmlformats.org/spreadsheetml/2006/main" count="14074" uniqueCount="6759">
  <si>
    <t>400193</t>
  </si>
  <si>
    <t>Aarhus United AS</t>
  </si>
  <si>
    <t>OMX NORDIC COPENHAGEN</t>
  </si>
  <si>
    <t>SHARE</t>
  </si>
  <si>
    <t>DKK</t>
  </si>
  <si>
    <t>Food and Tobacco Production</t>
  </si>
  <si>
    <t>DK0010013960</t>
  </si>
  <si>
    <t>400288</t>
  </si>
  <si>
    <t>Asg B</t>
  </si>
  <si>
    <t>OMX NORDIC STOCKHOLM</t>
  </si>
  <si>
    <t>SEK</t>
  </si>
  <si>
    <t>Industrial Services</t>
  </si>
  <si>
    <t>SE0000141160</t>
  </si>
  <si>
    <t>400300</t>
  </si>
  <si>
    <t>Aars Bank Dkk5</t>
  </si>
  <si>
    <t>Banking</t>
  </si>
  <si>
    <t>DK0010134162</t>
  </si>
  <si>
    <t>401191</t>
  </si>
  <si>
    <t>Klippan Ab Sek5</t>
  </si>
  <si>
    <t>Manufactured Products</t>
  </si>
  <si>
    <t>SE0000254567</t>
  </si>
  <si>
    <t>401458</t>
  </si>
  <si>
    <t>Alfa-Laval Cl A AB</t>
  </si>
  <si>
    <t>Industrial Manufacturing</t>
  </si>
  <si>
    <t>SE0000100307</t>
  </si>
  <si>
    <t>401461</t>
  </si>
  <si>
    <t>Alfa-Laval Cl B AB</t>
  </si>
  <si>
    <t>CH0006132168</t>
  </si>
  <si>
    <t>401853</t>
  </si>
  <si>
    <t>Green Wind Energy AS</t>
  </si>
  <si>
    <t>Utilities</t>
  </si>
  <si>
    <t>DK0060159994</t>
  </si>
  <si>
    <t>401878</t>
  </si>
  <si>
    <t>CellaVision AB</t>
  </si>
  <si>
    <t>Healthcare Equipment</t>
  </si>
  <si>
    <t>SE0000683484</t>
  </si>
  <si>
    <t>402033</t>
  </si>
  <si>
    <t>Allgon B</t>
  </si>
  <si>
    <t>Hardware</t>
  </si>
  <si>
    <t>SE0000100364</t>
  </si>
  <si>
    <t>402231</t>
  </si>
  <si>
    <t>Albani Bryggeriern Ser'A'Dkk100</t>
  </si>
  <si>
    <t>DK0010174119</t>
  </si>
  <si>
    <t>402232</t>
  </si>
  <si>
    <t>Albani Bryggeriern Ser'B'Dkk100</t>
  </si>
  <si>
    <t>DK0010174382</t>
  </si>
  <si>
    <t>403362</t>
  </si>
  <si>
    <t>Fionia Bank</t>
  </si>
  <si>
    <t>DK0060129658</t>
  </si>
  <si>
    <t>403462</t>
  </si>
  <si>
    <t>AGA AB Cl B</t>
  </si>
  <si>
    <t>Chemical, Plastic and Rubber Materials</t>
  </si>
  <si>
    <t>SE0000100208</t>
  </si>
  <si>
    <t>403548</t>
  </si>
  <si>
    <t>Aritmos AB</t>
  </si>
  <si>
    <t>Financially Operative Institutions</t>
  </si>
  <si>
    <t>SE0000100869</t>
  </si>
  <si>
    <t>403625</t>
  </si>
  <si>
    <t>Althin Medical Ab Sek4 Ser'B'</t>
  </si>
  <si>
    <t>403938</t>
  </si>
  <si>
    <t>Britannia Invest Dkk100</t>
  </si>
  <si>
    <t>Real Estate</t>
  </si>
  <si>
    <t>404853</t>
  </si>
  <si>
    <t>Feelgood Svenska AB</t>
  </si>
  <si>
    <t>Healthcare Services</t>
  </si>
  <si>
    <t>SE0000381840</t>
  </si>
  <si>
    <t>404860</t>
  </si>
  <si>
    <t>N &amp; T Argonaut B</t>
  </si>
  <si>
    <t>405157</t>
  </si>
  <si>
    <t>AssiDoman AB</t>
  </si>
  <si>
    <t>SE0000230963</t>
  </si>
  <si>
    <t>405298</t>
  </si>
  <si>
    <t>Asea A</t>
  </si>
  <si>
    <t>SE0000100901</t>
  </si>
  <si>
    <t>405549</t>
  </si>
  <si>
    <t>Atle Ab Sek10 Ser'A'</t>
  </si>
  <si>
    <t>Investment Services</t>
  </si>
  <si>
    <t>SE0000195802</t>
  </si>
  <si>
    <t>406045</t>
  </si>
  <si>
    <t>Astra AB A</t>
  </si>
  <si>
    <t>SE0001009929</t>
  </si>
  <si>
    <t>406175</t>
  </si>
  <si>
    <t>Atlantica Forsakri Sek10</t>
  </si>
  <si>
    <t>Insurance</t>
  </si>
  <si>
    <t>406728</t>
  </si>
  <si>
    <t>Avesta Sheffield AB</t>
  </si>
  <si>
    <t>Mining and Mineral Products</t>
  </si>
  <si>
    <t>SE0000101057</t>
  </si>
  <si>
    <t>407042</t>
  </si>
  <si>
    <t>Bahco Investment AB</t>
  </si>
  <si>
    <t>408353</t>
  </si>
  <si>
    <t>Vordingborg Bank A/S</t>
  </si>
  <si>
    <t>DK0010019652</t>
  </si>
  <si>
    <t>408635</t>
  </si>
  <si>
    <t>Empire Ab Sek0.30 Ser'B'</t>
  </si>
  <si>
    <t>409343</t>
  </si>
  <si>
    <t>Bergman &amp; Beving AB Class B</t>
  </si>
  <si>
    <t>SE0000101362</t>
  </si>
  <si>
    <t>409853</t>
  </si>
  <si>
    <t>Bilspedition Ab Ser'A'Swkr25</t>
  </si>
  <si>
    <t>409854</t>
  </si>
  <si>
    <t>Bilspedition B</t>
  </si>
  <si>
    <t>409857</t>
  </si>
  <si>
    <t>Btl Ab Ser'A'Sek12.50</t>
  </si>
  <si>
    <t>409859</t>
  </si>
  <si>
    <t>Btl B</t>
  </si>
  <si>
    <t>SE0000101578</t>
  </si>
  <si>
    <t>409907</t>
  </si>
  <si>
    <t>BPA AB Class B</t>
  </si>
  <si>
    <t>SE0000101941</t>
  </si>
  <si>
    <t>410407</t>
  </si>
  <si>
    <t>Brd. Klee A/S Class B</t>
  </si>
  <si>
    <t>DK0010129089</t>
  </si>
  <si>
    <t>410453</t>
  </si>
  <si>
    <t>Elektronikgruppen Ser'B'Npv</t>
  </si>
  <si>
    <t>Electronic Components and Manufacturing</t>
  </si>
  <si>
    <t>SE0000101669</t>
  </si>
  <si>
    <t>411202</t>
  </si>
  <si>
    <t>Boras Wafveri Ab Ser'B'Npv</t>
  </si>
  <si>
    <t>SE0000101891</t>
  </si>
  <si>
    <t>412058</t>
  </si>
  <si>
    <t>Bong AB</t>
  </si>
  <si>
    <t>Consumer Goods</t>
  </si>
  <si>
    <t>SE0000396061</t>
  </si>
  <si>
    <t>412061</t>
  </si>
  <si>
    <t>Brio Ab Swkr10 Ser'B'</t>
  </si>
  <si>
    <t>SE0000101990</t>
  </si>
  <si>
    <t>413901</t>
  </si>
  <si>
    <t>Bcp(Branded Consum Ser'B'Swkr1</t>
  </si>
  <si>
    <t>413906</t>
  </si>
  <si>
    <t>Bcp(Branded Consum Ser'A'Swkr1</t>
  </si>
  <si>
    <t>414249</t>
  </si>
  <si>
    <t>Concejo AB Class B</t>
  </si>
  <si>
    <t>SE0000236382</t>
  </si>
  <si>
    <t>415265</t>
  </si>
  <si>
    <t>Bure Equity AB</t>
  </si>
  <si>
    <t>SE0000195810</t>
  </si>
  <si>
    <t>415528</t>
  </si>
  <si>
    <t>Kobenhavns Lufthavne A/S</t>
  </si>
  <si>
    <t>DK0010201102</t>
  </si>
  <si>
    <t>415544</t>
  </si>
  <si>
    <t>Burmeister &amp; Wain Ser'B'Dkk100</t>
  </si>
  <si>
    <t>DK0010156991</t>
  </si>
  <si>
    <t>415548</t>
  </si>
  <si>
    <t>Burmeister &amp; Wain Ser'A'Dkk100</t>
  </si>
  <si>
    <t>415558</t>
  </si>
  <si>
    <t>Danisco A/S</t>
  </si>
  <si>
    <t>DK0010207497</t>
  </si>
  <si>
    <t>416129</t>
  </si>
  <si>
    <t>Bang &amp; Olufsen A/S</t>
  </si>
  <si>
    <t>DK0010218429</t>
  </si>
  <si>
    <t>416686</t>
  </si>
  <si>
    <t>Persea AB Class B</t>
  </si>
  <si>
    <t>SE0000544678</t>
  </si>
  <si>
    <t>416701</t>
  </si>
  <si>
    <t>Calkas A S Dkk100'B'</t>
  </si>
  <si>
    <t>416921</t>
  </si>
  <si>
    <t>Carlsberg AS Class B</t>
  </si>
  <si>
    <t>DK0010181759</t>
  </si>
  <si>
    <t>417462</t>
  </si>
  <si>
    <t>Cardo Invstmnt Ab Swkr50</t>
  </si>
  <si>
    <t>SE0000102238</t>
  </si>
  <si>
    <t>417463</t>
  </si>
  <si>
    <t>Investment AB Cardo</t>
  </si>
  <si>
    <t>SE0000102246</t>
  </si>
  <si>
    <t>417569</t>
  </si>
  <si>
    <t>Provobis Hotel&amp;Res Sek1 Ser'B'</t>
  </si>
  <si>
    <t>Hospitality Services</t>
  </si>
  <si>
    <t>418105</t>
  </si>
  <si>
    <t>Celsius B</t>
  </si>
  <si>
    <t>SE0000204794</t>
  </si>
  <si>
    <t>418146</t>
  </si>
  <si>
    <t>Celtica Sek50</t>
  </si>
  <si>
    <t>SE0000135303</t>
  </si>
  <si>
    <t>418176</t>
  </si>
  <si>
    <t>Cederroth Nordic Ser'B'Swkr10</t>
  </si>
  <si>
    <t>Household Products</t>
  </si>
  <si>
    <t>418238</t>
  </si>
  <si>
    <t>Skanska B</t>
  </si>
  <si>
    <t>418432</t>
  </si>
  <si>
    <t>Park Street A/S Class A</t>
  </si>
  <si>
    <t>DK0010158500</t>
  </si>
  <si>
    <t>419455</t>
  </si>
  <si>
    <t>Christensen &amp; Niel Dkk1000</t>
  </si>
  <si>
    <t>Consumer Retail</t>
  </si>
  <si>
    <t>419490</t>
  </si>
  <si>
    <t>Christiani&amp;Nielsen Dkk50</t>
  </si>
  <si>
    <t>419729</t>
  </si>
  <si>
    <t>Cardo Ab Shs</t>
  </si>
  <si>
    <t>SE0000262982</t>
  </si>
  <si>
    <t>420679</t>
  </si>
  <si>
    <t>Codan Gummi Ser'B'Dkk100(Regd)</t>
  </si>
  <si>
    <t>420747</t>
  </si>
  <si>
    <t>Bt Industries Ab Sek20</t>
  </si>
  <si>
    <t>SE0000291171</t>
  </si>
  <si>
    <t>421253</t>
  </si>
  <si>
    <t>Commercial Leasing A/S Class B</t>
  </si>
  <si>
    <t>Miscellaneous Retail</t>
  </si>
  <si>
    <t>DK0010115450</t>
  </si>
  <si>
    <t>421829</t>
  </si>
  <si>
    <t>Concordia Maritime AB Class B</t>
  </si>
  <si>
    <t>Upstream Energy</t>
  </si>
  <si>
    <t>SE0000102824</t>
  </si>
  <si>
    <t>422032</t>
  </si>
  <si>
    <t>Concordia Maritime Swkr8 Ser'B'</t>
  </si>
  <si>
    <t>422467</t>
  </si>
  <si>
    <t>Alm Brand Ser'B'Dkk100(Regd)</t>
  </si>
  <si>
    <t>DK0010004035</t>
  </si>
  <si>
    <t>424017</t>
  </si>
  <si>
    <t>Cubic Dkk100'B'</t>
  </si>
  <si>
    <t>DK0010166958</t>
  </si>
  <si>
    <t>424773</t>
  </si>
  <si>
    <t>DLF Seeds A/S Class A</t>
  </si>
  <si>
    <t>DK0010004704</t>
  </si>
  <si>
    <t>424774</t>
  </si>
  <si>
    <t>DLF Seeds A/S Class B</t>
  </si>
  <si>
    <t>DK0010045228</t>
  </si>
  <si>
    <t>424875</t>
  </si>
  <si>
    <t>Dampskibsselskabet af 1912 AS</t>
  </si>
  <si>
    <t>DK0010244342</t>
  </si>
  <si>
    <t>424972</t>
  </si>
  <si>
    <t>Dadeko A/S Class A</t>
  </si>
  <si>
    <t>Food and Staples Retail</t>
  </si>
  <si>
    <t>DK0010008457</t>
  </si>
  <si>
    <t>425304</t>
  </si>
  <si>
    <t>A.P. Moller - Maersk A/S Class B</t>
  </si>
  <si>
    <t>DK0010244508</t>
  </si>
  <si>
    <t>425325</t>
  </si>
  <si>
    <t>Dancall Radio 'A'Dnkr100</t>
  </si>
  <si>
    <t>425353</t>
  </si>
  <si>
    <t>Danisco Beretring Dkr 500</t>
  </si>
  <si>
    <t>425364</t>
  </si>
  <si>
    <t>Dansk Kapitalanlae Dkk100</t>
  </si>
  <si>
    <t>DK0010002682</t>
  </si>
  <si>
    <t>425365</t>
  </si>
  <si>
    <t>Ehuset A/S 'B'Dkk100</t>
  </si>
  <si>
    <t>Software and Consulting</t>
  </si>
  <si>
    <t>425370</t>
  </si>
  <si>
    <t>Dansk Kautionsfors Dkk100(Regd)</t>
  </si>
  <si>
    <t>425384</t>
  </si>
  <si>
    <t>Danske Sukkerfabrikker Dkr100</t>
  </si>
  <si>
    <t>425693</t>
  </si>
  <si>
    <t>Datalog Class'B'Dnkr100</t>
  </si>
  <si>
    <t>DK0015333553</t>
  </si>
  <si>
    <t>427029</t>
  </si>
  <si>
    <t>D.G.Holding A/S Class B</t>
  </si>
  <si>
    <t>DK0015190508</t>
  </si>
  <si>
    <t>427032</t>
  </si>
  <si>
    <t>Dantax A/S</t>
  </si>
  <si>
    <t>DK0015205637</t>
  </si>
  <si>
    <t>427680</t>
  </si>
  <si>
    <t>Cybercom Group AB</t>
  </si>
  <si>
    <t>SE0000702169</t>
  </si>
  <si>
    <t>428024</t>
  </si>
  <si>
    <t>Metro International SA ShsB Swedish Depositary Receipts</t>
  </si>
  <si>
    <t>DR</t>
  </si>
  <si>
    <t>Media and Publishing Services</t>
  </si>
  <si>
    <t>SE0000696858</t>
  </si>
  <si>
    <t>428178</t>
  </si>
  <si>
    <t>Custos</t>
  </si>
  <si>
    <t>SE0000702177</t>
  </si>
  <si>
    <t>428816</t>
  </si>
  <si>
    <t>Chemitalic Dkk10 Ser'B'</t>
  </si>
  <si>
    <t>DK0010218858</t>
  </si>
  <si>
    <t>429473</t>
  </si>
  <si>
    <t>Elanders AB Class B</t>
  </si>
  <si>
    <t>SE0000119299</t>
  </si>
  <si>
    <t>429650</t>
  </si>
  <si>
    <t>Elektriska Svetsnings AB ESAB</t>
  </si>
  <si>
    <t>SE0000104010</t>
  </si>
  <si>
    <t>429652</t>
  </si>
  <si>
    <t>SE0000104028</t>
  </si>
  <si>
    <t>429653</t>
  </si>
  <si>
    <t>Esab(Elek Svetsn) Ser'A'Swkr50</t>
  </si>
  <si>
    <t>429685</t>
  </si>
  <si>
    <t>Esab(Elektriska) Ser'B'Swkr50</t>
  </si>
  <si>
    <t>SE0000123176</t>
  </si>
  <si>
    <t>429697</t>
  </si>
  <si>
    <t>Ejendomsel Norden Dkk100</t>
  </si>
  <si>
    <t>DK0010186477</t>
  </si>
  <si>
    <t>429764</t>
  </si>
  <si>
    <t>Ok Holding Co Dkk100</t>
  </si>
  <si>
    <t>430350</t>
  </si>
  <si>
    <t>NewCap Holding A/S</t>
  </si>
  <si>
    <t>DK0010212570</t>
  </si>
  <si>
    <t>430526</t>
  </si>
  <si>
    <t>Scancem Ab Ser'B'Sek25</t>
  </si>
  <si>
    <t>430548</t>
  </si>
  <si>
    <t>Dios (Anders) Ab Sek10</t>
  </si>
  <si>
    <t>Business Services</t>
  </si>
  <si>
    <t>430971</t>
  </si>
  <si>
    <t>Caran Ab Sek1 Ser'B'</t>
  </si>
  <si>
    <t>430998</t>
  </si>
  <si>
    <t>Ejendmsaktsel Nord Dnkr100</t>
  </si>
  <si>
    <t>DK0010113752</t>
  </si>
  <si>
    <t>431019</t>
  </si>
  <si>
    <t>Egnsbank Fyn Dkk100</t>
  </si>
  <si>
    <t>DK0010015668</t>
  </si>
  <si>
    <t>431194</t>
  </si>
  <si>
    <t>Export-Invest AB A</t>
  </si>
  <si>
    <t>SE0000104218</t>
  </si>
  <si>
    <t>431195</t>
  </si>
  <si>
    <t>Export-Invest AB B Fria</t>
  </si>
  <si>
    <t>SE0000104234</t>
  </si>
  <si>
    <t>431418</t>
  </si>
  <si>
    <t>Crisplant Industri Dkk20</t>
  </si>
  <si>
    <t>DK0010219666</t>
  </si>
  <si>
    <t>431419</t>
  </si>
  <si>
    <t>Expedit a/s Class B</t>
  </si>
  <si>
    <t>DK0015312474</t>
  </si>
  <si>
    <t>431420</t>
  </si>
  <si>
    <t>Hometown A/S</t>
  </si>
  <si>
    <t>DK0015216675</t>
  </si>
  <si>
    <t>431728</t>
  </si>
  <si>
    <t>Esselte A</t>
  </si>
  <si>
    <t>431729</t>
  </si>
  <si>
    <t>Esselte B</t>
  </si>
  <si>
    <t>431730</t>
  </si>
  <si>
    <t>Esselte Cl B AB</t>
  </si>
  <si>
    <t>SE0000104077</t>
  </si>
  <si>
    <t>431968</t>
  </si>
  <si>
    <t>Bulten Ab Sek2.5 Ser 'B'</t>
  </si>
  <si>
    <t>SE0000123267</t>
  </si>
  <si>
    <t>432271</t>
  </si>
  <si>
    <t>Edb Gruppen 'B'Dkk20</t>
  </si>
  <si>
    <t>DK0010211093</t>
  </si>
  <si>
    <t>432365</t>
  </si>
  <si>
    <t>Epa Invest Ser'A'Dkk100</t>
  </si>
  <si>
    <t>Specialty Finance and Services</t>
  </si>
  <si>
    <t>DK0011108298</t>
  </si>
  <si>
    <t>432573</t>
  </si>
  <si>
    <t>Cyncrona Ab Sek5 Ser'B'</t>
  </si>
  <si>
    <t>432959</t>
  </si>
  <si>
    <t>F.E. Bording A/S Class B</t>
  </si>
  <si>
    <t>DK0010008028</t>
  </si>
  <si>
    <t>432961</t>
  </si>
  <si>
    <t>Humlegarden Fastigheter AB Class B</t>
  </si>
  <si>
    <t>SE0000104606</t>
  </si>
  <si>
    <t>432985</t>
  </si>
  <si>
    <t>Fabege Ser'B'Swkr1</t>
  </si>
  <si>
    <t>SE0000104242</t>
  </si>
  <si>
    <t>433230</t>
  </si>
  <si>
    <t>Faxe Bryg Holding 'B'Dkk500</t>
  </si>
  <si>
    <t>DK0010009265</t>
  </si>
  <si>
    <t>433232</t>
  </si>
  <si>
    <t>Faxe Kalk A/S</t>
  </si>
  <si>
    <t>DK0010009349</t>
  </si>
  <si>
    <t>433233</t>
  </si>
  <si>
    <t>Faxe Kalk A/S Class B</t>
  </si>
  <si>
    <t>DK0010009422</t>
  </si>
  <si>
    <t>433421</t>
  </si>
  <si>
    <t>Folkebolagen Ab Sek10 Ser'B'</t>
  </si>
  <si>
    <t>434202</t>
  </si>
  <si>
    <t>Fisker &amp; Neilson Ser'B'Dnkr100</t>
  </si>
  <si>
    <t>DK0000026006</t>
  </si>
  <si>
    <t>434235</t>
  </si>
  <si>
    <t>Flakt Ab Skr50</t>
  </si>
  <si>
    <t>434368</t>
  </si>
  <si>
    <t>Fagerlid Industri Sek2.5</t>
  </si>
  <si>
    <t>434606</t>
  </si>
  <si>
    <t>Ford Motor Co Denm Dkk120</t>
  </si>
  <si>
    <t>434637</t>
  </si>
  <si>
    <t>Carlsberg AS</t>
  </si>
  <si>
    <t>DK0010009851</t>
  </si>
  <si>
    <t>434715</t>
  </si>
  <si>
    <t>Pharmacia Ab Ser'B'Swkr10</t>
  </si>
  <si>
    <t>Biopharmaceuticals</t>
  </si>
  <si>
    <t>434854</t>
  </si>
  <si>
    <t>Cic A/S Dkk5</t>
  </si>
  <si>
    <t>434861</t>
  </si>
  <si>
    <t>Forcenergy Sek10 Ser'B'</t>
  </si>
  <si>
    <t>SE0000143430</t>
  </si>
  <si>
    <t>435002</t>
  </si>
  <si>
    <t>Alm. Brand A/S</t>
  </si>
  <si>
    <t>DK0015250344</t>
  </si>
  <si>
    <t>435205</t>
  </si>
  <si>
    <t>Finnveden Ab Ser'B'Sek10.00</t>
  </si>
  <si>
    <t>SE0000121816</t>
  </si>
  <si>
    <t>435234</t>
  </si>
  <si>
    <t>Lastas A/S Shs -B-</t>
  </si>
  <si>
    <t>DK0010146927</t>
  </si>
  <si>
    <t>435347</t>
  </si>
  <si>
    <t>Wewers A/S</t>
  </si>
  <si>
    <t>DK0010026194</t>
  </si>
  <si>
    <t>435467</t>
  </si>
  <si>
    <t>Fr Invest Dkk100</t>
  </si>
  <si>
    <t>DK0010212307</t>
  </si>
  <si>
    <t>435615</t>
  </si>
  <si>
    <t>Frontline Ab Sek20</t>
  </si>
  <si>
    <t>435784</t>
  </si>
  <si>
    <t>GN Store Nord Holding AS</t>
  </si>
  <si>
    <t>Telecommunications</t>
  </si>
  <si>
    <t>435882</t>
  </si>
  <si>
    <t>Gabriel Holding A/S</t>
  </si>
  <si>
    <t>DK0060124691</t>
  </si>
  <si>
    <t>436090</t>
  </si>
  <si>
    <t>Gambro B</t>
  </si>
  <si>
    <t>436564</t>
  </si>
  <si>
    <t>GPV Industri A/S Class B</t>
  </si>
  <si>
    <t>DK0010210285</t>
  </si>
  <si>
    <t>437863</t>
  </si>
  <si>
    <t>Gorthon Investment Swkr50</t>
  </si>
  <si>
    <t>437970</t>
  </si>
  <si>
    <t>Rederiaktiebolaget Gotland Class B</t>
  </si>
  <si>
    <t>SE0000105397</t>
  </si>
  <si>
    <t>437985</t>
  </si>
  <si>
    <t>Jobline Internatio Ord Sek0.10</t>
  </si>
  <si>
    <t>SE0000695645</t>
  </si>
  <si>
    <t>438047</t>
  </si>
  <si>
    <t>Gotagruppen</t>
  </si>
  <si>
    <t>438769</t>
  </si>
  <si>
    <t>Foreningsbk Kredit Ser'A'Sek5</t>
  </si>
  <si>
    <t>SE0000224768</t>
  </si>
  <si>
    <t>438851</t>
  </si>
  <si>
    <t>Girobank A/S</t>
  </si>
  <si>
    <t>DK0015631659</t>
  </si>
  <si>
    <t>439109</t>
  </si>
  <si>
    <t>GronlandsBANKEN A/S</t>
  </si>
  <si>
    <t>DK0010230630</t>
  </si>
  <si>
    <t>439249</t>
  </si>
  <si>
    <t>FIH Erhvervsbank</t>
  </si>
  <si>
    <t>DK0010202183</t>
  </si>
  <si>
    <t>439365</t>
  </si>
  <si>
    <t>Xponcard Group Ab Npv</t>
  </si>
  <si>
    <t>SE0002866475</t>
  </si>
  <si>
    <t>439579</t>
  </si>
  <si>
    <t>Audiodev Ab Ser'B'Npv</t>
  </si>
  <si>
    <t>SE0000708620</t>
  </si>
  <si>
    <t>439634</t>
  </si>
  <si>
    <t>Gullspang Kraft Ser'B'Sek5</t>
  </si>
  <si>
    <t>SE0000105710</t>
  </si>
  <si>
    <t>439930</t>
  </si>
  <si>
    <t>Forsheda AB Class B</t>
  </si>
  <si>
    <t>SE0000104887</t>
  </si>
  <si>
    <t>439960</t>
  </si>
  <si>
    <t>H+H International A/S</t>
  </si>
  <si>
    <t>DK0015202451</t>
  </si>
  <si>
    <t>440162</t>
  </si>
  <si>
    <t>Hafnia Holding Ltd.</t>
  </si>
  <si>
    <t>DK0015203269</t>
  </si>
  <si>
    <t>440163</t>
  </si>
  <si>
    <t>440370</t>
  </si>
  <si>
    <t>Elite Shipping Dkk100</t>
  </si>
  <si>
    <t>440389</t>
  </si>
  <si>
    <t>First Inv Partner Dkk100</t>
  </si>
  <si>
    <t>DK0015786859</t>
  </si>
  <si>
    <t>440573</t>
  </si>
  <si>
    <t>Frigoscandia Ab Sek5 Ser'A'</t>
  </si>
  <si>
    <t>SE0000241796</t>
  </si>
  <si>
    <t>440574</t>
  </si>
  <si>
    <t>Frigoscandia Ab Sek5 Ser'B'</t>
  </si>
  <si>
    <t>SE0000241804</t>
  </si>
  <si>
    <t>440759</t>
  </si>
  <si>
    <t>Haldex AB</t>
  </si>
  <si>
    <t>SE0000105199</t>
  </si>
  <si>
    <t>440776</t>
  </si>
  <si>
    <t>Peab AB Class B</t>
  </si>
  <si>
    <t>SE0000106205</t>
  </si>
  <si>
    <t>440804</t>
  </si>
  <si>
    <t>Copenhagen Handelsbank AS</t>
  </si>
  <si>
    <t>440848</t>
  </si>
  <si>
    <t>Dai Holding Dkk100</t>
  </si>
  <si>
    <t>441079</t>
  </si>
  <si>
    <t>Hl Display Ser'B'Npv</t>
  </si>
  <si>
    <t>SE0000214058</t>
  </si>
  <si>
    <t>441519</t>
  </si>
  <si>
    <t>Hatting Bageri Class B</t>
  </si>
  <si>
    <t>DK0010176833</t>
  </si>
  <si>
    <t>441886</t>
  </si>
  <si>
    <t>Iro Sek5</t>
  </si>
  <si>
    <t>441978</t>
  </si>
  <si>
    <t>Hellebaek Fabriker Ser'B'Dkk1000</t>
  </si>
  <si>
    <t>DK0010026434</t>
  </si>
  <si>
    <t>442083</t>
  </si>
  <si>
    <t>Hlj Industri Dkk100</t>
  </si>
  <si>
    <t>DK0010189224</t>
  </si>
  <si>
    <t>442378</t>
  </si>
  <si>
    <t>Axel Johnson Trade AB</t>
  </si>
  <si>
    <t>442547</t>
  </si>
  <si>
    <t>Falbe-Hansen (G) Dkk100 Ser'C'</t>
  </si>
  <si>
    <t>DK0010215912</t>
  </si>
  <si>
    <t>442644</t>
  </si>
  <si>
    <t>Hilab Ab Ser'B'Sek 5</t>
  </si>
  <si>
    <t>442686</t>
  </si>
  <si>
    <t>Hoganas AB Class B</t>
  </si>
  <si>
    <t>SE0000232175</t>
  </si>
  <si>
    <t>442818</t>
  </si>
  <si>
    <t>Renewagy AS</t>
  </si>
  <si>
    <t>DK0060111367</t>
  </si>
  <si>
    <t>443133</t>
  </si>
  <si>
    <t>Hoffmann &amp; Sonner 'B'Dkk100</t>
  </si>
  <si>
    <t>DK0010010438</t>
  </si>
  <si>
    <t>443663</t>
  </si>
  <si>
    <t>Asgaard Group A/S</t>
  </si>
  <si>
    <t>DK0010131309</t>
  </si>
  <si>
    <t>443706</t>
  </si>
  <si>
    <t>Dansk Industri Invest A/S</t>
  </si>
  <si>
    <t>DK0010223692</t>
  </si>
  <si>
    <t>444222</t>
  </si>
  <si>
    <t>Icb Shipping B</t>
  </si>
  <si>
    <t>444561</t>
  </si>
  <si>
    <t>Intl Plant&amp;Finance Ser'B'Usd10(Regd)</t>
  </si>
  <si>
    <t>DK0010232339</t>
  </si>
  <si>
    <t>444562</t>
  </si>
  <si>
    <t>Intl Plant&amp;Finance Ser'A'Usd10(Regd)</t>
  </si>
  <si>
    <t>DK0010232255</t>
  </si>
  <si>
    <t>444913</t>
  </si>
  <si>
    <t>Hufvudstaden AB Class A</t>
  </si>
  <si>
    <t>SE0000170375</t>
  </si>
  <si>
    <t>444914</t>
  </si>
  <si>
    <t>Hufvudstaden AB</t>
  </si>
  <si>
    <t>SE0000106668</t>
  </si>
  <si>
    <t>444915</t>
  </si>
  <si>
    <t>Lundin Oil B</t>
  </si>
  <si>
    <t>SE0000100505</t>
  </si>
  <si>
    <t>444961</t>
  </si>
  <si>
    <t>Hvidbjerg Bank A/S</t>
  </si>
  <si>
    <t>DK0060135978</t>
  </si>
  <si>
    <t>445455</t>
  </si>
  <si>
    <t>Cemat A/S</t>
  </si>
  <si>
    <t>DK0010271584</t>
  </si>
  <si>
    <t>446277</t>
  </si>
  <si>
    <t>Europeinvestment A/S</t>
  </si>
  <si>
    <t>DK0010143312</t>
  </si>
  <si>
    <t>446623</t>
  </si>
  <si>
    <t>Investor A</t>
  </si>
  <si>
    <t>447282</t>
  </si>
  <si>
    <t>Jensen &amp; Moller Invest A/S</t>
  </si>
  <si>
    <t>DK0010020668</t>
  </si>
  <si>
    <t>447473</t>
  </si>
  <si>
    <t>Jacobson &amp; Widmark AB</t>
  </si>
  <si>
    <t>SE0000107476</t>
  </si>
  <si>
    <t>447940</t>
  </si>
  <si>
    <t>F.Junckers Ind A/S Dkk100</t>
  </si>
  <si>
    <t>DK0010114131</t>
  </si>
  <si>
    <t>448008</t>
  </si>
  <si>
    <t>Jutland Telefon Co Dnkr100</t>
  </si>
  <si>
    <t>DK0010002922</t>
  </si>
  <si>
    <t>448102</t>
  </si>
  <si>
    <t>Kalkvaerksgrundene Dkk100</t>
  </si>
  <si>
    <t>448149</t>
  </si>
  <si>
    <t>Turnit Ab Ser'B'Sek0.5</t>
  </si>
  <si>
    <t>SE0000108300</t>
  </si>
  <si>
    <t>449182</t>
  </si>
  <si>
    <t>Regional Inv Fyn Dkk100</t>
  </si>
  <si>
    <t>DK0010158773</t>
  </si>
  <si>
    <t>449396</t>
  </si>
  <si>
    <t>Kildemoes Cykelfab 'B'Dkk100</t>
  </si>
  <si>
    <t>Consumer Vehicles and Parts</t>
  </si>
  <si>
    <t>DK0015214704</t>
  </si>
  <si>
    <t>449434</t>
  </si>
  <si>
    <t>Kinnevik Industrifoervaltnings AB</t>
  </si>
  <si>
    <t>SE0000104416</t>
  </si>
  <si>
    <t>449638</t>
  </si>
  <si>
    <t>Julius Koch Ser'A'Dkk100</t>
  </si>
  <si>
    <t>DK0010209436</t>
  </si>
  <si>
    <t>449846</t>
  </si>
  <si>
    <t>Incentive As Dkk50(Regd)</t>
  </si>
  <si>
    <t>DK0015087092</t>
  </si>
  <si>
    <t>450059</t>
  </si>
  <si>
    <t>Kompan A/S Ser'B'Dkk100</t>
  </si>
  <si>
    <t>DK0015337034</t>
  </si>
  <si>
    <t>450109</t>
  </si>
  <si>
    <t>GN Store Nord A/S</t>
  </si>
  <si>
    <t>DK0010272632</t>
  </si>
  <si>
    <t>450186</t>
  </si>
  <si>
    <t>Alm.Brand Pantebre Ser'B'Dkk100</t>
  </si>
  <si>
    <t>DK0010136969</t>
  </si>
  <si>
    <t>450233</t>
  </si>
  <si>
    <t>Korsnas Ab Ord Swkr10 Ser'A'</t>
  </si>
  <si>
    <t>450234</t>
  </si>
  <si>
    <t>Korsnas B</t>
  </si>
  <si>
    <t>SE0000108136</t>
  </si>
  <si>
    <t>450237</t>
  </si>
  <si>
    <t>Korsnas Cl B AB</t>
  </si>
  <si>
    <t>450238</t>
  </si>
  <si>
    <t>Korsnas Cl A AB</t>
  </si>
  <si>
    <t>450282</t>
  </si>
  <si>
    <t>Victor International A/S</t>
  </si>
  <si>
    <t>DK0010022367</t>
  </si>
  <si>
    <t>450531</t>
  </si>
  <si>
    <t>Netwise Ser'B'Npv</t>
  </si>
  <si>
    <t>SE0000558173</t>
  </si>
  <si>
    <t>450532</t>
  </si>
  <si>
    <t>SN Holding A/S</t>
  </si>
  <si>
    <t>DK0010197169</t>
  </si>
  <si>
    <t>450572</t>
  </si>
  <si>
    <t>Karolin Invest Sek 10 Ser'B'</t>
  </si>
  <si>
    <t>450590</t>
  </si>
  <si>
    <t>Latour Investment Ser'B'Swkr12.50</t>
  </si>
  <si>
    <t>SE0000106312</t>
  </si>
  <si>
    <t>450593</t>
  </si>
  <si>
    <t>Latour AB Investment Class A</t>
  </si>
  <si>
    <t>SE0000106296</t>
  </si>
  <si>
    <t>450613</t>
  </si>
  <si>
    <t>Incentive A</t>
  </si>
  <si>
    <t>450658</t>
  </si>
  <si>
    <t>J. Lauritzen Holding AS</t>
  </si>
  <si>
    <t>DK0010155324</t>
  </si>
  <si>
    <t>450758</t>
  </si>
  <si>
    <t>Kjessler &amp; Manner. Sek 10</t>
  </si>
  <si>
    <t>451013</t>
  </si>
  <si>
    <t>Kanthal Ab Ser'B'Sek 5</t>
  </si>
  <si>
    <t>451142</t>
  </si>
  <si>
    <t>Capio AB</t>
  </si>
  <si>
    <t>SE0000718199</t>
  </si>
  <si>
    <t>451521</t>
  </si>
  <si>
    <t>Lindab Sek10'B'</t>
  </si>
  <si>
    <t>451870</t>
  </si>
  <si>
    <t>KABE Group AB Class B</t>
  </si>
  <si>
    <t>SE0000107724</t>
  </si>
  <si>
    <t>452144</t>
  </si>
  <si>
    <t>Icb Shipping Sek2.50'A'</t>
  </si>
  <si>
    <t>452214</t>
  </si>
  <si>
    <t>Lodet Fastighets Sek2</t>
  </si>
  <si>
    <t>452625</t>
  </si>
  <si>
    <t>Vendsyssel Bank Dkk100(Regd)</t>
  </si>
  <si>
    <t>DK0010015908</t>
  </si>
  <si>
    <t>452936</t>
  </si>
  <si>
    <t>Laan &amp; Spar Bank A/S</t>
  </si>
  <si>
    <t>DK0010201532</t>
  </si>
  <si>
    <t>453130</t>
  </si>
  <si>
    <t>Kalmar Industries</t>
  </si>
  <si>
    <t>SE0000102790</t>
  </si>
  <si>
    <t>453306</t>
  </si>
  <si>
    <t>Linjebuss Ab Sek12.50 Ser'A'</t>
  </si>
  <si>
    <t>453534</t>
  </si>
  <si>
    <t>Poulsen Louis 'B'Dkk100</t>
  </si>
  <si>
    <t>453673</t>
  </si>
  <si>
    <t>Biomar Holdings AS</t>
  </si>
  <si>
    <t>DK0010215243</t>
  </si>
  <si>
    <t>453686</t>
  </si>
  <si>
    <t>Jp Bank Ser'A'Sek5</t>
  </si>
  <si>
    <t>453800</t>
  </si>
  <si>
    <t>L E Lundbergforetagen AB Class B</t>
  </si>
  <si>
    <t>SE0000108847</t>
  </si>
  <si>
    <t>453810</t>
  </si>
  <si>
    <t>Emil Lundgren Ab Ser'B'Sek5</t>
  </si>
  <si>
    <t>453987</t>
  </si>
  <si>
    <t>Luxonen SA Act. Certificat De Depot Suedois</t>
  </si>
  <si>
    <t>SE0000168304</t>
  </si>
  <si>
    <t>454028</t>
  </si>
  <si>
    <t>Objective A/S Ser'B'Dkk100</t>
  </si>
  <si>
    <t>DK0010011592</t>
  </si>
  <si>
    <t>454047</t>
  </si>
  <si>
    <t>Orc Group AB</t>
  </si>
  <si>
    <t>SE0000634321</t>
  </si>
  <si>
    <t>454223</t>
  </si>
  <si>
    <t>Luxor A/S Class B</t>
  </si>
  <si>
    <t>DK0010213628</t>
  </si>
  <si>
    <t>454789</t>
  </si>
  <si>
    <t>Flugger Group A/S Class B</t>
  </si>
  <si>
    <t>DK0010218189</t>
  </si>
  <si>
    <t>455621</t>
  </si>
  <si>
    <t>Norrporten Fastigh Sek2</t>
  </si>
  <si>
    <t>SE0000350696</t>
  </si>
  <si>
    <t>455762</t>
  </si>
  <si>
    <t>InterMail A/S Class B</t>
  </si>
  <si>
    <t>DK0010212224</t>
  </si>
  <si>
    <t>456081</t>
  </si>
  <si>
    <t>Maldata Ab Ser'B'Sek2</t>
  </si>
  <si>
    <t>456907</t>
  </si>
  <si>
    <t>Marieberg Tidn. A</t>
  </si>
  <si>
    <t>457009</t>
  </si>
  <si>
    <t>Marieberg Tidning AB</t>
  </si>
  <si>
    <t>SE0000103152</t>
  </si>
  <si>
    <t>457095</t>
  </si>
  <si>
    <t>Martinsson Elektri Ser'B'Sek20</t>
  </si>
  <si>
    <t>457146</t>
  </si>
  <si>
    <t>Monark Stiga Sek0.50</t>
  </si>
  <si>
    <t>457326</t>
  </si>
  <si>
    <t>Mols-Linien A/S</t>
  </si>
  <si>
    <t>DK0060135465</t>
  </si>
  <si>
    <t>458365</t>
  </si>
  <si>
    <t>Acrimo AB</t>
  </si>
  <si>
    <t>458770</t>
  </si>
  <si>
    <t>Systemforum As Dkk10</t>
  </si>
  <si>
    <t>458802</t>
  </si>
  <si>
    <t>Micro Matic Holding AS</t>
  </si>
  <si>
    <t>DK0010189067</t>
  </si>
  <si>
    <t>458817</t>
  </si>
  <si>
    <t>Nordifa Gruppen Sek5 Ser'B'</t>
  </si>
  <si>
    <t>458882</t>
  </si>
  <si>
    <t>Danske Bank A/S</t>
  </si>
  <si>
    <t>DK0010274414</t>
  </si>
  <si>
    <t>458908</t>
  </si>
  <si>
    <t>Midtbank Dkk100</t>
  </si>
  <si>
    <t>DK0010001528</t>
  </si>
  <si>
    <t>458974</t>
  </si>
  <si>
    <t>HAKI Safety AB Class B</t>
  </si>
  <si>
    <t>SE0000122673</t>
  </si>
  <si>
    <t>459192</t>
  </si>
  <si>
    <t>Bioscan A/S Dkk5</t>
  </si>
  <si>
    <t>DK0010147065</t>
  </si>
  <si>
    <t>459573</t>
  </si>
  <si>
    <t>Genmab A/S</t>
  </si>
  <si>
    <t>DK0010272202</t>
  </si>
  <si>
    <t>460174</t>
  </si>
  <si>
    <t>Mons Bank A/S</t>
  </si>
  <si>
    <t>DK0060133841</t>
  </si>
  <si>
    <t>460425</t>
  </si>
  <si>
    <t>Morso Bank Dkk100</t>
  </si>
  <si>
    <t>DK0010017797</t>
  </si>
  <si>
    <t>460689</t>
  </si>
  <si>
    <t>Motortramp 'B'Dkk100</t>
  </si>
  <si>
    <t>DK0010138825</t>
  </si>
  <si>
    <t>460975</t>
  </si>
  <si>
    <t>Munksjo</t>
  </si>
  <si>
    <t>SE0000220824</t>
  </si>
  <si>
    <t>461101</t>
  </si>
  <si>
    <t>Munksjo Ab Ser'A'Free Swkr5</t>
  </si>
  <si>
    <t>461302</t>
  </si>
  <si>
    <t>Nobel Industrier Ser'B' - Swkr5</t>
  </si>
  <si>
    <t>SE0000196032</t>
  </si>
  <si>
    <t>461556</t>
  </si>
  <si>
    <t>Hoist Intl Ab Ser B Sek0.65</t>
  </si>
  <si>
    <t>SE0000110322</t>
  </si>
  <si>
    <t>461567</t>
  </si>
  <si>
    <t>Nobel Industrier Rest</t>
  </si>
  <si>
    <t>461716</t>
  </si>
  <si>
    <t>Ncb Ab Ser'B'Swkr1</t>
  </si>
  <si>
    <t>461786</t>
  </si>
  <si>
    <t>NeoNet AB</t>
  </si>
  <si>
    <t>SE0000706913</t>
  </si>
  <si>
    <t>462078</t>
  </si>
  <si>
    <t>JLT Mobile Computers AB</t>
  </si>
  <si>
    <t>SE0000725624</t>
  </si>
  <si>
    <t>462245</t>
  </si>
  <si>
    <t>Nobel Industrier Swkr5 'A'</t>
  </si>
  <si>
    <t>462457</t>
  </si>
  <si>
    <t>Nesa Dkk100</t>
  </si>
  <si>
    <t>DK0010173814</t>
  </si>
  <si>
    <t>463426</t>
  </si>
  <si>
    <t>Norhaven Ser'B'Dkk100</t>
  </si>
  <si>
    <t>DK0010159581</t>
  </si>
  <si>
    <t>463532</t>
  </si>
  <si>
    <t>Centrecourt Ab Sek1</t>
  </si>
  <si>
    <t>SE0000519928</t>
  </si>
  <si>
    <t>464461</t>
  </si>
  <si>
    <t>Jp Nordiska Sek5</t>
  </si>
  <si>
    <t>SE0000211682</t>
  </si>
  <si>
    <t>464474</t>
  </si>
  <si>
    <t>Nordstrom &amp; Thulin Sek5 Ser'B'</t>
  </si>
  <si>
    <t>SE0000109985</t>
  </si>
  <si>
    <t>464503</t>
  </si>
  <si>
    <t>Nordisk Solar Co 'C'Dkk100</t>
  </si>
  <si>
    <t>DK0010005941</t>
  </si>
  <si>
    <t>464504</t>
  </si>
  <si>
    <t>Nordisk Solar Co Ser'O'Dkk100</t>
  </si>
  <si>
    <t>DK0010253251</t>
  </si>
  <si>
    <t>464539</t>
  </si>
  <si>
    <t>Norresundby Bank A/S</t>
  </si>
  <si>
    <t>DK0060135549</t>
  </si>
  <si>
    <t>464571</t>
  </si>
  <si>
    <t>Ncc 'A'Swkr25</t>
  </si>
  <si>
    <t>464574</t>
  </si>
  <si>
    <t>NCC AB Class B</t>
  </si>
  <si>
    <t>SE0000117970</t>
  </si>
  <si>
    <t>464791</t>
  </si>
  <si>
    <t>Nk(Nordiska Komp.) Swkr5</t>
  </si>
  <si>
    <t>466076</t>
  </si>
  <si>
    <t>Ostjydsk Bank A/S</t>
  </si>
  <si>
    <t>DK0010017607</t>
  </si>
  <si>
    <t>466146</t>
  </si>
  <si>
    <t>Orrefors Kosta Boda AB</t>
  </si>
  <si>
    <t>SE0000239089</t>
  </si>
  <si>
    <t>466446</t>
  </si>
  <si>
    <t>Ostgota Enskild Bk Sek10</t>
  </si>
  <si>
    <t>466448</t>
  </si>
  <si>
    <t>Arkil Holding A/S Class B</t>
  </si>
  <si>
    <t>DK0010025113</t>
  </si>
  <si>
    <t>466549</t>
  </si>
  <si>
    <t>Plm Ab 'B'Swkr25</t>
  </si>
  <si>
    <t>466802</t>
  </si>
  <si>
    <t>Pricer AB Class B</t>
  </si>
  <si>
    <t>SE0000233934</t>
  </si>
  <si>
    <t>467712</t>
  </si>
  <si>
    <t>Obel Cw Dkk100 Ser'B'</t>
  </si>
  <si>
    <t>467760</t>
  </si>
  <si>
    <t>Hedegaard Dkk100</t>
  </si>
  <si>
    <t>DK0010206929</t>
  </si>
  <si>
    <t>468244</t>
  </si>
  <si>
    <t>Perstorp B</t>
  </si>
  <si>
    <t>468245</t>
  </si>
  <si>
    <t>Perstorp AB Class B</t>
  </si>
  <si>
    <t>SE0000110736</t>
  </si>
  <si>
    <t>468297</t>
  </si>
  <si>
    <t>Freetel Ab Ser'A'Sek0.10</t>
  </si>
  <si>
    <t>SE0000111155</t>
  </si>
  <si>
    <t>468532</t>
  </si>
  <si>
    <t>Spectra-Physics A</t>
  </si>
  <si>
    <t>SE0000110819</t>
  </si>
  <si>
    <t>468683</t>
  </si>
  <si>
    <t>Phonix 'C'Dkk100</t>
  </si>
  <si>
    <t>469035</t>
  </si>
  <si>
    <t>Piren Ab Ser'B'Swkr10</t>
  </si>
  <si>
    <t>469123</t>
  </si>
  <si>
    <t>Platzer Fastigh.Ab Ser'B'Sek10</t>
  </si>
  <si>
    <t>469935</t>
  </si>
  <si>
    <t>Procordia Ab Swkr25 Ser'B'</t>
  </si>
  <si>
    <t>470442</t>
  </si>
  <si>
    <t>Procordia A</t>
  </si>
  <si>
    <t>470499</t>
  </si>
  <si>
    <t>Programator AB Class B</t>
  </si>
  <si>
    <t>SE0000111353</t>
  </si>
  <si>
    <t>470517</t>
  </si>
  <si>
    <t>Bahco B</t>
  </si>
  <si>
    <t>SE0000111437</t>
  </si>
  <si>
    <t>470557</t>
  </si>
  <si>
    <t>Providentia Forval Ser'B'Free Swkr25</t>
  </si>
  <si>
    <t>SE0000111775</t>
  </si>
  <si>
    <t>470559</t>
  </si>
  <si>
    <t>Providentia A</t>
  </si>
  <si>
    <t>470561</t>
  </si>
  <si>
    <t>Providentia A Fria</t>
  </si>
  <si>
    <t>SE0000111767</t>
  </si>
  <si>
    <t>470577</t>
  </si>
  <si>
    <t>Proventus AB Class B</t>
  </si>
  <si>
    <t>471126</t>
  </si>
  <si>
    <t>Kansas Wenaas AS Class B</t>
  </si>
  <si>
    <t>DK0010217967</t>
  </si>
  <si>
    <t>472009</t>
  </si>
  <si>
    <t>Radiometer A/S Class B</t>
  </si>
  <si>
    <t>DK0010052786</t>
  </si>
  <si>
    <t>472386</t>
  </si>
  <si>
    <t>Randers Reb A/S Ser'O'Dkk20</t>
  </si>
  <si>
    <t>DK0010196864</t>
  </si>
  <si>
    <t>472608</t>
  </si>
  <si>
    <t>Martin Gruppen A/S</t>
  </si>
  <si>
    <t>DK0010216720</t>
  </si>
  <si>
    <t>472641</t>
  </si>
  <si>
    <t>NTR Holding A/S Class B</t>
  </si>
  <si>
    <t>DK0010027671</t>
  </si>
  <si>
    <t>472731</t>
  </si>
  <si>
    <t>Rationel Vinduer 'B'Dkk100</t>
  </si>
  <si>
    <t>DK0010061183</t>
  </si>
  <si>
    <t>472732</t>
  </si>
  <si>
    <t>Rationel Vinduer 'A'Dkk100</t>
  </si>
  <si>
    <t>DK0010040856</t>
  </si>
  <si>
    <t>473007</t>
  </si>
  <si>
    <t>Regnbagen Fastighe Ser'B'Swkr0.40</t>
  </si>
  <si>
    <t>473247</t>
  </si>
  <si>
    <t>Maconomy A/S Dkk2</t>
  </si>
  <si>
    <t>DK0010274174</t>
  </si>
  <si>
    <t>473770</t>
  </si>
  <si>
    <t>RIAS A/S Class B</t>
  </si>
  <si>
    <t>DK0010125848</t>
  </si>
  <si>
    <t>473891</t>
  </si>
  <si>
    <t>Dantruck Ser'B'Dkk15.75</t>
  </si>
  <si>
    <t>DK0010182138</t>
  </si>
  <si>
    <t>473981</t>
  </si>
  <si>
    <t>BioPorto A/S</t>
  </si>
  <si>
    <t>DK0011048619</t>
  </si>
  <si>
    <t>474109</t>
  </si>
  <si>
    <t>Knud I Larsen(Rede Dkk100</t>
  </si>
  <si>
    <t>475383</t>
  </si>
  <si>
    <t>Rottneros AB</t>
  </si>
  <si>
    <t>SE0000112252</t>
  </si>
  <si>
    <t>475488</t>
  </si>
  <si>
    <t>Royal Copenhagen 'B'Dkk100</t>
  </si>
  <si>
    <t>476436</t>
  </si>
  <si>
    <t>S Dyrup &amp; Co 'B'Dkk100</t>
  </si>
  <si>
    <t>DK0010009182</t>
  </si>
  <si>
    <t>476671</t>
  </si>
  <si>
    <t>Saab-Scania Ab Ser'A'Swkr25</t>
  </si>
  <si>
    <t>476673</t>
  </si>
  <si>
    <t>Saab AB</t>
  </si>
  <si>
    <t>SE0000112377</t>
  </si>
  <si>
    <t>476674</t>
  </si>
  <si>
    <t>476710</t>
  </si>
  <si>
    <t>Skf Ab 'B'Swkr12.5</t>
  </si>
  <si>
    <t>SE0000108219</t>
  </si>
  <si>
    <t>477074</t>
  </si>
  <si>
    <t>Catella AB Class B</t>
  </si>
  <si>
    <t>SE0000188518</t>
  </si>
  <si>
    <t>477172</t>
  </si>
  <si>
    <t>Solitair Sek5</t>
  </si>
  <si>
    <t>477179</t>
  </si>
  <si>
    <t>Salling Bank A/S</t>
  </si>
  <si>
    <t>DK0010017367</t>
  </si>
  <si>
    <t>477233</t>
  </si>
  <si>
    <t>Sandblom &amp; Stohne Sek10 Ser'B'</t>
  </si>
  <si>
    <t>477311</t>
  </si>
  <si>
    <t>Samson Group A/S Dkk100</t>
  </si>
  <si>
    <t>DK0010160837</t>
  </si>
  <si>
    <t>477357</t>
  </si>
  <si>
    <t>Sanistaal A/S</t>
  </si>
  <si>
    <t>DK0010245661</t>
  </si>
  <si>
    <t>477467</t>
  </si>
  <si>
    <t>Sandvik Ab Ser'A'Swkr25</t>
  </si>
  <si>
    <t>477819</t>
  </si>
  <si>
    <t>Se 2000 A/S Dkk8 Ser'B'</t>
  </si>
  <si>
    <t>477874</t>
  </si>
  <si>
    <t>SIX AB Class B</t>
  </si>
  <si>
    <t>SE0000558652</t>
  </si>
  <si>
    <t>477965</t>
  </si>
  <si>
    <t>Schades A/S</t>
  </si>
  <si>
    <t>DK0010232842</t>
  </si>
  <si>
    <t>480612</t>
  </si>
  <si>
    <t>Siab Ab Ser'A'Sek25</t>
  </si>
  <si>
    <t>480783</t>
  </si>
  <si>
    <t>Papirfabrikken Invest A/S</t>
  </si>
  <si>
    <t>DK0010128008</t>
  </si>
  <si>
    <t>481022</t>
  </si>
  <si>
    <t>Silcon 'B'Dkk100</t>
  </si>
  <si>
    <t>481058</t>
  </si>
  <si>
    <t>Stora Kopparbergs Bergslags AB</t>
  </si>
  <si>
    <t>481132</t>
  </si>
  <si>
    <t>Skand Enskilda Bkn New A Skr10</t>
  </si>
  <si>
    <t>481201</t>
  </si>
  <si>
    <t>Tower Group A/S</t>
  </si>
  <si>
    <t>DK0011188035</t>
  </si>
  <si>
    <t>481244</t>
  </si>
  <si>
    <t>Skako A/S Dkk50</t>
  </si>
  <si>
    <t>DK0010170042</t>
  </si>
  <si>
    <t>481283</t>
  </si>
  <si>
    <t>Skoogs Ab Ser'B'Sek20</t>
  </si>
  <si>
    <t>481299</t>
  </si>
  <si>
    <t>Skane-Gripen Ab 'B'Sek10</t>
  </si>
  <si>
    <t>SE0000107963</t>
  </si>
  <si>
    <t>481310</t>
  </si>
  <si>
    <t>Skanska Banken Ser'B'Swkr50</t>
  </si>
  <si>
    <t>481315</t>
  </si>
  <si>
    <t>Skandia Intl Hldg 'A'Free Swkr20</t>
  </si>
  <si>
    <t>481334</t>
  </si>
  <si>
    <t>Skandinaviska Enskilda Banken AB Class A</t>
  </si>
  <si>
    <t>SE0000148884</t>
  </si>
  <si>
    <t>481371</t>
  </si>
  <si>
    <t>Skane-Gripen Ab Ser'A'Sek10</t>
  </si>
  <si>
    <t>482167</t>
  </si>
  <si>
    <t>Solar A/S Class B</t>
  </si>
  <si>
    <t>DK0010274844</t>
  </si>
  <si>
    <t>482498</t>
  </si>
  <si>
    <t>SCS Holding AS Class B</t>
  </si>
  <si>
    <t>DK0010006089</t>
  </si>
  <si>
    <t>482644</t>
  </si>
  <si>
    <t>Sophus Berendsen A/S Class A</t>
  </si>
  <si>
    <t>DK0010189570</t>
  </si>
  <si>
    <t>483278</t>
  </si>
  <si>
    <t>Spaencom Ser'B'Dkk100</t>
  </si>
  <si>
    <t>DK0015308019</t>
  </si>
  <si>
    <t>483406</t>
  </si>
  <si>
    <t>Sparekassen Faaborg A/S</t>
  </si>
  <si>
    <t>DK0010150523</t>
  </si>
  <si>
    <t>483568</t>
  </si>
  <si>
    <t>Spendrups Bryggeri Ser'B'Sek10</t>
  </si>
  <si>
    <t>484467</t>
  </si>
  <si>
    <t>Stena Line Ser'B'Swkr30</t>
  </si>
  <si>
    <t>484468</t>
  </si>
  <si>
    <t>Stena Line B</t>
  </si>
  <si>
    <t>SE0000116949</t>
  </si>
  <si>
    <t>484652</t>
  </si>
  <si>
    <t>Swedbank AB Class A</t>
  </si>
  <si>
    <t>SE0000242455</t>
  </si>
  <si>
    <t>485259</t>
  </si>
  <si>
    <t>Stora Kopparberg A</t>
  </si>
  <si>
    <t>SE0000113722</t>
  </si>
  <si>
    <t>485300</t>
  </si>
  <si>
    <t>Investeringsselsk. Ser'B'Dkk100</t>
  </si>
  <si>
    <t>DK0015343438</t>
  </si>
  <si>
    <t>486301</t>
  </si>
  <si>
    <t>Svedala Industri</t>
  </si>
  <si>
    <t>SE0000108169</t>
  </si>
  <si>
    <t>486331</t>
  </si>
  <si>
    <t>Swegon AB Class B</t>
  </si>
  <si>
    <t>SE0000116113</t>
  </si>
  <si>
    <t>486496</t>
  </si>
  <si>
    <t>Svenska Kreditfors Swkr2</t>
  </si>
  <si>
    <t>486853</t>
  </si>
  <si>
    <t>Swedish Match Ser B Skr10 Free</t>
  </si>
  <si>
    <t>SE0000114936</t>
  </si>
  <si>
    <t>486933</t>
  </si>
  <si>
    <t>Sydkraft AB</t>
  </si>
  <si>
    <t>SE0000114431</t>
  </si>
  <si>
    <t>487276</t>
  </si>
  <si>
    <t>System B8 Moebler Dkk100 Ser'B'Dkk</t>
  </si>
  <si>
    <t>487358</t>
  </si>
  <si>
    <t>Terra Mining Ab Sek1</t>
  </si>
  <si>
    <t>487366</t>
  </si>
  <si>
    <t>Tv 4 A</t>
  </si>
  <si>
    <t>SE0000233082</t>
  </si>
  <si>
    <t>487521</t>
  </si>
  <si>
    <t>Tarm Bank Dkk100(Regd)</t>
  </si>
  <si>
    <t>DK0010018928</t>
  </si>
  <si>
    <t>487735</t>
  </si>
  <si>
    <t>Ledstiernan Ser'B'Npv</t>
  </si>
  <si>
    <t>SE0000251902</t>
  </si>
  <si>
    <t>488134</t>
  </si>
  <si>
    <t>Tellus Ejendomsinvest AS</t>
  </si>
  <si>
    <t>DK0010135136</t>
  </si>
  <si>
    <t>488782</t>
  </si>
  <si>
    <t>Stadshypotek AB</t>
  </si>
  <si>
    <t>SE0000199747</t>
  </si>
  <si>
    <t>488915</t>
  </si>
  <si>
    <t>Thrige-Titan Ser'A'Dkk1000</t>
  </si>
  <si>
    <t>489377</t>
  </si>
  <si>
    <t>Tivox Ab Ser'B'Sek1</t>
  </si>
  <si>
    <t>SE0000114662</t>
  </si>
  <si>
    <t>490237</t>
  </si>
  <si>
    <t>Trelleborg B</t>
  </si>
  <si>
    <t>SE0000114829</t>
  </si>
  <si>
    <t>490238</t>
  </si>
  <si>
    <t>Trelleborg AB Class B</t>
  </si>
  <si>
    <t>SE0000114837</t>
  </si>
  <si>
    <t>490243</t>
  </si>
  <si>
    <t>Trelleborg Ab 'C'Swkr25</t>
  </si>
  <si>
    <t>490651</t>
  </si>
  <si>
    <t>Trustor Ab Ser'B'Sek0.50</t>
  </si>
  <si>
    <t>SE0000166555</t>
  </si>
  <si>
    <t>490673</t>
  </si>
  <si>
    <t>Trygg-Hansa B</t>
  </si>
  <si>
    <t>SE0000120818</t>
  </si>
  <si>
    <t>491116</t>
  </si>
  <si>
    <t>Utd Tankers Sek2 Ser'B'</t>
  </si>
  <si>
    <t>491418</t>
  </si>
  <si>
    <t>Unidanmark AS</t>
  </si>
  <si>
    <t>DK0010160167</t>
  </si>
  <si>
    <t>492192</t>
  </si>
  <si>
    <t>Utd Plant Africa Zar0.50</t>
  </si>
  <si>
    <t>DK0010193416</t>
  </si>
  <si>
    <t>492684</t>
  </si>
  <si>
    <t>Varde Bank AS</t>
  </si>
  <si>
    <t>DK0010002096</t>
  </si>
  <si>
    <t>492735</t>
  </si>
  <si>
    <t>Vestjysk Bank Dkk100</t>
  </si>
  <si>
    <t>DK0010016633</t>
  </si>
  <si>
    <t>492805</t>
  </si>
  <si>
    <t>Vejen Traelast Dkk100 (Regd)</t>
  </si>
  <si>
    <t>DK0010215326</t>
  </si>
  <si>
    <t>492833</t>
  </si>
  <si>
    <t>Pharmacia &amp; Upjohn, Inc. Swedish Depository Receipts</t>
  </si>
  <si>
    <t>SE0000289928</t>
  </si>
  <si>
    <t>493091</t>
  </si>
  <si>
    <t>Plm</t>
  </si>
  <si>
    <t>SE0000290728</t>
  </si>
  <si>
    <t>493114</t>
  </si>
  <si>
    <t>Volvo(Ab) Ser'A'Swkr25</t>
  </si>
  <si>
    <t>493115</t>
  </si>
  <si>
    <t>Volvo B</t>
  </si>
  <si>
    <t>493159</t>
  </si>
  <si>
    <t>Vestfyns Bank A/S</t>
  </si>
  <si>
    <t>DK0010019306</t>
  </si>
  <si>
    <t>493521</t>
  </si>
  <si>
    <t>Vbb Gruppen Ab 'B'Sek5</t>
  </si>
  <si>
    <t>493781</t>
  </si>
  <si>
    <t>Verimation Sek5</t>
  </si>
  <si>
    <t>495364</t>
  </si>
  <si>
    <t>Wessel &amp; Vett Magasin Du Nord AS</t>
  </si>
  <si>
    <t>DK0010006246</t>
  </si>
  <si>
    <t>496154</t>
  </si>
  <si>
    <t>Scand Mobility Int Dkk10 (Regd)</t>
  </si>
  <si>
    <t>DK0010217298</t>
  </si>
  <si>
    <t>499342</t>
  </si>
  <si>
    <t>Zeteco AB Ser'B'Sek10</t>
  </si>
  <si>
    <t>500133</t>
  </si>
  <si>
    <t>Monberg &amp; Thorsen A/S Class B</t>
  </si>
  <si>
    <t>DK0010224310</t>
  </si>
  <si>
    <t>500418</t>
  </si>
  <si>
    <t>Trio Ab Npv</t>
  </si>
  <si>
    <t>SE0000282071</t>
  </si>
  <si>
    <t>505174</t>
  </si>
  <si>
    <t>Dahl International Sek10(Regd)</t>
  </si>
  <si>
    <t>SE0000311359</t>
  </si>
  <si>
    <t>505246</t>
  </si>
  <si>
    <t>Meco Holdings AS Dkk20 Ser'B'</t>
  </si>
  <si>
    <t>505836</t>
  </si>
  <si>
    <t>Tornet Fastighets</t>
  </si>
  <si>
    <t>SE0000311417</t>
  </si>
  <si>
    <t>505871</t>
  </si>
  <si>
    <t>Tryg-Baltica Forsikring AS</t>
  </si>
  <si>
    <t>DK0010222025</t>
  </si>
  <si>
    <t>506041</t>
  </si>
  <si>
    <t>Svejsemaskinefabrikken Migatronic A/S Class B</t>
  </si>
  <si>
    <t>DK0010225127</t>
  </si>
  <si>
    <t>506581</t>
  </si>
  <si>
    <t>Sas Danmark AS</t>
  </si>
  <si>
    <t>DK0010223775</t>
  </si>
  <si>
    <t>506619</t>
  </si>
  <si>
    <t>Se 2000 A/S Dkk8 Ser'A'(Regd)</t>
  </si>
  <si>
    <t>506741</t>
  </si>
  <si>
    <t>Naeckebro</t>
  </si>
  <si>
    <t>SE0000314155</t>
  </si>
  <si>
    <t>508170</t>
  </si>
  <si>
    <t>Industrial and Financial Systems AB Class B</t>
  </si>
  <si>
    <t>SE0000189946</t>
  </si>
  <si>
    <t>508413</t>
  </si>
  <si>
    <t>Enator Ab Sek1</t>
  </si>
  <si>
    <t>SE0000325532</t>
  </si>
  <si>
    <t>508542</t>
  </si>
  <si>
    <t>Autofill Ab Ord Sek0.10</t>
  </si>
  <si>
    <t>SE0000308017</t>
  </si>
  <si>
    <t>509603</t>
  </si>
  <si>
    <t>Jacob Holm&amp;Sonner Ser'B'Dkk10</t>
  </si>
  <si>
    <t>512726</t>
  </si>
  <si>
    <t>Diligentia AB</t>
  </si>
  <si>
    <t>SE0000338220</t>
  </si>
  <si>
    <t>512766</t>
  </si>
  <si>
    <t>Kloevern Fastigheter AB Class B</t>
  </si>
  <si>
    <t>SE0000107906</t>
  </si>
  <si>
    <t>514227</t>
  </si>
  <si>
    <t>Jamo A/S Dkk20</t>
  </si>
  <si>
    <t>DK0010227255</t>
  </si>
  <si>
    <t>514514</t>
  </si>
  <si>
    <t>Diffchamb Ab</t>
  </si>
  <si>
    <t>SE0000325870</t>
  </si>
  <si>
    <t>514810</t>
  </si>
  <si>
    <t>Intentia International B</t>
  </si>
  <si>
    <t>SE0000349243</t>
  </si>
  <si>
    <t>515079</t>
  </si>
  <si>
    <t>Inwear Group As Dkk10</t>
  </si>
  <si>
    <t>DK0010227339</t>
  </si>
  <si>
    <t>515718</t>
  </si>
  <si>
    <t>Piren AB</t>
  </si>
  <si>
    <t>SE0000204828</t>
  </si>
  <si>
    <t>516115</t>
  </si>
  <si>
    <t>Biacore International</t>
  </si>
  <si>
    <t>SE0000353351</t>
  </si>
  <si>
    <t>517291</t>
  </si>
  <si>
    <t>Scanmining Ab Npv</t>
  </si>
  <si>
    <t>SE0000352809</t>
  </si>
  <si>
    <t>517444</t>
  </si>
  <si>
    <t>Salusansvar Ab Ser'B'Npv</t>
  </si>
  <si>
    <t>SE0002727180</t>
  </si>
  <si>
    <t>517554</t>
  </si>
  <si>
    <t>Blucher Metal Dkk100</t>
  </si>
  <si>
    <t>519375</t>
  </si>
  <si>
    <t>Gylling Optima Uap Ser'B'Sek100</t>
  </si>
  <si>
    <t>519714</t>
  </si>
  <si>
    <t>Duroc AB Class B</t>
  </si>
  <si>
    <t>SE0000331266</t>
  </si>
  <si>
    <t>519731</t>
  </si>
  <si>
    <t>Brandts Ventures Dkk20</t>
  </si>
  <si>
    <t>520505</t>
  </si>
  <si>
    <t>Karlshamns</t>
  </si>
  <si>
    <t>SE0000347486</t>
  </si>
  <si>
    <t>520597</t>
  </si>
  <si>
    <t>Astra AB Cl B AB</t>
  </si>
  <si>
    <t>SE0000101016</t>
  </si>
  <si>
    <t>520620</t>
  </si>
  <si>
    <t>Fabege Ser'B' Sek50</t>
  </si>
  <si>
    <t>520652</t>
  </si>
  <si>
    <t>Humlegarden Fast Ser'A'Sek5</t>
  </si>
  <si>
    <t>SE0000104580</t>
  </si>
  <si>
    <t>520665</t>
  </si>
  <si>
    <t>Alfaskop Ab Sek4</t>
  </si>
  <si>
    <t>521192</t>
  </si>
  <si>
    <t>Superfos AS</t>
  </si>
  <si>
    <t>DK0010230986</t>
  </si>
  <si>
    <t>521271</t>
  </si>
  <si>
    <t>Perstorp Ab Ser'A'Sek10</t>
  </si>
  <si>
    <t>521275</t>
  </si>
  <si>
    <t>ABB Participation Cl A AB</t>
  </si>
  <si>
    <t>521645</t>
  </si>
  <si>
    <t>Nk Cityfastigheter Ord Sek5</t>
  </si>
  <si>
    <t>SE0000109928</t>
  </si>
  <si>
    <t>522157</t>
  </si>
  <si>
    <t>Auriga Industries A/S Class B</t>
  </si>
  <si>
    <t>DK0010233816</t>
  </si>
  <si>
    <t>522381</t>
  </si>
  <si>
    <t>Evidentia Fastighe Ser'B' Sek40</t>
  </si>
  <si>
    <t>522401</t>
  </si>
  <si>
    <t>Investeringsselskabet af 3. november 2025 A/S</t>
  </si>
  <si>
    <t>DK0010231877</t>
  </si>
  <si>
    <t>522402</t>
  </si>
  <si>
    <t>Vt Holding Ser'A'Dkk20</t>
  </si>
  <si>
    <t>DK0010231794</t>
  </si>
  <si>
    <t>522555</t>
  </si>
  <si>
    <t>Sardus Ab Npv</t>
  </si>
  <si>
    <t>SE0000112682</t>
  </si>
  <si>
    <t>522598</t>
  </si>
  <si>
    <t>Inwarehouse Ab Npv</t>
  </si>
  <si>
    <t>SE0000517591</t>
  </si>
  <si>
    <t>522632</t>
  </si>
  <si>
    <t>Pronyx Ab</t>
  </si>
  <si>
    <t>SE0000374704</t>
  </si>
  <si>
    <t>522791</t>
  </si>
  <si>
    <t>MultiQ International AB</t>
  </si>
  <si>
    <t>SE0000353898</t>
  </si>
  <si>
    <t>523590</t>
  </si>
  <si>
    <t>Zodiak Television Ser'B'Npv</t>
  </si>
  <si>
    <t>SE0000374993</t>
  </si>
  <si>
    <t>523853</t>
  </si>
  <si>
    <t>Gorthon Lines Ser'B' Sek2</t>
  </si>
  <si>
    <t>SE0000388969</t>
  </si>
  <si>
    <t>524393</t>
  </si>
  <si>
    <t>Fazer Confectionery Ltd</t>
  </si>
  <si>
    <t>SE0000102642</t>
  </si>
  <si>
    <t>524510</t>
  </si>
  <si>
    <t>Satair</t>
  </si>
  <si>
    <t>DK0010230390</t>
  </si>
  <si>
    <t>524636</t>
  </si>
  <si>
    <t>Firefly AB</t>
  </si>
  <si>
    <t>SE0000395428</t>
  </si>
  <si>
    <t>525165</t>
  </si>
  <si>
    <t>Saki Ab Npv</t>
  </si>
  <si>
    <t>SE0000379075</t>
  </si>
  <si>
    <t>525424</t>
  </si>
  <si>
    <t>PartnerTech AB</t>
  </si>
  <si>
    <t>SE0000394165</t>
  </si>
  <si>
    <t>525585</t>
  </si>
  <si>
    <t>Sapa AB</t>
  </si>
  <si>
    <t>SE0000266991</t>
  </si>
  <si>
    <t>525704</t>
  </si>
  <si>
    <t>Semcon AB</t>
  </si>
  <si>
    <t>SE0000379497</t>
  </si>
  <si>
    <t>525729</t>
  </si>
  <si>
    <t>Riddarhyttan Sek0.10</t>
  </si>
  <si>
    <t>SE0000383473</t>
  </si>
  <si>
    <t>525762</t>
  </si>
  <si>
    <t>Scand Pc Systems Sek4</t>
  </si>
  <si>
    <t>525819</t>
  </si>
  <si>
    <t>Rationel Vinduer Dkk100</t>
  </si>
  <si>
    <t>525941</t>
  </si>
  <si>
    <t>Narkes Elektriska Ser'B'Npv</t>
  </si>
  <si>
    <t>SE0000189128</t>
  </si>
  <si>
    <t>525982</t>
  </si>
  <si>
    <t>Norditube Tech Ab Sek0.50</t>
  </si>
  <si>
    <t>SE0000371338</t>
  </si>
  <si>
    <t>526182</t>
  </si>
  <si>
    <t>Nth Atlantic Nat R Sek0.15</t>
  </si>
  <si>
    <t>SE0000383531</t>
  </si>
  <si>
    <t>526202</t>
  </si>
  <si>
    <t>Prosolvia Ab 'B'Sek2</t>
  </si>
  <si>
    <t>526357</t>
  </si>
  <si>
    <t>FLSmidth &amp; Co. A/S</t>
  </si>
  <si>
    <t>DK0010234467</t>
  </si>
  <si>
    <t>526460</t>
  </si>
  <si>
    <t>Pandox AB</t>
  </si>
  <si>
    <t>SE0000394181</t>
  </si>
  <si>
    <t>526583</t>
  </si>
  <si>
    <t>ProfilGruppen AB Class B</t>
  </si>
  <si>
    <t>SE0000393860</t>
  </si>
  <si>
    <t>526915</t>
  </si>
  <si>
    <t>Roervik Timber AB Class B</t>
  </si>
  <si>
    <t>SE0000387318</t>
  </si>
  <si>
    <t>526920</t>
  </si>
  <si>
    <t>Lammhults Design Group AB Class B</t>
  </si>
  <si>
    <t>SE0000386138</t>
  </si>
  <si>
    <t>527381</t>
  </si>
  <si>
    <t>Medicover Holding Sdr Usd5</t>
  </si>
  <si>
    <t>SE0000395170</t>
  </si>
  <si>
    <t>529879</t>
  </si>
  <si>
    <t>AS Potagua</t>
  </si>
  <si>
    <t>DK0010235191</t>
  </si>
  <si>
    <t>531993</t>
  </si>
  <si>
    <t>Color Print A/S Dkk20</t>
  </si>
  <si>
    <t>DK0010235274</t>
  </si>
  <si>
    <t>533964</t>
  </si>
  <si>
    <t>Liljeholmens Stear Ser'A'Sek2</t>
  </si>
  <si>
    <t>533965</t>
  </si>
  <si>
    <t>Liljeholmens Stear Ser'B'Sek2</t>
  </si>
  <si>
    <t>535281</t>
  </si>
  <si>
    <t>Olicom A/S</t>
  </si>
  <si>
    <t>DK0010237056</t>
  </si>
  <si>
    <t>535456</t>
  </si>
  <si>
    <t>Handskmakarn Ab Ser'B'Sek4</t>
  </si>
  <si>
    <t>535954</t>
  </si>
  <si>
    <t>PARKEN Sport &amp; Entertainment A/S</t>
  </si>
  <si>
    <t>DK0010237643</t>
  </si>
  <si>
    <t>536391</t>
  </si>
  <si>
    <t>Artimplant AB Class B</t>
  </si>
  <si>
    <t>SE0000413221</t>
  </si>
  <si>
    <t>536477</t>
  </si>
  <si>
    <t>CTT Systems AB</t>
  </si>
  <si>
    <t>SE0000418923</t>
  </si>
  <si>
    <t>536488</t>
  </si>
  <si>
    <t>Knowit AB</t>
  </si>
  <si>
    <t>SE0000421273</t>
  </si>
  <si>
    <t>537306</t>
  </si>
  <si>
    <t>Memory Card Techno Dkk10</t>
  </si>
  <si>
    <t>537918</t>
  </si>
  <si>
    <t>Eldon Ab Ser'B'Sek10</t>
  </si>
  <si>
    <t>537931</t>
  </si>
  <si>
    <t>Arete Ab Sek1</t>
  </si>
  <si>
    <t>537985</t>
  </si>
  <si>
    <t>Labs2 Group Ab Npv</t>
  </si>
  <si>
    <t>SE0000426470</t>
  </si>
  <si>
    <t>538003</t>
  </si>
  <si>
    <t>Nordea Bank AB</t>
  </si>
  <si>
    <t>SE0000427361</t>
  </si>
  <si>
    <t>538665</t>
  </si>
  <si>
    <t>Royal Scandinavia AS</t>
  </si>
  <si>
    <t>DK0010239268</t>
  </si>
  <si>
    <t>538676</t>
  </si>
  <si>
    <t>Gandalf Ab Sek2 Ser'B'</t>
  </si>
  <si>
    <t>SE0000394702</t>
  </si>
  <si>
    <t>538684</t>
  </si>
  <si>
    <t>Louis Gibeck Ab Sek2 Ser'B'</t>
  </si>
  <si>
    <t>538699</t>
  </si>
  <si>
    <t>Tpc Security Ab Sek2 Ser'B'</t>
  </si>
  <si>
    <t>538759</t>
  </si>
  <si>
    <t>Fb Industri Hldg A Sek0.20'B'</t>
  </si>
  <si>
    <t>540237</t>
  </si>
  <si>
    <t>Ratin AS Class A</t>
  </si>
  <si>
    <t>DK0010238617</t>
  </si>
  <si>
    <t>540238</t>
  </si>
  <si>
    <t>Ratin AS Class B</t>
  </si>
  <si>
    <t>DK0010238880</t>
  </si>
  <si>
    <t>540262</t>
  </si>
  <si>
    <t>Sophus Berendsen AS</t>
  </si>
  <si>
    <t>DK0010238450</t>
  </si>
  <si>
    <t>541155</t>
  </si>
  <si>
    <t>Athena Investments A/S</t>
  </si>
  <si>
    <t>DK0010240514</t>
  </si>
  <si>
    <t>541949</t>
  </si>
  <si>
    <t>Land &amp; Leisure A/S Class B</t>
  </si>
  <si>
    <t>DK0010240860</t>
  </si>
  <si>
    <t>543363</t>
  </si>
  <si>
    <t>Cell Network AB</t>
  </si>
  <si>
    <t>SE0000311615</t>
  </si>
  <si>
    <t>543731</t>
  </si>
  <si>
    <t>Energy Solutions Dkk20</t>
  </si>
  <si>
    <t>DK0010241405</t>
  </si>
  <si>
    <t>543774</t>
  </si>
  <si>
    <t>Omx AB</t>
  </si>
  <si>
    <t>SE0000110165</t>
  </si>
  <si>
    <t>543829</t>
  </si>
  <si>
    <t>Asticus Ab Sek10</t>
  </si>
  <si>
    <t>SE0000452682</t>
  </si>
  <si>
    <t>544318</t>
  </si>
  <si>
    <t>Sjaelso Gruppen A/S</t>
  </si>
  <si>
    <t>DK0010241751</t>
  </si>
  <si>
    <t>544505</t>
  </si>
  <si>
    <t>Karolin Machine Tools</t>
  </si>
  <si>
    <t>SE0000451346</t>
  </si>
  <si>
    <t>544555</t>
  </si>
  <si>
    <t>Entra Ab Ser'A'Sek0.25</t>
  </si>
  <si>
    <t>SE0000538258</t>
  </si>
  <si>
    <t>545323</t>
  </si>
  <si>
    <t>Ortivus AB Class B</t>
  </si>
  <si>
    <t>SE0000123085</t>
  </si>
  <si>
    <t>545593</t>
  </si>
  <si>
    <t>Mandamus Fastigheter</t>
  </si>
  <si>
    <t>SE0000456386</t>
  </si>
  <si>
    <t>545785</t>
  </si>
  <si>
    <t>Dicentia A/S Dkk5.00</t>
  </si>
  <si>
    <t>DK0010242213</t>
  </si>
  <si>
    <t>546157</t>
  </si>
  <si>
    <t>Skandia Forsakring AB</t>
  </si>
  <si>
    <t>SE0000113094</t>
  </si>
  <si>
    <t>546217</t>
  </si>
  <si>
    <t>All Cards Service Npv</t>
  </si>
  <si>
    <t>SE0000459323</t>
  </si>
  <si>
    <t>546414</t>
  </si>
  <si>
    <t>Matteus Ab</t>
  </si>
  <si>
    <t>SE0000232282</t>
  </si>
  <si>
    <t>546421</t>
  </si>
  <si>
    <t>Segerstrom&amp;Svensson B</t>
  </si>
  <si>
    <t>SE0000264574</t>
  </si>
  <si>
    <t>546642</t>
  </si>
  <si>
    <t>Stralfors Ab Ser'B'Npv</t>
  </si>
  <si>
    <t>SE0000113797</t>
  </si>
  <si>
    <t>546729</t>
  </si>
  <si>
    <t>Icopal AS</t>
  </si>
  <si>
    <t>DK0010245315</t>
  </si>
  <si>
    <t>547179</t>
  </si>
  <si>
    <t>Guide Konsult Ser'B'Sek2</t>
  </si>
  <si>
    <t>547232</t>
  </si>
  <si>
    <t>Optimail Ser'A'Sek5</t>
  </si>
  <si>
    <t>SE0000304750</t>
  </si>
  <si>
    <t>547318</t>
  </si>
  <si>
    <t>Prevas AB Class B</t>
  </si>
  <si>
    <t>SE0000356008</t>
  </si>
  <si>
    <t>547670</t>
  </si>
  <si>
    <t>Marius Pedersen Ser'B'Dkk20</t>
  </si>
  <si>
    <t>547671</t>
  </si>
  <si>
    <t>Bhj A/S Dkk20</t>
  </si>
  <si>
    <t>DK0010244938</t>
  </si>
  <si>
    <t>547730</t>
  </si>
  <si>
    <t>Soc.Europ.De.Comm Sdr Ser'B'Non Vtg</t>
  </si>
  <si>
    <t>SE0000478067</t>
  </si>
  <si>
    <t>549033</t>
  </si>
  <si>
    <t>Soc.Europ.De.Comm Sdr Ser'A'Vtg</t>
  </si>
  <si>
    <t>549910</t>
  </si>
  <si>
    <t>U-Sea Bulk Shippin Dkk1 Ord</t>
  </si>
  <si>
    <t>DK0010246040</t>
  </si>
  <si>
    <t>551153</t>
  </si>
  <si>
    <t>Dial Next Group Ab Sek1 Ser'B'</t>
  </si>
  <si>
    <t>551679</t>
  </si>
  <si>
    <t>Vlt Ab Ser'B'Npv</t>
  </si>
  <si>
    <t>SE0000115222</t>
  </si>
  <si>
    <t>552492</t>
  </si>
  <si>
    <t>Gyldendal A/S Class B</t>
  </si>
  <si>
    <t>DK0010247600</t>
  </si>
  <si>
    <t>552692</t>
  </si>
  <si>
    <t>Aalborg Portland A Holding AS</t>
  </si>
  <si>
    <t>DK0010246636</t>
  </si>
  <si>
    <t>552693</t>
  </si>
  <si>
    <t>Aalborg Portland Ser'B'Dkk20</t>
  </si>
  <si>
    <t>DK0010246719</t>
  </si>
  <si>
    <t>553403</t>
  </si>
  <si>
    <t>Brondbyernes IF Fodbold A/S Class B</t>
  </si>
  <si>
    <t>DK0010247956</t>
  </si>
  <si>
    <t>554107</t>
  </si>
  <si>
    <t>Fabege Ab Ser'A'Sek2</t>
  </si>
  <si>
    <t>SE0000500290</t>
  </si>
  <si>
    <t>555404</t>
  </si>
  <si>
    <t>Securitas AB Class B</t>
  </si>
  <si>
    <t>SE0000163594</t>
  </si>
  <si>
    <t>556398</t>
  </si>
  <si>
    <t>Glunz &amp; Jensen Holding A/S</t>
  </si>
  <si>
    <t>DK0010249309</t>
  </si>
  <si>
    <t>556405</t>
  </si>
  <si>
    <t>Realdanmark</t>
  </si>
  <si>
    <t>DK0010126309</t>
  </si>
  <si>
    <t>556461</t>
  </si>
  <si>
    <t>Bavarian Nordic A/S</t>
  </si>
  <si>
    <t>DK0015998017</t>
  </si>
  <si>
    <t>557122</t>
  </si>
  <si>
    <t>Udviklingsselskabet af 01.08. 1975 A/S</t>
  </si>
  <si>
    <t>DK0010250075</t>
  </si>
  <si>
    <t>557142</t>
  </si>
  <si>
    <t>Eurocom Industries Dkk1.00</t>
  </si>
  <si>
    <t>DK0010249069</t>
  </si>
  <si>
    <t>557166</t>
  </si>
  <si>
    <t>3L Systems AB</t>
  </si>
  <si>
    <t>SE0000494072</t>
  </si>
  <si>
    <t>557299</t>
  </si>
  <si>
    <t>Funki As Dkk20</t>
  </si>
  <si>
    <t>DK0010250745</t>
  </si>
  <si>
    <t>557829</t>
  </si>
  <si>
    <t>Teleca</t>
  </si>
  <si>
    <t>SE0000366254</t>
  </si>
  <si>
    <t>558252</t>
  </si>
  <si>
    <t>Nowaco Group Dkk100</t>
  </si>
  <si>
    <t>DK0010248848</t>
  </si>
  <si>
    <t>558260</t>
  </si>
  <si>
    <t>Prifast Sek5</t>
  </si>
  <si>
    <t>559416</t>
  </si>
  <si>
    <t>Keops A/S</t>
  </si>
  <si>
    <t>DK0010250588</t>
  </si>
  <si>
    <t>560875</t>
  </si>
  <si>
    <t>Skanditek Industri Npv</t>
  </si>
  <si>
    <t>SE0000535593</t>
  </si>
  <si>
    <t>564112</t>
  </si>
  <si>
    <t>Navision AS</t>
  </si>
  <si>
    <t>DK0010251636</t>
  </si>
  <si>
    <t>566367</t>
  </si>
  <si>
    <t>Modul 1 Data Npv</t>
  </si>
  <si>
    <t>SE0000345902</t>
  </si>
  <si>
    <t>566479</t>
  </si>
  <si>
    <t>Frango Ab Sek0.50'B'</t>
  </si>
  <si>
    <t>SE0000545311</t>
  </si>
  <si>
    <t>566563</t>
  </si>
  <si>
    <t>Ticket Travel Grou Npv</t>
  </si>
  <si>
    <t>SE0000378127</t>
  </si>
  <si>
    <t>566792</t>
  </si>
  <si>
    <t>Teligent Ab Npv</t>
  </si>
  <si>
    <t>SE0000434342</t>
  </si>
  <si>
    <t>567033</t>
  </si>
  <si>
    <t>Jeeves Information Npv</t>
  </si>
  <si>
    <t>SE0000545626</t>
  </si>
  <si>
    <t>567820</t>
  </si>
  <si>
    <t>Scandic Hotels</t>
  </si>
  <si>
    <t>SE0000351157</t>
  </si>
  <si>
    <t>568379</t>
  </si>
  <si>
    <t>Europolitan Vodafone AB</t>
  </si>
  <si>
    <t>SE0000237315</t>
  </si>
  <si>
    <t>568403</t>
  </si>
  <si>
    <t>Sorb Industri Ab Sek10</t>
  </si>
  <si>
    <t>568680</t>
  </si>
  <si>
    <t>Nordisk Solar Co Ser'B'Dkk100</t>
  </si>
  <si>
    <t>DK0010253418</t>
  </si>
  <si>
    <t>568743</t>
  </si>
  <si>
    <t>H&amp;M Hennes &amp; Mauritz AB Class B</t>
  </si>
  <si>
    <t>SE0000106270</t>
  </si>
  <si>
    <t>569043</t>
  </si>
  <si>
    <t>Rks Ab Sek1.80'B'</t>
  </si>
  <si>
    <t>SE0000484305</t>
  </si>
  <si>
    <t>569085</t>
  </si>
  <si>
    <t>Schouw &amp; Co</t>
  </si>
  <si>
    <t>DK0010253921</t>
  </si>
  <si>
    <t>569253</t>
  </si>
  <si>
    <t>Nordnet AB Class B</t>
  </si>
  <si>
    <t>SE0000371296</t>
  </si>
  <si>
    <t>569879</t>
  </si>
  <si>
    <t>TDC Holding A/S</t>
  </si>
  <si>
    <t>DK0060228559</t>
  </si>
  <si>
    <t>570232</t>
  </si>
  <si>
    <t>PION Group AB Class B</t>
  </si>
  <si>
    <t>SE0000567539</t>
  </si>
  <si>
    <t>570559</t>
  </si>
  <si>
    <t>NEG Micon AS</t>
  </si>
  <si>
    <t>DK0010253681</t>
  </si>
  <si>
    <t>570583</t>
  </si>
  <si>
    <t>Midsona AB Class B</t>
  </si>
  <si>
    <t>SE0000565228</t>
  </si>
  <si>
    <t>570669</t>
  </si>
  <si>
    <t>Meto Ag Ord Npv (Sek Quote)</t>
  </si>
  <si>
    <t>570930</t>
  </si>
  <si>
    <t>Kindwalls Bil Ab Ser'B'Npv</t>
  </si>
  <si>
    <t>SE0000418378</t>
  </si>
  <si>
    <t>571202</t>
  </si>
  <si>
    <t>Kreditbanken A/S</t>
  </si>
  <si>
    <t>DK0010253764</t>
  </si>
  <si>
    <t>571617</t>
  </si>
  <si>
    <t>ReadSoft AB Class B</t>
  </si>
  <si>
    <t>SE0000479107</t>
  </si>
  <si>
    <t>571723</t>
  </si>
  <si>
    <t>Novotek AB Class B</t>
  </si>
  <si>
    <t>SE0000567752</t>
  </si>
  <si>
    <t>571928</t>
  </si>
  <si>
    <t>MT Hojgaard Holding A/S Class B</t>
  </si>
  <si>
    <t>DK0010255975</t>
  </si>
  <si>
    <t>572258</t>
  </si>
  <si>
    <t>Brodrene Hartmann A/S Class B</t>
  </si>
  <si>
    <t>DK0010256197</t>
  </si>
  <si>
    <t>576894</t>
  </si>
  <si>
    <t>Connecta Ab Sek0.5 Ser'B'</t>
  </si>
  <si>
    <t>SE0000585960</t>
  </si>
  <si>
    <t>577661</t>
  </si>
  <si>
    <t>Foras Holding Ser'A'Dkk20</t>
  </si>
  <si>
    <t>DK0010258052</t>
  </si>
  <si>
    <t>577813</t>
  </si>
  <si>
    <t>Damgaard Dkk10</t>
  </si>
  <si>
    <t>DK0010257591</t>
  </si>
  <si>
    <t>579676</t>
  </si>
  <si>
    <t>Agat Ejendomme A/S</t>
  </si>
  <si>
    <t>DK0010258995</t>
  </si>
  <si>
    <t>579755</t>
  </si>
  <si>
    <t>Perbio Science AB</t>
  </si>
  <si>
    <t>SE0000590416</t>
  </si>
  <si>
    <t>580864</t>
  </si>
  <si>
    <t>Micro Systemation AB Class B</t>
  </si>
  <si>
    <t>SE0000526626</t>
  </si>
  <si>
    <t>581584</t>
  </si>
  <si>
    <t>Rella Holding A/S</t>
  </si>
  <si>
    <t>DK0016033889</t>
  </si>
  <si>
    <t>582049</t>
  </si>
  <si>
    <t>I-Data International AS</t>
  </si>
  <si>
    <t>DK0010259613</t>
  </si>
  <si>
    <t>582847</t>
  </si>
  <si>
    <t>Friluftsbolaget Ek Sek0.40</t>
  </si>
  <si>
    <t>583402</t>
  </si>
  <si>
    <t>Nordic Blue Invest A/S</t>
  </si>
  <si>
    <t>DK0016017171</t>
  </si>
  <si>
    <t>583801</t>
  </si>
  <si>
    <t>M2S Ser'B'Sek1</t>
  </si>
  <si>
    <t>SE0000442931</t>
  </si>
  <si>
    <t>585084</t>
  </si>
  <si>
    <t>Vest-Wood As Dkk10</t>
  </si>
  <si>
    <t>DK0010262161</t>
  </si>
  <si>
    <t>586751</t>
  </si>
  <si>
    <t>Graninge Ab</t>
  </si>
  <si>
    <t>SE0000610354</t>
  </si>
  <si>
    <t>587146</t>
  </si>
  <si>
    <t>Kipling Holding AB</t>
  </si>
  <si>
    <t>SE0000459067</t>
  </si>
  <si>
    <t>587315</t>
  </si>
  <si>
    <t>Precio Fishbone AB Class B</t>
  </si>
  <si>
    <t>SE0000141137</t>
  </si>
  <si>
    <t>588066</t>
  </si>
  <si>
    <t>Hultstrom Group AB(publ) Class B</t>
  </si>
  <si>
    <t>SE0000483943</t>
  </si>
  <si>
    <t>588355</t>
  </si>
  <si>
    <t>Utfors Ab Sek0.27</t>
  </si>
  <si>
    <t>SE0000540551</t>
  </si>
  <si>
    <t>590855</t>
  </si>
  <si>
    <t>A Brand New World Sek1 Ser'B'</t>
  </si>
  <si>
    <t>591812</t>
  </si>
  <si>
    <t>Vision Park Ab Sek0.25</t>
  </si>
  <si>
    <t>591843</t>
  </si>
  <si>
    <t>AGF A/S Class B</t>
  </si>
  <si>
    <t>DK0010263722</t>
  </si>
  <si>
    <t>592194</t>
  </si>
  <si>
    <t>Bringwell AB</t>
  </si>
  <si>
    <t>SE0000436974</t>
  </si>
  <si>
    <t>592506</t>
  </si>
  <si>
    <t>Consenta Hldg As Dkk20</t>
  </si>
  <si>
    <t>DK0010263482</t>
  </si>
  <si>
    <t>593417</t>
  </si>
  <si>
    <t>Bredband2 i Skandinavien AB</t>
  </si>
  <si>
    <t>SE0000648669</t>
  </si>
  <si>
    <t>593703</t>
  </si>
  <si>
    <t>Cashguard Ab Ser'B'Npv</t>
  </si>
  <si>
    <t>SE0000514440</t>
  </si>
  <si>
    <t>594244</t>
  </si>
  <si>
    <t>Affarsstrategerna Ser'B'Npv</t>
  </si>
  <si>
    <t>SE0000445934</t>
  </si>
  <si>
    <t>594470</t>
  </si>
  <si>
    <t>Hammar Invest AB Shs -B-</t>
  </si>
  <si>
    <t>SPOTLIGHT</t>
  </si>
  <si>
    <t>SE0000568222</t>
  </si>
  <si>
    <t>595126</t>
  </si>
  <si>
    <t>Telelogic AB</t>
  </si>
  <si>
    <t>SE0000468571</t>
  </si>
  <si>
    <t>595281</t>
  </si>
  <si>
    <t>ISS World Services A/S</t>
  </si>
  <si>
    <t>DK0010267046</t>
  </si>
  <si>
    <t>595937</t>
  </si>
  <si>
    <t>Telefonaktiebolaget LM Ericsson Class B</t>
  </si>
  <si>
    <t>SE0000108656</t>
  </si>
  <si>
    <t>596091</t>
  </si>
  <si>
    <t>Columbus A/S</t>
  </si>
  <si>
    <t>DK0010268366</t>
  </si>
  <si>
    <t>596309</t>
  </si>
  <si>
    <t>Bluemarx Ab Sek1</t>
  </si>
  <si>
    <t>596466</t>
  </si>
  <si>
    <t>2M Invest A/S Dkk10</t>
  </si>
  <si>
    <t>DK0010268523</t>
  </si>
  <si>
    <t>596768</t>
  </si>
  <si>
    <t>Net Insight AB Class B</t>
  </si>
  <si>
    <t>SE0000366098</t>
  </si>
  <si>
    <t>597046</t>
  </si>
  <si>
    <t>WM-Data AB</t>
  </si>
  <si>
    <t>SE0000115404</t>
  </si>
  <si>
    <t>597131</t>
  </si>
  <si>
    <t>Ims Data Ab Sek1</t>
  </si>
  <si>
    <t>SE0000259418</t>
  </si>
  <si>
    <t>597147</t>
  </si>
  <si>
    <t>Mogul Ab Sek1</t>
  </si>
  <si>
    <t>SE0000671810</t>
  </si>
  <si>
    <t>597193</t>
  </si>
  <si>
    <t>Ibs</t>
  </si>
  <si>
    <t>SE0000106759</t>
  </si>
  <si>
    <t>597212</t>
  </si>
  <si>
    <t>Softronic AB Class B</t>
  </si>
  <si>
    <t>SE0000323305</t>
  </si>
  <si>
    <t>597394</t>
  </si>
  <si>
    <t>Scandiaconsult AB</t>
  </si>
  <si>
    <t>SE0000120859</t>
  </si>
  <si>
    <t>597768</t>
  </si>
  <si>
    <t>Boss Media</t>
  </si>
  <si>
    <t>SE0000488850</t>
  </si>
  <si>
    <t>597769</t>
  </si>
  <si>
    <t>Fenix Outdoor AB Class B</t>
  </si>
  <si>
    <t>SE0000104788</t>
  </si>
  <si>
    <t>597770</t>
  </si>
  <si>
    <t>Iar Systems Ab Sek0.50</t>
  </si>
  <si>
    <t>SE0000678328</t>
  </si>
  <si>
    <t>597774</t>
  </si>
  <si>
    <t>Affitech A/S</t>
  </si>
  <si>
    <t>DK0015966592</t>
  </si>
  <si>
    <t>597783</t>
  </si>
  <si>
    <t>RTX A/S</t>
  </si>
  <si>
    <t>DK0010267129</t>
  </si>
  <si>
    <t>597838</t>
  </si>
  <si>
    <t>Telia Company AB</t>
  </si>
  <si>
    <t>SE0000667925</t>
  </si>
  <si>
    <t>598054</t>
  </si>
  <si>
    <t>Availo AB</t>
  </si>
  <si>
    <t>SE0000582603</t>
  </si>
  <si>
    <t>598140</t>
  </si>
  <si>
    <t>Realia AB</t>
  </si>
  <si>
    <t>SE0000193286</t>
  </si>
  <si>
    <t>598193</t>
  </si>
  <si>
    <t>AU-System AB</t>
  </si>
  <si>
    <t>SE0000674509</t>
  </si>
  <si>
    <t>598233</t>
  </si>
  <si>
    <t>Scandinavia Online Sek1</t>
  </si>
  <si>
    <t>SE0000673907</t>
  </si>
  <si>
    <t>598468</t>
  </si>
  <si>
    <t>Resco Ab Ser'B'Sek0.50</t>
  </si>
  <si>
    <t>SE0000262446</t>
  </si>
  <si>
    <t>598763</t>
  </si>
  <si>
    <t>Ependion AB</t>
  </si>
  <si>
    <t>SE0000671711</t>
  </si>
  <si>
    <t>599089</t>
  </si>
  <si>
    <t>Netonnet Ab</t>
  </si>
  <si>
    <t>SE0000657140</t>
  </si>
  <si>
    <t>599302</t>
  </si>
  <si>
    <t>Axis AB</t>
  </si>
  <si>
    <t>SE0000672354</t>
  </si>
  <si>
    <t>599815</t>
  </si>
  <si>
    <t>Micro Holding Ab Npv</t>
  </si>
  <si>
    <t>SE0000685828</t>
  </si>
  <si>
    <t>599975</t>
  </si>
  <si>
    <t>North Media A/S</t>
  </si>
  <si>
    <t>DK0010270347</t>
  </si>
  <si>
    <t>702197</t>
  </si>
  <si>
    <t>Strategic Investments A/S Class A</t>
  </si>
  <si>
    <t>DK0010271238</t>
  </si>
  <si>
    <t>702313</t>
  </si>
  <si>
    <t>Cisl Gruppen Ab Npv</t>
  </si>
  <si>
    <t>SE0000682205</t>
  </si>
  <si>
    <t>703252</t>
  </si>
  <si>
    <t>Alliance Oil Company Ltd Shs Swedish depository receipt</t>
  </si>
  <si>
    <t>Downstream and Midstream Energy</t>
  </si>
  <si>
    <t>SE0000739286</t>
  </si>
  <si>
    <t>704671</t>
  </si>
  <si>
    <t>Dimension AB</t>
  </si>
  <si>
    <t>SE0000721433</t>
  </si>
  <si>
    <t>705707</t>
  </si>
  <si>
    <t>Thrane &amp; Thrane</t>
  </si>
  <si>
    <t>DK0010279215</t>
  </si>
  <si>
    <t>710326</t>
  </si>
  <si>
    <t>Studsvik AB</t>
  </si>
  <si>
    <t>SE0000653230</t>
  </si>
  <si>
    <t>710364</t>
  </si>
  <si>
    <t>Proffice AB Class B</t>
  </si>
  <si>
    <t>SE0000470700</t>
  </si>
  <si>
    <t>710480</t>
  </si>
  <si>
    <t>Svenska Orient Lin Ser'B'Sek5</t>
  </si>
  <si>
    <t>710635</t>
  </si>
  <si>
    <t>NKT A/S</t>
  </si>
  <si>
    <t>DK0010287663</t>
  </si>
  <si>
    <t>710809</t>
  </si>
  <si>
    <t>Decim Ab Ser'B'Sek0.50</t>
  </si>
  <si>
    <t>SE0000591844</t>
  </si>
  <si>
    <t>711676</t>
  </si>
  <si>
    <t>IC Group A/S</t>
  </si>
  <si>
    <t>DK0010221803</t>
  </si>
  <si>
    <t>712643</t>
  </si>
  <si>
    <t>Codan AS</t>
  </si>
  <si>
    <t>DK0010288638</t>
  </si>
  <si>
    <t>712644</t>
  </si>
  <si>
    <t>Danske Traelast</t>
  </si>
  <si>
    <t>DK0010287903</t>
  </si>
  <si>
    <t>712957</t>
  </si>
  <si>
    <t>SAS AB</t>
  </si>
  <si>
    <t>SE0003366871</t>
  </si>
  <si>
    <t>713279</t>
  </si>
  <si>
    <t>Netop Solutions A/S</t>
  </si>
  <si>
    <t>DK0010288125</t>
  </si>
  <si>
    <t>713825</t>
  </si>
  <si>
    <t>Epsilon AB Class B</t>
  </si>
  <si>
    <t>SE0000809741</t>
  </si>
  <si>
    <t>714209</t>
  </si>
  <si>
    <t>Skanska AB Class B</t>
  </si>
  <si>
    <t>SE0000113250</t>
  </si>
  <si>
    <t>714888</t>
  </si>
  <si>
    <t>Pergo Ab Npv</t>
  </si>
  <si>
    <t>SE0000809881</t>
  </si>
  <si>
    <t>718228</t>
  </si>
  <si>
    <t>Icm Kungsholms Ab Npv</t>
  </si>
  <si>
    <t>SE0000809501</t>
  </si>
  <si>
    <t>718322</t>
  </si>
  <si>
    <t>Cision AB</t>
  </si>
  <si>
    <t>SE0000291486</t>
  </si>
  <si>
    <t>718762</t>
  </si>
  <si>
    <t>Orron Energy AB</t>
  </si>
  <si>
    <t>SE0000825820</t>
  </si>
  <si>
    <t>719884</t>
  </si>
  <si>
    <t>Glocalnet Ab</t>
  </si>
  <si>
    <t>SE0000835159</t>
  </si>
  <si>
    <t>720673</t>
  </si>
  <si>
    <t>Sigma AB Class B</t>
  </si>
  <si>
    <t>SE0000835217</t>
  </si>
  <si>
    <t>722732</t>
  </si>
  <si>
    <t>Stavrullen Ab Ser'B'Npv</t>
  </si>
  <si>
    <t>SE0000856999</t>
  </si>
  <si>
    <t>723484</t>
  </si>
  <si>
    <t>El&amp;Industrimontage Npv</t>
  </si>
  <si>
    <t>SE0000718751</t>
  </si>
  <si>
    <t>723786</t>
  </si>
  <si>
    <t>Andersen &amp; Martini Holding A/S Class B</t>
  </si>
  <si>
    <t>DK0010283597</t>
  </si>
  <si>
    <t>724037</t>
  </si>
  <si>
    <t>Billerud AB</t>
  </si>
  <si>
    <t>SE0000862997</t>
  </si>
  <si>
    <t>732789</t>
  </si>
  <si>
    <t>Vinderup Bank A/S</t>
  </si>
  <si>
    <t>DK0060136513</t>
  </si>
  <si>
    <t>733268</t>
  </si>
  <si>
    <t>Alfa Laval AB</t>
  </si>
  <si>
    <t>SE0000695876</t>
  </si>
  <si>
    <t>735242</t>
  </si>
  <si>
    <t>Axlon Group AB</t>
  </si>
  <si>
    <t>SE0005127610</t>
  </si>
  <si>
    <t>735422</t>
  </si>
  <si>
    <t>Hq Fonder Sverige Ord Sek1.00</t>
  </si>
  <si>
    <t>SE0000799827</t>
  </si>
  <si>
    <t>737143</t>
  </si>
  <si>
    <t>Intrum AB</t>
  </si>
  <si>
    <t>SE0000936478</t>
  </si>
  <si>
    <t>737353</t>
  </si>
  <si>
    <t>Vivesto AB</t>
  </si>
  <si>
    <t>SE0000722365</t>
  </si>
  <si>
    <t>737818</t>
  </si>
  <si>
    <t>Systemhus AB</t>
  </si>
  <si>
    <t>SE0000849531</t>
  </si>
  <si>
    <t>738518</t>
  </si>
  <si>
    <t>SinterCast AB</t>
  </si>
  <si>
    <t>SE0000950982</t>
  </si>
  <si>
    <t>738909</t>
  </si>
  <si>
    <t>Ballingslov Int Ab Npv</t>
  </si>
  <si>
    <t>SE0000524191</t>
  </si>
  <si>
    <t>743401</t>
  </si>
  <si>
    <t>Dan-Ejendomme Hldg Dkk10</t>
  </si>
  <si>
    <t>DK0010292663</t>
  </si>
  <si>
    <t>744450</t>
  </si>
  <si>
    <t>Stille AB</t>
  </si>
  <si>
    <t>SE0000998650</t>
  </si>
  <si>
    <t>744914</t>
  </si>
  <si>
    <t>Song Networks Holding</t>
  </si>
  <si>
    <t>SE0000434102</t>
  </si>
  <si>
    <t>745443</t>
  </si>
  <si>
    <t>Skjern Bank A/S</t>
  </si>
  <si>
    <t>DK0010295922</t>
  </si>
  <si>
    <t>755892</t>
  </si>
  <si>
    <t>BioPhausia AB</t>
  </si>
  <si>
    <t>SE0001048984</t>
  </si>
  <si>
    <t>756771</t>
  </si>
  <si>
    <t>Mandator AB</t>
  </si>
  <si>
    <t>SE0002760561</t>
  </si>
  <si>
    <t>756802</t>
  </si>
  <si>
    <t>Entraction Holding AB Class B</t>
  </si>
  <si>
    <t>SE0000355729</t>
  </si>
  <si>
    <t>757244</t>
  </si>
  <si>
    <t>Digital Illusions Ser'A'Npv</t>
  </si>
  <si>
    <t>SE0001058066</t>
  </si>
  <si>
    <t>759123</t>
  </si>
  <si>
    <t>RaySearch Laboratories AB Class B</t>
  </si>
  <si>
    <t>SE0000135485</t>
  </si>
  <si>
    <t>759301</t>
  </si>
  <si>
    <t>Avensia AB</t>
  </si>
  <si>
    <t>SE0000671745</t>
  </si>
  <si>
    <t>762141</t>
  </si>
  <si>
    <t>A/S Ringkjoebing Bank</t>
  </si>
  <si>
    <t>DK0010300193</t>
  </si>
  <si>
    <t>763361</t>
  </si>
  <si>
    <t>Aspiro AB</t>
  </si>
  <si>
    <t>SE0000500258</t>
  </si>
  <si>
    <t>765723</t>
  </si>
  <si>
    <t>Alm. Brand Formue A/S Class B</t>
  </si>
  <si>
    <t>DK0010300276</t>
  </si>
  <si>
    <t>769833</t>
  </si>
  <si>
    <t>Brinova Fastighete Ser'B'Npv</t>
  </si>
  <si>
    <t>SE0001105487</t>
  </si>
  <si>
    <t>769835</t>
  </si>
  <si>
    <t>Getinge AB Class B</t>
  </si>
  <si>
    <t>SE0000202624</t>
  </si>
  <si>
    <t>771853</t>
  </si>
  <si>
    <t>DK Company A/S</t>
  </si>
  <si>
    <t>DK0010302488</t>
  </si>
  <si>
    <t>774332</t>
  </si>
  <si>
    <t>Active Biotech AB</t>
  </si>
  <si>
    <t>SE0001137985</t>
  </si>
  <si>
    <t>775116</t>
  </si>
  <si>
    <t>European Retail</t>
  </si>
  <si>
    <t>DK0010302561</t>
  </si>
  <si>
    <t>B00HQS</t>
  </si>
  <si>
    <t>Vestjysk Bank A/S</t>
  </si>
  <si>
    <t>DK0010304500</t>
  </si>
  <si>
    <t>B00JWX</t>
  </si>
  <si>
    <t>Selena Oil &amp; Gas Holding AB</t>
  </si>
  <si>
    <t>SE0001175803</t>
  </si>
  <si>
    <t>B00KLZ</t>
  </si>
  <si>
    <t>Ennogie Solar Group A/S</t>
  </si>
  <si>
    <t>DK0010305077</t>
  </si>
  <si>
    <t>B00LVZ</t>
  </si>
  <si>
    <t>Bostads AB Drott</t>
  </si>
  <si>
    <t>SE0001180423</t>
  </si>
  <si>
    <t>B00V9R</t>
  </si>
  <si>
    <t>Ainax</t>
  </si>
  <si>
    <t>SE0001207606</t>
  </si>
  <si>
    <t>B00Z9G</t>
  </si>
  <si>
    <t>Connecta AB</t>
  </si>
  <si>
    <t>SE0001161530</t>
  </si>
  <si>
    <t>B010FR</t>
  </si>
  <si>
    <t>Gunnebo AB</t>
  </si>
  <si>
    <t>SE0000195570</t>
  </si>
  <si>
    <t>B010GQ</t>
  </si>
  <si>
    <t>Sparbank AS</t>
  </si>
  <si>
    <t>DK0010305820</t>
  </si>
  <si>
    <t>B012TQ</t>
  </si>
  <si>
    <t>Max Bank A/S</t>
  </si>
  <si>
    <t>DK0010305903</t>
  </si>
  <si>
    <t>B013KC</t>
  </si>
  <si>
    <t>Djurslands Bank A/S</t>
  </si>
  <si>
    <t>DK0060136273</t>
  </si>
  <si>
    <t>B01B0H</t>
  </si>
  <si>
    <t>A+ Science Holding AB</t>
  </si>
  <si>
    <t>SE0001202029</t>
  </si>
  <si>
    <t>B01FJ0</t>
  </si>
  <si>
    <t>Eurovip Group Ab Ser'B'Npv</t>
  </si>
  <si>
    <t>SE0001209719</t>
  </si>
  <si>
    <t>B01FWW</t>
  </si>
  <si>
    <t>Icon Medialab Int'L</t>
  </si>
  <si>
    <t>SE0000476962</t>
  </si>
  <si>
    <t>B01G16</t>
  </si>
  <si>
    <t>Falck A/S</t>
  </si>
  <si>
    <t>Membership Organizations</t>
  </si>
  <si>
    <t>DK0010305317</t>
  </si>
  <si>
    <t>B01G68</t>
  </si>
  <si>
    <t>Group 4 A/S Dkk5</t>
  </si>
  <si>
    <t>DK0010306398</t>
  </si>
  <si>
    <t>B01GRL</t>
  </si>
  <si>
    <t>NOTE AB</t>
  </si>
  <si>
    <t>SE0001161654</t>
  </si>
  <si>
    <t>B01NTX</t>
  </si>
  <si>
    <t>Svithoid Tankers Ser'B'Npv</t>
  </si>
  <si>
    <t>SE0000641151</t>
  </si>
  <si>
    <t>B01YXM</t>
  </si>
  <si>
    <t>Cassandra Oil AB</t>
  </si>
  <si>
    <t>SE0001234923</t>
  </si>
  <si>
    <t>B02R5L</t>
  </si>
  <si>
    <t>Strand Interconnec Ser'B'Npv</t>
  </si>
  <si>
    <t>SE0002909879</t>
  </si>
  <si>
    <t>B033YF</t>
  </si>
  <si>
    <t>Clas Ohlson AB Class B</t>
  </si>
  <si>
    <t>SE0000584948</t>
  </si>
  <si>
    <t>B0386J</t>
  </si>
  <si>
    <t>Jyske Bank A/S</t>
  </si>
  <si>
    <t>DK0010307958</t>
  </si>
  <si>
    <t>B03B99</t>
  </si>
  <si>
    <t>Allenex AB Class B</t>
  </si>
  <si>
    <t>SE0000619181</t>
  </si>
  <si>
    <t>B03CXH</t>
  </si>
  <si>
    <t>Swedish Bar Sys Hl Ser'B'Npv</t>
  </si>
  <si>
    <t>SE0000101412</t>
  </si>
  <si>
    <t>B03FGF</t>
  </si>
  <si>
    <t>Impact Coatings AB</t>
  </si>
  <si>
    <t>SE0001279142</t>
  </si>
  <si>
    <t>B03G9J</t>
  </si>
  <si>
    <t>Tilgin AB</t>
  </si>
  <si>
    <t>SE0001131269</t>
  </si>
  <si>
    <t>B03RSL</t>
  </si>
  <si>
    <t>Duni AB</t>
  </si>
  <si>
    <t>SE0000616716</t>
  </si>
  <si>
    <t>B03SDG</t>
  </si>
  <si>
    <t>Invuo Technologies AB</t>
  </si>
  <si>
    <t>SE0000857369</t>
  </si>
  <si>
    <t>B03YYK</t>
  </si>
  <si>
    <t>Uniflex AB Class B</t>
  </si>
  <si>
    <t>SE0001283607</t>
  </si>
  <si>
    <t>B0401S</t>
  </si>
  <si>
    <t>Mackmyra Svensk Whisky AB Class B</t>
  </si>
  <si>
    <t>SE0000731747</t>
  </si>
  <si>
    <t>B0463V</t>
  </si>
  <si>
    <t>DIBS Payment Services A/S</t>
  </si>
  <si>
    <t>SE0001038092</t>
  </si>
  <si>
    <t>B04FH8</t>
  </si>
  <si>
    <t>Probi AB</t>
  </si>
  <si>
    <t>SE0001280355</t>
  </si>
  <si>
    <t>B04M7N</t>
  </si>
  <si>
    <t>Xezzex AB</t>
  </si>
  <si>
    <t>SE0001245077</t>
  </si>
  <si>
    <t>B04NKQ</t>
  </si>
  <si>
    <t>ADDvise Group AB Class A</t>
  </si>
  <si>
    <t>SE0001306119</t>
  </si>
  <si>
    <t>B050YN</t>
  </si>
  <si>
    <t>Rasta Group AB</t>
  </si>
  <si>
    <t>SE0000745143</t>
  </si>
  <si>
    <t>B053FP</t>
  </si>
  <si>
    <t>Skaelskor Bank Dkk20</t>
  </si>
  <si>
    <t>DK0010309491</t>
  </si>
  <si>
    <t>B05DWM</t>
  </si>
  <si>
    <t>FormPipe Software AB</t>
  </si>
  <si>
    <t>SE0001338039</t>
  </si>
  <si>
    <t>B06G10</t>
  </si>
  <si>
    <t>INVISIO AB</t>
  </si>
  <si>
    <t>SE0001200015</t>
  </si>
  <si>
    <t>B06JSP</t>
  </si>
  <si>
    <t>AL Sydbank A/S</t>
  </si>
  <si>
    <t>DK0010311471</t>
  </si>
  <si>
    <t>B06LBJ</t>
  </si>
  <si>
    <t>Lokalbanken I Nord Dkk20</t>
  </si>
  <si>
    <t>DK0010312446</t>
  </si>
  <si>
    <t>B06S4M</t>
  </si>
  <si>
    <t>Auriant Mining</t>
  </si>
  <si>
    <t>SE0001337213</t>
  </si>
  <si>
    <t>B06WHC</t>
  </si>
  <si>
    <t>Aqeri Holding AB</t>
  </si>
  <si>
    <t>SE0001822495</t>
  </si>
  <si>
    <t>B0773F</t>
  </si>
  <si>
    <t>Lollands Bank A/S</t>
  </si>
  <si>
    <t>DK0060000107</t>
  </si>
  <si>
    <t>B07R06</t>
  </si>
  <si>
    <t>Biolin Scientific Ab</t>
  </si>
  <si>
    <t>SE0000327090</t>
  </si>
  <si>
    <t>B082ST</t>
  </si>
  <si>
    <t>Tonder Bank A/S</t>
  </si>
  <si>
    <t>DK0060002236</t>
  </si>
  <si>
    <t>B08T3C</t>
  </si>
  <si>
    <t>Senea Ab Ser'A'Npv</t>
  </si>
  <si>
    <t>SE0001097031</t>
  </si>
  <si>
    <t>B08X2X</t>
  </si>
  <si>
    <t>Elos Medtech AB Class B</t>
  </si>
  <si>
    <t>SE0000120776</t>
  </si>
  <si>
    <t>B095NQ</t>
  </si>
  <si>
    <t>Amago Capital Ab Npv</t>
  </si>
  <si>
    <t>SE0001427683</t>
  </si>
  <si>
    <t>B09CBB</t>
  </si>
  <si>
    <t>Potagua (Dkk20)</t>
  </si>
  <si>
    <t>DK0060002319</t>
  </si>
  <si>
    <t>B09CBG</t>
  </si>
  <si>
    <t>Potagua Kapital As Dkk2 In Liquidation</t>
  </si>
  <si>
    <t>DK0060002582</t>
  </si>
  <si>
    <t>B09K82</t>
  </si>
  <si>
    <t>Gunnebo Industrier</t>
  </si>
  <si>
    <t>SE0001447723</t>
  </si>
  <si>
    <t>B09TLP</t>
  </si>
  <si>
    <t>Topotarget A/S</t>
  </si>
  <si>
    <t>DK0060003556</t>
  </si>
  <si>
    <t>B09XD7</t>
  </si>
  <si>
    <t>Nefab Ab Ser'B'Npv</t>
  </si>
  <si>
    <t>SE0000162786</t>
  </si>
  <si>
    <t>B0CN8L</t>
  </si>
  <si>
    <t>Trimera Ab Npv</t>
  </si>
  <si>
    <t>SE0001469115</t>
  </si>
  <si>
    <t>B0DVBH</t>
  </si>
  <si>
    <t>A-Com AB</t>
  </si>
  <si>
    <t>SE0000592677</t>
  </si>
  <si>
    <t>B0GQRR</t>
  </si>
  <si>
    <t>Tricorona</t>
  </si>
  <si>
    <t>SE0003757202</t>
  </si>
  <si>
    <t>B0HZFR</t>
  </si>
  <si>
    <t>Invik &amp; Company B</t>
  </si>
  <si>
    <t>SE0001511031</t>
  </si>
  <si>
    <t>B0L2LR</t>
  </si>
  <si>
    <t>Nordic Service Partners Holding AB Class B</t>
  </si>
  <si>
    <t>SE0000476954</t>
  </si>
  <si>
    <t>B0L5TV</t>
  </si>
  <si>
    <t>Rayclinic Ab Ser'B'Npv</t>
  </si>
  <si>
    <t>SE0001457797</t>
  </si>
  <si>
    <t>B0L8VR</t>
  </si>
  <si>
    <t>Hemtex AB</t>
  </si>
  <si>
    <t>SE0000698268</t>
  </si>
  <si>
    <t>B0LDBX</t>
  </si>
  <si>
    <t>Indutrade AB</t>
  </si>
  <si>
    <t>SE0001515552</t>
  </si>
  <si>
    <t>B0LMV0</t>
  </si>
  <si>
    <t>Medcore AB</t>
  </si>
  <si>
    <t>SE0001536467</t>
  </si>
  <si>
    <t>B0M42T</t>
  </si>
  <si>
    <t>Elekta AB Class B</t>
  </si>
  <si>
    <t>SE0000163628</t>
  </si>
  <si>
    <t>B0M9QH</t>
  </si>
  <si>
    <t>Tretti Ab</t>
  </si>
  <si>
    <t>SE0001431198</t>
  </si>
  <si>
    <t>B0MTVL</t>
  </si>
  <si>
    <t>Harboes Bryggeri A/S Class B</t>
  </si>
  <si>
    <t>DK0060014751</t>
  </si>
  <si>
    <t>B0MZGM</t>
  </si>
  <si>
    <t>Orexo AB</t>
  </si>
  <si>
    <t>SE0000736415</t>
  </si>
  <si>
    <t>B0N8NH</t>
  </si>
  <si>
    <t>Gambro Cl A AB</t>
  </si>
  <si>
    <t>SE0000164477</t>
  </si>
  <si>
    <t>B0NXWG</t>
  </si>
  <si>
    <t>TradeDoubler AB</t>
  </si>
  <si>
    <t>SE0001552357</t>
  </si>
  <si>
    <t>B0PCQR</t>
  </si>
  <si>
    <t>Genovis AB</t>
  </si>
  <si>
    <t>SE0002485979</t>
  </si>
  <si>
    <t>B0QPV9</t>
  </si>
  <si>
    <t>Lindex</t>
  </si>
  <si>
    <t>SE0000267056</t>
  </si>
  <si>
    <t>B0RL8N</t>
  </si>
  <si>
    <t>Global Gaming Ab Npv</t>
  </si>
  <si>
    <t>SE0001100553</t>
  </si>
  <si>
    <t>B0S165</t>
  </si>
  <si>
    <t>ICA Gruppen AB</t>
  </si>
  <si>
    <t>SE0000652216</t>
  </si>
  <si>
    <t>B0SDJB</t>
  </si>
  <si>
    <t>Zealand Pharma A/S</t>
  </si>
  <si>
    <t>DK0060257814</t>
  </si>
  <si>
    <t>B0T0B6</t>
  </si>
  <si>
    <t>Tatura Ab Npv</t>
  </si>
  <si>
    <t>SE0000683732</t>
  </si>
  <si>
    <t>B0T67M</t>
  </si>
  <si>
    <t>Mahler Internation Npv</t>
  </si>
  <si>
    <t>SE0000565723</t>
  </si>
  <si>
    <t>B0T9K1</t>
  </si>
  <si>
    <t>Jello Ab Npv</t>
  </si>
  <si>
    <t>SE0001585217</t>
  </si>
  <si>
    <t>B0TY2W</t>
  </si>
  <si>
    <t>Stormfageln AB Class B</t>
  </si>
  <si>
    <t>SE0001572496</t>
  </si>
  <si>
    <t>B0TYYH</t>
  </si>
  <si>
    <t>Snowolverine Group Ser'B'Npv</t>
  </si>
  <si>
    <t>SE0001601261</t>
  </si>
  <si>
    <t>B0WDJC</t>
  </si>
  <si>
    <t>Kapitalpleje A/S Dkk100</t>
  </si>
  <si>
    <t>DK0060020485</t>
  </si>
  <si>
    <t>B0WGYT</t>
  </si>
  <si>
    <t>Betting Promotion Sweden AB</t>
  </si>
  <si>
    <t>SE0001593914</t>
  </si>
  <si>
    <t>B0XP0T</t>
  </si>
  <si>
    <t>Castellum AB</t>
  </si>
  <si>
    <t>SE0000379190</t>
  </si>
  <si>
    <t>B0Y908</t>
  </si>
  <si>
    <t>cBrain A/S</t>
  </si>
  <si>
    <t>DK0060030286</t>
  </si>
  <si>
    <t>B0YK8X</t>
  </si>
  <si>
    <t>Seco Tools AB Class B</t>
  </si>
  <si>
    <t>SE0000118838</t>
  </si>
  <si>
    <t>B0ZD60</t>
  </si>
  <si>
    <t>Malarvarme Holding AB</t>
  </si>
  <si>
    <t>SE0001631367</t>
  </si>
  <si>
    <t>B1176Z</t>
  </si>
  <si>
    <t>Gant Co AB</t>
  </si>
  <si>
    <t>SE0001664210</t>
  </si>
  <si>
    <t>B128LC</t>
  </si>
  <si>
    <t>Ebh Bank A/S</t>
  </si>
  <si>
    <t>DK0060035327</t>
  </si>
  <si>
    <t>B12CL9</t>
  </si>
  <si>
    <t>NovaCast Technologies AB Class B</t>
  </si>
  <si>
    <t>SE0000362675</t>
  </si>
  <si>
    <t>B12LVX</t>
  </si>
  <si>
    <t>Elon AB</t>
  </si>
  <si>
    <t>SE0001572520</t>
  </si>
  <si>
    <t>B12PJ2</t>
  </si>
  <si>
    <t>Husqvarna AB Class B</t>
  </si>
  <si>
    <t>SE0001662230</t>
  </si>
  <si>
    <t>B12SMK</t>
  </si>
  <si>
    <t>Opus Group AB</t>
  </si>
  <si>
    <t>SE0001696683</t>
  </si>
  <si>
    <t>B12VCS</t>
  </si>
  <si>
    <t>Protect Data Ab</t>
  </si>
  <si>
    <t>SE0000387607</t>
  </si>
  <si>
    <t>B12W4C</t>
  </si>
  <si>
    <t>Kungsleden AB</t>
  </si>
  <si>
    <t>SE0000549412</t>
  </si>
  <si>
    <t>B12Z0T</t>
  </si>
  <si>
    <t>Svedbergs Group AB Class B</t>
  </si>
  <si>
    <t>SE0000407991</t>
  </si>
  <si>
    <t>B130WD</t>
  </si>
  <si>
    <t>Ratos AB Class B</t>
  </si>
  <si>
    <t>SE0000111940</t>
  </si>
  <si>
    <t>B131GJ</t>
  </si>
  <si>
    <t>Catena AB</t>
  </si>
  <si>
    <t>SE0001664707</t>
  </si>
  <si>
    <t>B1323T</t>
  </si>
  <si>
    <t>Dios Fastigheter AB</t>
  </si>
  <si>
    <t>SE0001634262</t>
  </si>
  <si>
    <t>B132HJ</t>
  </si>
  <si>
    <t>Ark Travel Ab Npv</t>
  </si>
  <si>
    <t>SE0000442907</t>
  </si>
  <si>
    <t>B132NL</t>
  </si>
  <si>
    <t>Q-Med AB</t>
  </si>
  <si>
    <t>SE0000426462</t>
  </si>
  <si>
    <t>B132QN</t>
  </si>
  <si>
    <t>BTS Group AB Class B</t>
  </si>
  <si>
    <t>SE0000805426</t>
  </si>
  <si>
    <t>B133RW</t>
  </si>
  <si>
    <t>Ruric AB Class B</t>
  </si>
  <si>
    <t>SE0001199233</t>
  </si>
  <si>
    <t>B134JF</t>
  </si>
  <si>
    <t>Amagerbanken A/S</t>
  </si>
  <si>
    <t>DK0060037109</t>
  </si>
  <si>
    <t>B134MD</t>
  </si>
  <si>
    <t>Nordjyske Bank A/S</t>
  </si>
  <si>
    <t>DK0060034353</t>
  </si>
  <si>
    <t>B13DK2</t>
  </si>
  <si>
    <t>Fme Europe Ab Ser'B'Npv</t>
  </si>
  <si>
    <t>SE0000237398</t>
  </si>
  <si>
    <t>B142FZ</t>
  </si>
  <si>
    <t>JM AB</t>
  </si>
  <si>
    <t>SE0000806994</t>
  </si>
  <si>
    <t>B142GN</t>
  </si>
  <si>
    <t>Scandinavian Investment Group A/S</t>
  </si>
  <si>
    <t>DK0060038933</t>
  </si>
  <si>
    <t>B142V4</t>
  </si>
  <si>
    <t>Custos Ab Npv</t>
  </si>
  <si>
    <t>SE0001826215</t>
  </si>
  <si>
    <t>B14LS0</t>
  </si>
  <si>
    <t>Spar Nord Bank A/S</t>
  </si>
  <si>
    <t>DK0060036564</t>
  </si>
  <si>
    <t>B14N4N</t>
  </si>
  <si>
    <t>Doro AB</t>
  </si>
  <si>
    <t>SE0000215493</t>
  </si>
  <si>
    <t>B14PHQ</t>
  </si>
  <si>
    <t>Jc Ab Npv</t>
  </si>
  <si>
    <t>SE0000615858</t>
  </si>
  <si>
    <t>B14SY5</t>
  </si>
  <si>
    <t>Insplanet AB</t>
  </si>
  <si>
    <t>SE0001718032</t>
  </si>
  <si>
    <t>B14WKS</t>
  </si>
  <si>
    <t>Misen Energy AB</t>
  </si>
  <si>
    <t>SE0001486952</t>
  </si>
  <si>
    <t>B14YX9</t>
  </si>
  <si>
    <t>WALLS A/S</t>
  </si>
  <si>
    <t>DK0060040673</t>
  </si>
  <si>
    <t>B156Y1</t>
  </si>
  <si>
    <t>VBG Group AB Class B</t>
  </si>
  <si>
    <t>SE0000115107</t>
  </si>
  <si>
    <t>B15QQH</t>
  </si>
  <si>
    <t>Enlabs AB</t>
  </si>
  <si>
    <t>SE0001666553</t>
  </si>
  <si>
    <t>B15RMX</t>
  </si>
  <si>
    <t>Curalogic Dkk0.5</t>
  </si>
  <si>
    <t>DK0060040756</t>
  </si>
  <si>
    <t>B15RW1</t>
  </si>
  <si>
    <t>Formuepleje Pareto A/S</t>
  </si>
  <si>
    <t>DK0016023492</t>
  </si>
  <si>
    <t>B15S8W</t>
  </si>
  <si>
    <t>Formuepleje Optimum A/S</t>
  </si>
  <si>
    <t>DK0060026680</t>
  </si>
  <si>
    <t>B15ST8</t>
  </si>
  <si>
    <t>Swedol AB Class B</t>
  </si>
  <si>
    <t>SE0001733841</t>
  </si>
  <si>
    <t>B15TCP</t>
  </si>
  <si>
    <t>Havsfrun Investment AB Class B</t>
  </si>
  <si>
    <t>SE0000312043</t>
  </si>
  <si>
    <t>B16D54</t>
  </si>
  <si>
    <t>Scan Travelpartner Npv</t>
  </si>
  <si>
    <t>SE0001742743</t>
  </si>
  <si>
    <t>B17H3F</t>
  </si>
  <si>
    <t>SSAB AB Class B</t>
  </si>
  <si>
    <t>SE0000120669</t>
  </si>
  <si>
    <t>B17KPQ</t>
  </si>
  <si>
    <t>Scandinavian Brake Systems A/S</t>
  </si>
  <si>
    <t>DK0060042612</t>
  </si>
  <si>
    <t>B17N8L</t>
  </si>
  <si>
    <t>Traction AB Class B</t>
  </si>
  <si>
    <t>SE0000391716</t>
  </si>
  <si>
    <t>B182H3</t>
  </si>
  <si>
    <t>Wirtek A/S</t>
  </si>
  <si>
    <t>DK0060040913</t>
  </si>
  <si>
    <t>B197VC</t>
  </si>
  <si>
    <t>Drillcon AB</t>
  </si>
  <si>
    <t>SE0001770702</t>
  </si>
  <si>
    <t>B1982N</t>
  </si>
  <si>
    <t>Keynote Media Grou Npv</t>
  </si>
  <si>
    <t>SE0001661729</t>
  </si>
  <si>
    <t>B1CC9H</t>
  </si>
  <si>
    <t>Swedish Orphan Biovitrum AB</t>
  </si>
  <si>
    <t>SE0000872095</t>
  </si>
  <si>
    <t>B1D8J5</t>
  </si>
  <si>
    <t>Securitas Direct AB Cl B</t>
  </si>
  <si>
    <t>SE0001789306</t>
  </si>
  <si>
    <t>B1D8LR</t>
  </si>
  <si>
    <t>Niscayah AB Class B</t>
  </si>
  <si>
    <t>SE0001785197</t>
  </si>
  <si>
    <t>B1DJRS</t>
  </si>
  <si>
    <t>Melker Schorling AB</t>
  </si>
  <si>
    <t>SE0001785270</t>
  </si>
  <si>
    <t>B1F4KK</t>
  </si>
  <si>
    <t>BoConcept Holding A/S Class B</t>
  </si>
  <si>
    <t>DK0060050201</t>
  </si>
  <si>
    <t>B1F4L0</t>
  </si>
  <si>
    <t>Formuepleje LimiTTellus A/S</t>
  </si>
  <si>
    <t>DK0016310980</t>
  </si>
  <si>
    <t>B1F5F5</t>
  </si>
  <si>
    <t>Mondo Dkk0.25</t>
  </si>
  <si>
    <t>DK0060047256</t>
  </si>
  <si>
    <t>B1FCHT</t>
  </si>
  <si>
    <t>Petrogrand AB</t>
  </si>
  <si>
    <t>SE0001587593</t>
  </si>
  <si>
    <t>B1FHDF</t>
  </si>
  <si>
    <t>Carl Lamm Ab Npv</t>
  </si>
  <si>
    <t>SE0001739053</t>
  </si>
  <si>
    <t>B1FP3G</t>
  </si>
  <si>
    <t>STYLEPIT A/S</t>
  </si>
  <si>
    <t>DK0060046522</t>
  </si>
  <si>
    <t>B1FP6W</t>
  </si>
  <si>
    <t>G5 Entertainment AB</t>
  </si>
  <si>
    <t>SE0001824004</t>
  </si>
  <si>
    <t>B1FW80</t>
  </si>
  <si>
    <t>Atlantic Petroleum P/F</t>
  </si>
  <si>
    <t>FO000A0DN9X4</t>
  </si>
  <si>
    <t>B1FZ6S</t>
  </si>
  <si>
    <t>Din Bostad Ab Npv</t>
  </si>
  <si>
    <t>SE0000614695</t>
  </si>
  <si>
    <t>B1G2FB</t>
  </si>
  <si>
    <t>Scirocco Ab Shs 'B'</t>
  </si>
  <si>
    <t>SE0001766106</t>
  </si>
  <si>
    <t>B1G2YN</t>
  </si>
  <si>
    <t>Kontakt East Ab Npv</t>
  </si>
  <si>
    <t>SE0001821513</t>
  </si>
  <si>
    <t>B1G4DP</t>
  </si>
  <si>
    <t>Jutlander Bank A/S</t>
  </si>
  <si>
    <t>DK0060050045</t>
  </si>
  <si>
    <t>B1G6TY</t>
  </si>
  <si>
    <t>Roskilde Bank</t>
  </si>
  <si>
    <t>DK0060056083</t>
  </si>
  <si>
    <t>B1GC9N</t>
  </si>
  <si>
    <t>Formuepleje Merkur A/S</t>
  </si>
  <si>
    <t>DK0016042609</t>
  </si>
  <si>
    <t>B1GFB4</t>
  </si>
  <si>
    <t>Veloxis Pharmaceuticals A/S</t>
  </si>
  <si>
    <t>DK0060048148</t>
  </si>
  <si>
    <t>B1GFFT</t>
  </si>
  <si>
    <t>Goetenehus Group AB Class B</t>
  </si>
  <si>
    <t>SE0001799636</t>
  </si>
  <si>
    <t>B1GGXS</t>
  </si>
  <si>
    <t>Dacke Group Nordic Ser'B'Npv</t>
  </si>
  <si>
    <t>SE0001045105</t>
  </si>
  <si>
    <t>B1GGXY</t>
  </si>
  <si>
    <t>Home Properties</t>
  </si>
  <si>
    <t>SE0000525057</t>
  </si>
  <si>
    <t>B1GJCD</t>
  </si>
  <si>
    <t>Capilon AB</t>
  </si>
  <si>
    <t>SE0001859984</t>
  </si>
  <si>
    <t>B1GJKL</t>
  </si>
  <si>
    <t>Fasttv.Net Ab Npv</t>
  </si>
  <si>
    <t>SE0001838996</t>
  </si>
  <si>
    <t>B1GJR3</t>
  </si>
  <si>
    <t>Gymgrossisten Ab Npv</t>
  </si>
  <si>
    <t>SE0001849167</t>
  </si>
  <si>
    <t>B1GT3P</t>
  </si>
  <si>
    <t>Deadline Games Dkk1</t>
  </si>
  <si>
    <t>DK0060021962</t>
  </si>
  <si>
    <t>B1GT64</t>
  </si>
  <si>
    <t>Lubker Golf A/S</t>
  </si>
  <si>
    <t>DK0060038693</t>
  </si>
  <si>
    <t>B1GT6V</t>
  </si>
  <si>
    <t>Nanocover A/S Dkk0.10</t>
  </si>
  <si>
    <t>DK0060043859</t>
  </si>
  <si>
    <t>B1GZBK</t>
  </si>
  <si>
    <t>BoStad A/S Class B</t>
  </si>
  <si>
    <t>DK0060052843</t>
  </si>
  <si>
    <t>B1HDN5</t>
  </si>
  <si>
    <t>Radisson Hospitality AB</t>
  </si>
  <si>
    <t>SE0001857533</t>
  </si>
  <si>
    <t>B1HGF1</t>
  </si>
  <si>
    <t>FirstFarms A/S</t>
  </si>
  <si>
    <t>DK0060056166</t>
  </si>
  <si>
    <t>B1HHCJ</t>
  </si>
  <si>
    <t>Zepto Computers Dkk0.4</t>
  </si>
  <si>
    <t>DK0060054625</t>
  </si>
  <si>
    <t>B1HP07</t>
  </si>
  <si>
    <t>Lindab International AB</t>
  </si>
  <si>
    <t>SE0001852419</t>
  </si>
  <si>
    <t>B1KBGS</t>
  </si>
  <si>
    <t>ChemoMetec A/S</t>
  </si>
  <si>
    <t>DK0060055861</t>
  </si>
  <si>
    <t>B1KDFX</t>
  </si>
  <si>
    <t>European LifeCare Group A/S</t>
  </si>
  <si>
    <t>DK0060056406</t>
  </si>
  <si>
    <t>B1KKGN</t>
  </si>
  <si>
    <t>Network Capital Group Holding A/S Class A</t>
  </si>
  <si>
    <t>DK0060055515</t>
  </si>
  <si>
    <t>B1KKYF</t>
  </si>
  <si>
    <t>Unlimited Travel Group AB</t>
  </si>
  <si>
    <t>SE0001834821</t>
  </si>
  <si>
    <t>B1KRGJ</t>
  </si>
  <si>
    <t>Home Capital Ab Npv</t>
  </si>
  <si>
    <t>SE0001839481</t>
  </si>
  <si>
    <t>B1L69P</t>
  </si>
  <si>
    <t>Gourmetbryggeriet Dkk0.50</t>
  </si>
  <si>
    <t>DK0060057990</t>
  </si>
  <si>
    <t>B1L7X2</t>
  </si>
  <si>
    <t>PV Enterprise Sweden AB</t>
  </si>
  <si>
    <t>SE0001882366</t>
  </si>
  <si>
    <t>B1L8B7</t>
  </si>
  <si>
    <t>Allokton AB</t>
  </si>
  <si>
    <t>SE0001630989</t>
  </si>
  <si>
    <t>B1N825</t>
  </si>
  <si>
    <t>Scandinavian Private Equity A/S</t>
  </si>
  <si>
    <t>DK0060068682</t>
  </si>
  <si>
    <t>B1NQLL</t>
  </si>
  <si>
    <t>Metromark Hospitality Group AB</t>
  </si>
  <si>
    <t>SE0001775016</t>
  </si>
  <si>
    <t>B1NZ26</t>
  </si>
  <si>
    <t>New Nordic Healthbrands AB</t>
  </si>
  <si>
    <t>SE0001838038</t>
  </si>
  <si>
    <t>B1P1CQ</t>
  </si>
  <si>
    <t>PatientTrac International Medical Technology AB</t>
  </si>
  <si>
    <t>NORDIC GROWTH MARKET</t>
  </si>
  <si>
    <t>SE0003848928</t>
  </si>
  <si>
    <t>B1Q3J3</t>
  </si>
  <si>
    <t>SKF AB Class B</t>
  </si>
  <si>
    <t>SE0000108227</t>
  </si>
  <si>
    <t>B1QH83</t>
  </si>
  <si>
    <t>Volvo AB Class B</t>
  </si>
  <si>
    <t>SE0000115446</t>
  </si>
  <si>
    <t>B1QQ6Q</t>
  </si>
  <si>
    <t>Artefact Holding A/S</t>
  </si>
  <si>
    <t>DK0060074144</t>
  </si>
  <si>
    <t>B1QQSJ</t>
  </si>
  <si>
    <t>Danventures A/S</t>
  </si>
  <si>
    <t>DK0060157519</t>
  </si>
  <si>
    <t>B1RC3C</t>
  </si>
  <si>
    <t>Titana AB</t>
  </si>
  <si>
    <t>SE0001921040</t>
  </si>
  <si>
    <t>B1RDYG</t>
  </si>
  <si>
    <t>Scania AB Class B</t>
  </si>
  <si>
    <t>SE0000308280</t>
  </si>
  <si>
    <t>B1RJQN</t>
  </si>
  <si>
    <t>Enalyzer A/S</t>
  </si>
  <si>
    <t>DK0060070589</t>
  </si>
  <si>
    <t>B1S29M</t>
  </si>
  <si>
    <t>Munters AB</t>
  </si>
  <si>
    <t>SE0000416604</t>
  </si>
  <si>
    <t>B1S48T</t>
  </si>
  <si>
    <t>DiBa Bank A/S</t>
  </si>
  <si>
    <t>DK0060076941</t>
  </si>
  <si>
    <t>B1SNYG</t>
  </si>
  <si>
    <t>A3 Allmanna IT- och Telekomaktiebolaget AB Class A</t>
  </si>
  <si>
    <t>SE0001625534</t>
  </si>
  <si>
    <t>B1SNYS</t>
  </si>
  <si>
    <t>Fjordbank Mors A/S</t>
  </si>
  <si>
    <t>DK0060136000</t>
  </si>
  <si>
    <t>B1TS4R</t>
  </si>
  <si>
    <t>Heart of Brands AB Class B</t>
  </si>
  <si>
    <t>SE0001966136</t>
  </si>
  <si>
    <t>B1TW4X</t>
  </si>
  <si>
    <t>Forstaedernes Bk</t>
  </si>
  <si>
    <t>DK0060076354</t>
  </si>
  <si>
    <t>B1VKQ0</t>
  </si>
  <si>
    <t>Wannakey A/S Dkk0.4</t>
  </si>
  <si>
    <t>DK0060078053</t>
  </si>
  <si>
    <t>B1VKQ6</t>
  </si>
  <si>
    <t>Mermaid A/S</t>
  </si>
  <si>
    <t>DK0060074490</t>
  </si>
  <si>
    <t>B1VKQP</t>
  </si>
  <si>
    <t>esoft systems A/S</t>
  </si>
  <si>
    <t>Household Services</t>
  </si>
  <si>
    <t>DK0060069813</t>
  </si>
  <si>
    <t>B1VMDF</t>
  </si>
  <si>
    <t>NAXS AB</t>
  </si>
  <si>
    <t>SE0001965369</t>
  </si>
  <si>
    <t>B1VN5T</t>
  </si>
  <si>
    <t>Biotage AB</t>
  </si>
  <si>
    <t>SE0000454746</t>
  </si>
  <si>
    <t>B1VQ25</t>
  </si>
  <si>
    <t>Sandvik AB</t>
  </si>
  <si>
    <t>SE0000667891</t>
  </si>
  <si>
    <t>B1VSK1</t>
  </si>
  <si>
    <t>Industrivarden AB Class A</t>
  </si>
  <si>
    <t>SE0000190126</t>
  </si>
  <si>
    <t>B1VVGZ</t>
  </si>
  <si>
    <t>Svenska Cellulosa AB SCA Class B</t>
  </si>
  <si>
    <t>SE0000112724</t>
  </si>
  <si>
    <t>B1VX47</t>
  </si>
  <si>
    <t>Bore Tech AB</t>
  </si>
  <si>
    <t>SE0001582495</t>
  </si>
  <si>
    <t>B1VYHS</t>
  </si>
  <si>
    <t>Technology Nexus Npv</t>
  </si>
  <si>
    <t>SE0000433914</t>
  </si>
  <si>
    <t>B1VYK3</t>
  </si>
  <si>
    <t>Meda AB Class A</t>
  </si>
  <si>
    <t>SE0000221723</t>
  </si>
  <si>
    <t>B1W3ZK</t>
  </si>
  <si>
    <t>Totalbanken A/S</t>
  </si>
  <si>
    <t>DK0060082758</t>
  </si>
  <si>
    <t>B1W475</t>
  </si>
  <si>
    <t>Dagon AB</t>
  </si>
  <si>
    <t>SE0000646606</t>
  </si>
  <si>
    <t>B1W6GZ</t>
  </si>
  <si>
    <t>Dannemora Mineral AB Class B</t>
  </si>
  <si>
    <t>SE0001879818</t>
  </si>
  <si>
    <t>B1WP5Z</t>
  </si>
  <si>
    <t>Abaris Ejendomme Dkk0.25</t>
  </si>
  <si>
    <t>DK0060081271</t>
  </si>
  <si>
    <t>B1WP65</t>
  </si>
  <si>
    <t>Dampskibsselskabet NORDEN A/S</t>
  </si>
  <si>
    <t>DK0060083210</t>
  </si>
  <si>
    <t>B1WP66</t>
  </si>
  <si>
    <t>Malmbergs Elektriska AB Class B</t>
  </si>
  <si>
    <t>SE0000507659</t>
  </si>
  <si>
    <t>B1WQDN</t>
  </si>
  <si>
    <t>DKTI A/S</t>
  </si>
  <si>
    <t>DK0060076008</t>
  </si>
  <si>
    <t>B1WSTV</t>
  </si>
  <si>
    <t>ACAP Invest AB Class B</t>
  </si>
  <si>
    <t>SE0000937682</t>
  </si>
  <si>
    <t>B1WT1G</t>
  </si>
  <si>
    <t>Banktrelleborg Dkk20</t>
  </si>
  <si>
    <t>DK0060080703</t>
  </si>
  <si>
    <t>B1WT5G</t>
  </si>
  <si>
    <t>DSV A/S</t>
  </si>
  <si>
    <t>DK0060079531</t>
  </si>
  <si>
    <t>B1WWQB</t>
  </si>
  <si>
    <t>Water Jet Ab Npv</t>
  </si>
  <si>
    <t>SE0001995986</t>
  </si>
  <si>
    <t>B1XFJM</t>
  </si>
  <si>
    <t>Geveko AB Class B</t>
  </si>
  <si>
    <t>SE0000105264</t>
  </si>
  <si>
    <t>B1XFLG</t>
  </si>
  <si>
    <t>Acando AB Class B</t>
  </si>
  <si>
    <t>SE0000105116</t>
  </si>
  <si>
    <t>B1XFXP</t>
  </si>
  <si>
    <t>Seanet Maritime Ab Npv</t>
  </si>
  <si>
    <t>SE0002024414</t>
  </si>
  <si>
    <t>B1XGBT</t>
  </si>
  <si>
    <t>Exiqon A/S</t>
  </si>
  <si>
    <t>DK0060077758</t>
  </si>
  <si>
    <t>B1XH4H</t>
  </si>
  <si>
    <t>Bm Impex Npv</t>
  </si>
  <si>
    <t>SE0001747411</t>
  </si>
  <si>
    <t>B1XH5G</t>
  </si>
  <si>
    <t>C-Rad AB Class B</t>
  </si>
  <si>
    <t>SE0002016352</t>
  </si>
  <si>
    <t>B1XH7Y</t>
  </si>
  <si>
    <t>Access Stratego A/S</t>
  </si>
  <si>
    <t>DK0060084614</t>
  </si>
  <si>
    <t>B1XJG1</t>
  </si>
  <si>
    <t>BI Private Equity</t>
  </si>
  <si>
    <t>DK0060079614</t>
  </si>
  <si>
    <t>B1XQN5</t>
  </si>
  <si>
    <t>Athena IT-Group A/S</t>
  </si>
  <si>
    <t>DK0060084374</t>
  </si>
  <si>
    <t>B1Y481</t>
  </si>
  <si>
    <t>Brostrom B</t>
  </si>
  <si>
    <t>SE0000254880</t>
  </si>
  <si>
    <t>B1Y98G</t>
  </si>
  <si>
    <t>Nordic Shipholding A/S</t>
  </si>
  <si>
    <t>DK0060083996</t>
  </si>
  <si>
    <t>B1Y999</t>
  </si>
  <si>
    <t>Boliga Gruppen A/S</t>
  </si>
  <si>
    <t>DK0060074656</t>
  </si>
  <si>
    <t>B1Y9QT</t>
  </si>
  <si>
    <t>Aerocrine AB Class B</t>
  </si>
  <si>
    <t>SE0000434292</t>
  </si>
  <si>
    <t>B1YBJ7</t>
  </si>
  <si>
    <t>Resurs Bemanning Ser'B'Npv</t>
  </si>
  <si>
    <t>SE0002027946</t>
  </si>
  <si>
    <t>B1YCC6</t>
  </si>
  <si>
    <t>XRF Analytical AB Class B</t>
  </si>
  <si>
    <t>SE0001910266</t>
  </si>
  <si>
    <t>B1YCCD</t>
  </si>
  <si>
    <t>Devicom Ab Npv</t>
  </si>
  <si>
    <t>SE0002061267</t>
  </si>
  <si>
    <t>B1YHK3</t>
  </si>
  <si>
    <t>Foroya Banki</t>
  </si>
  <si>
    <t>FO0000000088</t>
  </si>
  <si>
    <t>B1YMT5</t>
  </si>
  <si>
    <t>Catering Please i Skandinavien AB</t>
  </si>
  <si>
    <t>SE0002059386</t>
  </si>
  <si>
    <t>B1YXQ0</t>
  </si>
  <si>
    <t>Aarhus Lokalbank Dkk10</t>
  </si>
  <si>
    <t>DK0060088797</t>
  </si>
  <si>
    <t>B1YYCK</t>
  </si>
  <si>
    <t>House of Friends AB</t>
  </si>
  <si>
    <t>SE0002053876</t>
  </si>
  <si>
    <t>B1Z8MZ</t>
  </si>
  <si>
    <t>Jobindex A/S</t>
  </si>
  <si>
    <t>DK0060088367</t>
  </si>
  <si>
    <t>B1Z938</t>
  </si>
  <si>
    <t>Peab Industri</t>
  </si>
  <si>
    <t>SE0002091496</t>
  </si>
  <si>
    <t>B2337Z</t>
  </si>
  <si>
    <t>Berlin IV A/S Class B</t>
  </si>
  <si>
    <t>DK0060085694</t>
  </si>
  <si>
    <t>B2342C</t>
  </si>
  <si>
    <t>Adserving Internat Dkk0.14</t>
  </si>
  <si>
    <t>DK0060086908</t>
  </si>
  <si>
    <t>B2362H</t>
  </si>
  <si>
    <t>Eik Banki P/F</t>
  </si>
  <si>
    <t>FO0005702340</t>
  </si>
  <si>
    <t>B23NJM</t>
  </si>
  <si>
    <t>Investea Sthlm Ret Ser'B'Dkk1</t>
  </si>
  <si>
    <t>DK0060089688</t>
  </si>
  <si>
    <t>B23PWD</t>
  </si>
  <si>
    <t>Meko AB</t>
  </si>
  <si>
    <t>SE0002110064</t>
  </si>
  <si>
    <t>B241PH</t>
  </si>
  <si>
    <t>German High Street Properties AS Class B</t>
  </si>
  <si>
    <t>DK0060093524</t>
  </si>
  <si>
    <t>B249QR</t>
  </si>
  <si>
    <t>Jysk Industri Holding A/S</t>
  </si>
  <si>
    <t>DK0060090181</t>
  </si>
  <si>
    <t>B24DZJ</t>
  </si>
  <si>
    <t>Sparekassen Lolland A/S</t>
  </si>
  <si>
    <t>DK0060090777</t>
  </si>
  <si>
    <t>B2827W</t>
  </si>
  <si>
    <t>Hansa Biopharma AB</t>
  </si>
  <si>
    <t>SE0002148817</t>
  </si>
  <si>
    <t>B2838V</t>
  </si>
  <si>
    <t>Copenhagen Capital A/S</t>
  </si>
  <si>
    <t>DK0060093607</t>
  </si>
  <si>
    <t>B28397</t>
  </si>
  <si>
    <t>Westpay AB</t>
  </si>
  <si>
    <t>SE0002169292</t>
  </si>
  <si>
    <t>B288PX</t>
  </si>
  <si>
    <t>Avega Group AB Class B</t>
  </si>
  <si>
    <t>SE0002180539</t>
  </si>
  <si>
    <t>B28CR4</t>
  </si>
  <si>
    <t>AGELLIS Group AB</t>
  </si>
  <si>
    <t>SE0001338047</t>
  </si>
  <si>
    <t>B28DP0</t>
  </si>
  <si>
    <t>1618 Strict Ab Ser'B'Npv</t>
  </si>
  <si>
    <t>SE0001881335</t>
  </si>
  <si>
    <t>B28M52</t>
  </si>
  <si>
    <t>Sparekassen Hvetbo A/S</t>
  </si>
  <si>
    <t>DK0060100592</t>
  </si>
  <si>
    <t>B28QNH</t>
  </si>
  <si>
    <t>KIF Handbold Elite A/S</t>
  </si>
  <si>
    <t>DK0060091155</t>
  </si>
  <si>
    <t>B28TRR</t>
  </si>
  <si>
    <t>Gifttoday Ab Npv</t>
  </si>
  <si>
    <t>SE0002210146</t>
  </si>
  <si>
    <t>B28Z2V</t>
  </si>
  <si>
    <t>Victoria Park AB Class A</t>
  </si>
  <si>
    <t>SE0002216713</t>
  </si>
  <si>
    <t>B290HY</t>
  </si>
  <si>
    <t>Erria A/S</t>
  </si>
  <si>
    <t>DK0060101483</t>
  </si>
  <si>
    <t>B29HSK</t>
  </si>
  <si>
    <t>Travelmarket A/S</t>
  </si>
  <si>
    <t>DK0060099992</t>
  </si>
  <si>
    <t>B29RG8</t>
  </si>
  <si>
    <t>Danfold A/S Dkk1</t>
  </si>
  <si>
    <t>DK0060100329</t>
  </si>
  <si>
    <t>B29VHV</t>
  </si>
  <si>
    <t>Trifork A/S</t>
  </si>
  <si>
    <t>DK0060102887</t>
  </si>
  <si>
    <t>B2NGY5</t>
  </si>
  <si>
    <t>RW Capital AB</t>
  </si>
  <si>
    <t>SE0000718728</t>
  </si>
  <si>
    <t>B2NPCP</t>
  </si>
  <si>
    <t>Globalfun Ab Npv</t>
  </si>
  <si>
    <t>SE0002269076</t>
  </si>
  <si>
    <t>B2PCB0</t>
  </si>
  <si>
    <t>European Wind Investment A/S</t>
  </si>
  <si>
    <t>DK0060127520</t>
  </si>
  <si>
    <t>B2QKZH</t>
  </si>
  <si>
    <t>Trygga Hem Skandinavien AB</t>
  </si>
  <si>
    <t>SE0002306084</t>
  </si>
  <si>
    <t>B2QY0C</t>
  </si>
  <si>
    <t>World Class Seagull International AB</t>
  </si>
  <si>
    <t>SE0002401968</t>
  </si>
  <si>
    <t>B2QZXP</t>
  </si>
  <si>
    <t>EgnsINVEST EjendommeTyskland A/S</t>
  </si>
  <si>
    <t>DK0060118453</t>
  </si>
  <si>
    <t>B2R68Z</t>
  </si>
  <si>
    <t>FormueEvolution I A/S</t>
  </si>
  <si>
    <t>DK0060120947</t>
  </si>
  <si>
    <t>B2R6B2</t>
  </si>
  <si>
    <t>FormueEvolution II A/S</t>
  </si>
  <si>
    <t>DK0060121242</t>
  </si>
  <si>
    <t>B2R89B</t>
  </si>
  <si>
    <t>Ework Group AB</t>
  </si>
  <si>
    <t>SE0002402701</t>
  </si>
  <si>
    <t>B2R8QZ</t>
  </si>
  <si>
    <t>International Marketing &amp; Sales Group</t>
  </si>
  <si>
    <t>JE00B1YBMP41</t>
  </si>
  <si>
    <t>B2RFW3</t>
  </si>
  <si>
    <t>Bestin Ab Ser'B'Npv</t>
  </si>
  <si>
    <t>SE0002423210</t>
  </si>
  <si>
    <t>B2RHVZ</t>
  </si>
  <si>
    <t>Hammarby Bandy Ab Ser'B'Npv</t>
  </si>
  <si>
    <t>SE0002441436</t>
  </si>
  <si>
    <t>B39HQ0</t>
  </si>
  <si>
    <t>Carl Lamm Holding Npv</t>
  </si>
  <si>
    <t>SE0002469312</t>
  </si>
  <si>
    <t>B39QZ2</t>
  </si>
  <si>
    <t>Senzime AB</t>
  </si>
  <si>
    <t>SE0002478776</t>
  </si>
  <si>
    <t>B39R4R</t>
  </si>
  <si>
    <t>DGC One AB</t>
  </si>
  <si>
    <t>SE0002571539</t>
  </si>
  <si>
    <t>B39V1C</t>
  </si>
  <si>
    <t>Prime Office A/S</t>
  </si>
  <si>
    <t>DK0060137594</t>
  </si>
  <si>
    <t>B3CL8Y</t>
  </si>
  <si>
    <t>Abliva AB</t>
  </si>
  <si>
    <t>SE0002575340</t>
  </si>
  <si>
    <t>B3DCKM</t>
  </si>
  <si>
    <t>GHP Specialty Care AB</t>
  </si>
  <si>
    <t>SE0002579912</t>
  </si>
  <si>
    <t>B3DLTX</t>
  </si>
  <si>
    <t>Varmlands Finans S Ser'B'Npv</t>
  </si>
  <si>
    <t>SE0002625012</t>
  </si>
  <si>
    <t>B3FJRQ</t>
  </si>
  <si>
    <t>Acroud AB</t>
  </si>
  <si>
    <t>SE0001863291</t>
  </si>
  <si>
    <t>B3FN1L</t>
  </si>
  <si>
    <t>Caperio Holding AB</t>
  </si>
  <si>
    <t>SE0002692871</t>
  </si>
  <si>
    <t>B3FPFG</t>
  </si>
  <si>
    <t>KDventures AB Class B</t>
  </si>
  <si>
    <t>SE0002190926</t>
  </si>
  <si>
    <t>B3K5QQ</t>
  </si>
  <si>
    <t>Cloetta AB Class B</t>
  </si>
  <si>
    <t>SE0002626861</t>
  </si>
  <si>
    <t>B3K7P3</t>
  </si>
  <si>
    <t>Kopy Goldfields AB</t>
  </si>
  <si>
    <t>SE0002245548</t>
  </si>
  <si>
    <t>B3KBNN</t>
  </si>
  <si>
    <t>Scand Properties Ser'B'Dkk5</t>
  </si>
  <si>
    <t>DK0060141869</t>
  </si>
  <si>
    <t>B3L9G2</t>
  </si>
  <si>
    <t>DistIT AB</t>
  </si>
  <si>
    <t>SE0003883800</t>
  </si>
  <si>
    <t>B3P0MK</t>
  </si>
  <si>
    <t>Dignitana AB</t>
  </si>
  <si>
    <t>SE0002108001</t>
  </si>
  <si>
    <t>B3PCFH</t>
  </si>
  <si>
    <t>5050 Poker Holding Ser'B'Npv</t>
  </si>
  <si>
    <t>SE0002207456</t>
  </si>
  <si>
    <t>B3R5NF</t>
  </si>
  <si>
    <t>AQUALIFE A/S</t>
  </si>
  <si>
    <t>DK0060338572</t>
  </si>
  <si>
    <t>B3TJ3Y</t>
  </si>
  <si>
    <t>iZafe Group AB</t>
  </si>
  <si>
    <t>SE0003656834</t>
  </si>
  <si>
    <t>B3X8WQ</t>
  </si>
  <si>
    <t>Episurf Medical AB Class B</t>
  </si>
  <si>
    <t>SE0003491562</t>
  </si>
  <si>
    <t>B3YWDL</t>
  </si>
  <si>
    <t>Concentric AB</t>
  </si>
  <si>
    <t>SE0003950864</t>
  </si>
  <si>
    <t>B3ZLRM</t>
  </si>
  <si>
    <t>Junebud AB ser B</t>
  </si>
  <si>
    <t>SE0002943431</t>
  </si>
  <si>
    <t>B3ZMYK</t>
  </si>
  <si>
    <t>Embla Medical hf</t>
  </si>
  <si>
    <t>IS0000000040</t>
  </si>
  <si>
    <t>B40083</t>
  </si>
  <si>
    <t>EXINI Diagnostics AB</t>
  </si>
  <si>
    <t>SE0001810284</t>
  </si>
  <si>
    <t>B40BM9</t>
  </si>
  <si>
    <t>Rejlers AB Class B</t>
  </si>
  <si>
    <t>SE0000123671</t>
  </si>
  <si>
    <t>B42JP7</t>
  </si>
  <si>
    <t>Cavotec SA</t>
  </si>
  <si>
    <t>CH0136071542</t>
  </si>
  <si>
    <t>B42L14</t>
  </si>
  <si>
    <t>IDL Diagnostics AB</t>
  </si>
  <si>
    <t>SE0003883990</t>
  </si>
  <si>
    <t>B436J0</t>
  </si>
  <si>
    <t>AVTECH Sweden AB</t>
  </si>
  <si>
    <t>SE0004270445</t>
  </si>
  <si>
    <t>B447MJ</t>
  </si>
  <si>
    <t>Pallas Group AB</t>
  </si>
  <si>
    <t>SE0003329994</t>
  </si>
  <si>
    <t>B44XTX</t>
  </si>
  <si>
    <t>Pandora A/S</t>
  </si>
  <si>
    <t>DK0060252690</t>
  </si>
  <si>
    <t>B4LSFQ</t>
  </si>
  <si>
    <t>Sivers Semiconductors AB</t>
  </si>
  <si>
    <t>SE0003917798</t>
  </si>
  <si>
    <t>B4N7SB</t>
  </si>
  <si>
    <t>Egetis Therapeutics AB</t>
  </si>
  <si>
    <t>SE0003815604</t>
  </si>
  <si>
    <t>B4NSSP</t>
  </si>
  <si>
    <t>Danske Andelskassers Bank A/S</t>
  </si>
  <si>
    <t>DK0060299063</t>
  </si>
  <si>
    <t>B4PHL5</t>
  </si>
  <si>
    <t>Hartelex Ab Npv</t>
  </si>
  <si>
    <t>SE0003175348</t>
  </si>
  <si>
    <t>B4S8PY</t>
  </si>
  <si>
    <t>Srab Shipping Ab Npv</t>
  </si>
  <si>
    <t>SE0003084193</t>
  </si>
  <si>
    <t>B4V6G9</t>
  </si>
  <si>
    <t>Transmode AB</t>
  </si>
  <si>
    <t>SE0001471103</t>
  </si>
  <si>
    <t>B4Y3P2</t>
  </si>
  <si>
    <t>ZetaDisplay AB</t>
  </si>
  <si>
    <t>SE0001105511</t>
  </si>
  <si>
    <t>B4Y62N</t>
  </si>
  <si>
    <t>AdTail AB</t>
  </si>
  <si>
    <t>SE0002761965</t>
  </si>
  <si>
    <t>B4Y8D2</t>
  </si>
  <si>
    <t>Bulten AB</t>
  </si>
  <si>
    <t>SE0003849223</t>
  </si>
  <si>
    <t>B4YXR3</t>
  </si>
  <si>
    <t>Agrokultura AB</t>
  </si>
  <si>
    <t>SE0001913112</t>
  </si>
  <si>
    <t>B50PWX</t>
  </si>
  <si>
    <t>Generic Sweden AB</t>
  </si>
  <si>
    <t>SE0001790791</t>
  </si>
  <si>
    <t>B51LQW</t>
  </si>
  <si>
    <t>Procast Media AB</t>
  </si>
  <si>
    <t>SE0002768440</t>
  </si>
  <si>
    <t>B52ZB5</t>
  </si>
  <si>
    <t>ScandBook Holding AB</t>
  </si>
  <si>
    <t>SE0003175660</t>
  </si>
  <si>
    <t>B55NH4</t>
  </si>
  <si>
    <t>Arise AB</t>
  </si>
  <si>
    <t>SE0002095604</t>
  </si>
  <si>
    <t>B56DVC</t>
  </si>
  <si>
    <t>Cimber Sterling Group A/S</t>
  </si>
  <si>
    <t>DK0060196848</t>
  </si>
  <si>
    <t>B573M1</t>
  </si>
  <si>
    <t>Chr. Hansen Holding A/S</t>
  </si>
  <si>
    <t>DK0060227585</t>
  </si>
  <si>
    <t>B597NK</t>
  </si>
  <si>
    <t>Enzymatica AB</t>
  </si>
  <si>
    <t>SE0003943620</t>
  </si>
  <si>
    <t>B5BLGL</t>
  </si>
  <si>
    <t>Byggmax Group AB</t>
  </si>
  <si>
    <t>SE0003303627</t>
  </si>
  <si>
    <t>B5SLQR</t>
  </si>
  <si>
    <t>Isconova AB</t>
  </si>
  <si>
    <t>SE0003550664</t>
  </si>
  <si>
    <t>B5T2DB</t>
  </si>
  <si>
    <t>Northbaze Group AB</t>
  </si>
  <si>
    <t>SE0003204908</t>
  </si>
  <si>
    <t>B5W9QW</t>
  </si>
  <si>
    <t>Adoperator AB</t>
  </si>
  <si>
    <t>SE0003239607</t>
  </si>
  <si>
    <t>B5WG17</t>
  </si>
  <si>
    <t>Spar Nord Formueinvest</t>
  </si>
  <si>
    <t>DK0060219210</t>
  </si>
  <si>
    <t>B5WMLP</t>
  </si>
  <si>
    <t>Brighter AB</t>
  </si>
  <si>
    <t>SE0004019545</t>
  </si>
  <si>
    <t>B6146V</t>
  </si>
  <si>
    <t>Ekomarine Ab Npv</t>
  </si>
  <si>
    <t>SE0003174754</t>
  </si>
  <si>
    <t>B629FJ</t>
  </si>
  <si>
    <t>Lunchexpress Ab Ser'B'Npv</t>
  </si>
  <si>
    <t>SE0003175330</t>
  </si>
  <si>
    <t>B62LTN</t>
  </si>
  <si>
    <t>Brandworld Sverige Npv</t>
  </si>
  <si>
    <t>SE0003171685</t>
  </si>
  <si>
    <t>B62QMK</t>
  </si>
  <si>
    <t>Micus Ab Npv</t>
  </si>
  <si>
    <t>SE0003207133</t>
  </si>
  <si>
    <t>B64BFD</t>
  </si>
  <si>
    <t>Layerlab AB</t>
  </si>
  <si>
    <t>SE0003172204</t>
  </si>
  <si>
    <t>B67JMR</t>
  </si>
  <si>
    <t>Zinzino AB Class B</t>
  </si>
  <si>
    <t>SE0002480442</t>
  </si>
  <si>
    <t>B67VNT</t>
  </si>
  <si>
    <t>Dedicare AB</t>
  </si>
  <si>
    <t>SE0003909282</t>
  </si>
  <si>
    <t>B6S8T2</t>
  </si>
  <si>
    <t>NanoCap Group AB</t>
  </si>
  <si>
    <t>SE0004020931</t>
  </si>
  <si>
    <t>B6SDXN</t>
  </si>
  <si>
    <t>LIDDS AB</t>
  </si>
  <si>
    <t>SE0001958612</t>
  </si>
  <si>
    <t>B73G80</t>
  </si>
  <si>
    <t>Skanska Energi AB Class B</t>
  </si>
  <si>
    <t>SE0004051969</t>
  </si>
  <si>
    <t>B798FW</t>
  </si>
  <si>
    <t>Novonesis A/S Class B</t>
  </si>
  <si>
    <t>DK0060336014</t>
  </si>
  <si>
    <t>B7TVMD</t>
  </si>
  <si>
    <t>Petrotarg AB</t>
  </si>
  <si>
    <t>SE0005095643</t>
  </si>
  <si>
    <t>B83B67</t>
  </si>
  <si>
    <t>egetapper a/s Class B</t>
  </si>
  <si>
    <t>DK0060458206</t>
  </si>
  <si>
    <t>B849N9</t>
  </si>
  <si>
    <t>Diamyd Medical AB Class B</t>
  </si>
  <si>
    <t>SE0005162880</t>
  </si>
  <si>
    <t>B84JF1</t>
  </si>
  <si>
    <t>Vigmed Holding AB</t>
  </si>
  <si>
    <t>SE0005034576</t>
  </si>
  <si>
    <t>B88CMN</t>
  </si>
  <si>
    <t>RLS Global AB</t>
  </si>
  <si>
    <t>SE0005190725</t>
  </si>
  <si>
    <t>B898BV</t>
  </si>
  <si>
    <t>Xvivo Perfusion AB</t>
  </si>
  <si>
    <t>SE0004840718</t>
  </si>
  <si>
    <t>B8CQNF</t>
  </si>
  <si>
    <t>Mangold AB</t>
  </si>
  <si>
    <t>SE0001449380</t>
  </si>
  <si>
    <t>B8FMRX</t>
  </si>
  <si>
    <t>Coloplast A/S Class B</t>
  </si>
  <si>
    <t>DK0060448595</t>
  </si>
  <si>
    <t>B8HVYM</t>
  </si>
  <si>
    <t>Cryptzone Group AB Class B</t>
  </si>
  <si>
    <t>SE0005217791</t>
  </si>
  <si>
    <t>B8KM7R</t>
  </si>
  <si>
    <t>Roblon A/S Class B</t>
  </si>
  <si>
    <t>DK0060485019</t>
  </si>
  <si>
    <t>B8W3TX</t>
  </si>
  <si>
    <t>Tribona AB</t>
  </si>
  <si>
    <t>SE0005126885</t>
  </si>
  <si>
    <t>B8X9PL</t>
  </si>
  <si>
    <t>Sportamore AB</t>
  </si>
  <si>
    <t>SE0004777241</t>
  </si>
  <si>
    <t>B928HD</t>
  </si>
  <si>
    <t>Spago Nanomedical AB</t>
  </si>
  <si>
    <t>SE0004899474</t>
  </si>
  <si>
    <t>B92NWB</t>
  </si>
  <si>
    <t>NunaMinerals AS</t>
  </si>
  <si>
    <t>DK0060492577</t>
  </si>
  <si>
    <t>B93LF7</t>
  </si>
  <si>
    <t>PA Resources AB</t>
  </si>
  <si>
    <t>SE0005126729</t>
  </si>
  <si>
    <t>B94P97</t>
  </si>
  <si>
    <t>Topdanmark A/S</t>
  </si>
  <si>
    <t>DK0060477503</t>
  </si>
  <si>
    <t>B96C1L</t>
  </si>
  <si>
    <t>RusForest AB</t>
  </si>
  <si>
    <t>SE0005132511</t>
  </si>
  <si>
    <t>B97C73</t>
  </si>
  <si>
    <t>Tele2 AB Class B</t>
  </si>
  <si>
    <t>SE0005190238</t>
  </si>
  <si>
    <t>B9J8FX</t>
  </si>
  <si>
    <t>Neobo Fastigheter AB</t>
  </si>
  <si>
    <t>SE0005034550</t>
  </si>
  <si>
    <t>B9M1S4</t>
  </si>
  <si>
    <t>Nexam Chemical Holding AB</t>
  </si>
  <si>
    <t>SE0005101003</t>
  </si>
  <si>
    <t>B9M3PK</t>
  </si>
  <si>
    <t>AB Sagax Class B</t>
  </si>
  <si>
    <t>SE0005127818</t>
  </si>
  <si>
    <t>BBCR9N</t>
  </si>
  <si>
    <t>SimCorp A/S</t>
  </si>
  <si>
    <t>DK0060495240</t>
  </si>
  <si>
    <t>BBJPGX</t>
  </si>
  <si>
    <t>Binero Group AB</t>
  </si>
  <si>
    <t>SE0005249570</t>
  </si>
  <si>
    <t>BBL4QM</t>
  </si>
  <si>
    <t>Matas A/S</t>
  </si>
  <si>
    <t>DK0060497295</t>
  </si>
  <si>
    <t>BBMT03</t>
  </si>
  <si>
    <t>Kentima Holding AB Class B</t>
  </si>
  <si>
    <t>SE0005100757</t>
  </si>
  <si>
    <t>BBX47Y</t>
  </si>
  <si>
    <t>aXichem AB Class A</t>
  </si>
  <si>
    <t>SE0005250719</t>
  </si>
  <si>
    <t>BCF5N1</t>
  </si>
  <si>
    <t>SaltX Technology Holding AB Class B</t>
  </si>
  <si>
    <t>SE0005308541</t>
  </si>
  <si>
    <t>BCGD8Y</t>
  </si>
  <si>
    <t>Clavister AB</t>
  </si>
  <si>
    <t>SE0005308558</t>
  </si>
  <si>
    <t>BCRY8K</t>
  </si>
  <si>
    <t>Lappland Goldminers AB</t>
  </si>
  <si>
    <t>SE0005308137</t>
  </si>
  <si>
    <t>BD0CSP</t>
  </si>
  <si>
    <t>Hogkullen AB Pref. Shs A</t>
  </si>
  <si>
    <t>PREFEQ</t>
  </si>
  <si>
    <t>SE0008679740</t>
  </si>
  <si>
    <t>BD21M2</t>
  </si>
  <si>
    <t>Ovzon AB</t>
  </si>
  <si>
    <t>SE0010948711</t>
  </si>
  <si>
    <t>BD24YQ</t>
  </si>
  <si>
    <t>Eniro Group AB Class A</t>
  </si>
  <si>
    <t>SE0011256312</t>
  </si>
  <si>
    <t>BD26JR</t>
  </si>
  <si>
    <t>Nitro Games Plc</t>
  </si>
  <si>
    <t>FI4000242961</t>
  </si>
  <si>
    <t>BD2BMF</t>
  </si>
  <si>
    <t>Nets A/S</t>
  </si>
  <si>
    <t>DK0060745370</t>
  </si>
  <si>
    <t>BD2YFF</t>
  </si>
  <si>
    <t>Tivoli A/S</t>
  </si>
  <si>
    <t>DK0060726743</t>
  </si>
  <si>
    <t>BD2Z2B</t>
  </si>
  <si>
    <t>Ranplan Group AB</t>
  </si>
  <si>
    <t>SE0011178201</t>
  </si>
  <si>
    <t>BD2ZJR</t>
  </si>
  <si>
    <t>Nepa AB</t>
  </si>
  <si>
    <t>SE0008066302</t>
  </si>
  <si>
    <t>BD2ZJS</t>
  </si>
  <si>
    <t>Simris Group AB Class B</t>
  </si>
  <si>
    <t>SE0008091664</t>
  </si>
  <si>
    <t>BD36VG</t>
  </si>
  <si>
    <t>Hotel Fast SSE AB</t>
  </si>
  <si>
    <t>SE0011415710</t>
  </si>
  <si>
    <t>BD38JK</t>
  </si>
  <si>
    <t>AdderaCare AB</t>
  </si>
  <si>
    <t>SE0009160922</t>
  </si>
  <si>
    <t>BD3CGF</t>
  </si>
  <si>
    <t>Robert Friman International AB</t>
  </si>
  <si>
    <t>SE0008320345</t>
  </si>
  <si>
    <t>BD3H32</t>
  </si>
  <si>
    <t>Acarix AB</t>
  </si>
  <si>
    <t>SE0009268717</t>
  </si>
  <si>
    <t>BD3J1R</t>
  </si>
  <si>
    <t>Alelion Energy Systems AB</t>
  </si>
  <si>
    <t>SE0008348072</t>
  </si>
  <si>
    <t>BD4535</t>
  </si>
  <si>
    <t>BHG Group AB</t>
  </si>
  <si>
    <t>SE0010948588</t>
  </si>
  <si>
    <t>BD4DKV</t>
  </si>
  <si>
    <t>Ogunsen AB Class B</t>
  </si>
  <si>
    <t>SE0008406151</t>
  </si>
  <si>
    <t>BD4F65</t>
  </si>
  <si>
    <t>Paradox Interactive AB</t>
  </si>
  <si>
    <t>SE0008294953</t>
  </si>
  <si>
    <t>BD57CN</t>
  </si>
  <si>
    <t>Cyxone AB</t>
  </si>
  <si>
    <t>SE0007815428</t>
  </si>
  <si>
    <t>BD5B6L</t>
  </si>
  <si>
    <t>Gapwaves AB Class B</t>
  </si>
  <si>
    <t>SE0009155518</t>
  </si>
  <si>
    <t>BD5BLG</t>
  </si>
  <si>
    <t>Boho Group AB (publ)</t>
  </si>
  <si>
    <t>SE0009697204</t>
  </si>
  <si>
    <t>BD5GHX</t>
  </si>
  <si>
    <t>Tobin Properties AB</t>
  </si>
  <si>
    <t>SE0006026985</t>
  </si>
  <si>
    <t>BD5GZZ</t>
  </si>
  <si>
    <t>Asarina Pharma AB</t>
  </si>
  <si>
    <t>SE0011641794</t>
  </si>
  <si>
    <t>BD6104</t>
  </si>
  <si>
    <t>Serstech AB</t>
  </si>
  <si>
    <t>SE0005365095</t>
  </si>
  <si>
    <t>BD6DG2</t>
  </si>
  <si>
    <t>Ahlsell AB</t>
  </si>
  <si>
    <t>SE0009155005</t>
  </si>
  <si>
    <t>BD6GTW</t>
  </si>
  <si>
    <t>Nuevolution AB</t>
  </si>
  <si>
    <t>SE0007730650</t>
  </si>
  <si>
    <t>BD6KR3</t>
  </si>
  <si>
    <t>MaxFastigheter i Sverige AB</t>
  </si>
  <si>
    <t>SE0008406417</t>
  </si>
  <si>
    <t>BD718Q</t>
  </si>
  <si>
    <t>Resurs Holding AB</t>
  </si>
  <si>
    <t>SE0007665823</t>
  </si>
  <si>
    <t>BD7XYW</t>
  </si>
  <si>
    <t>Internationella Engelska Skolan i Sverige Holdings II AB</t>
  </si>
  <si>
    <t>SE0008585525</t>
  </si>
  <si>
    <t>BD7Y73</t>
  </si>
  <si>
    <t>Samhallsbyggnadsbolaget I Norden AB Class B</t>
  </si>
  <si>
    <t>SE0009554454</t>
  </si>
  <si>
    <t>BD89M3</t>
  </si>
  <si>
    <t>Maha Capital AB Class A</t>
  </si>
  <si>
    <t>SE0008374383</t>
  </si>
  <si>
    <t>BD8CXN</t>
  </si>
  <si>
    <t>Allarity Therapeutics A/S</t>
  </si>
  <si>
    <t>DK0060732477</t>
  </si>
  <si>
    <t>BD8P08</t>
  </si>
  <si>
    <t>Fagerhult Group AB</t>
  </si>
  <si>
    <t>SE0010048884</t>
  </si>
  <si>
    <t>BD8PCR</t>
  </si>
  <si>
    <t>Xspray Pharma AB</t>
  </si>
  <si>
    <t>SE0009973563</t>
  </si>
  <si>
    <t>BD8QKM</t>
  </si>
  <si>
    <t>Biovica International AB Class B</t>
  </si>
  <si>
    <t>SE0008613731</t>
  </si>
  <si>
    <t>BD8YX1</t>
  </si>
  <si>
    <t>Sdiptech AB Class B</t>
  </si>
  <si>
    <t>SE0003756758</t>
  </si>
  <si>
    <t>BD8Z21</t>
  </si>
  <si>
    <t>Enersize Plc</t>
  </si>
  <si>
    <t>FI4000233317</t>
  </si>
  <si>
    <t>BD96BJ</t>
  </si>
  <si>
    <t>Vitec Software Group AB Class B</t>
  </si>
  <si>
    <t>SE0007871363</t>
  </si>
  <si>
    <t>BD971Z</t>
  </si>
  <si>
    <t>Clean Motion AB</t>
  </si>
  <si>
    <t>SE0008216303</t>
  </si>
  <si>
    <t>BD974S</t>
  </si>
  <si>
    <t>SynAct Pharma AB</t>
  </si>
  <si>
    <t>SE0008241491</t>
  </si>
  <si>
    <t>BD9G33</t>
  </si>
  <si>
    <t>Ambu A/S Class B</t>
  </si>
  <si>
    <t>DK0060946788</t>
  </si>
  <si>
    <t>BD9PHW</t>
  </si>
  <si>
    <t>Scandion Oncology A/S</t>
  </si>
  <si>
    <t>DK0061031895</t>
  </si>
  <si>
    <t>BDB6P7</t>
  </si>
  <si>
    <t>MoxieTech Group AB</t>
  </si>
  <si>
    <t>SE0007640321</t>
  </si>
  <si>
    <t>BDB7JD</t>
  </si>
  <si>
    <t>B3 Consulting Group AB</t>
  </si>
  <si>
    <t>SE0008347660</t>
  </si>
  <si>
    <t>BDC3PJ</t>
  </si>
  <si>
    <t>Aalborg Boldspilklub A/S</t>
  </si>
  <si>
    <t>DK0060868966</t>
  </si>
  <si>
    <t>BDCMHY</t>
  </si>
  <si>
    <t>Aligera AB Class B</t>
  </si>
  <si>
    <t>SE0009470271</t>
  </si>
  <si>
    <t>BDD98T</t>
  </si>
  <si>
    <t>SSM Holding AB</t>
  </si>
  <si>
    <t>SE0009663511</t>
  </si>
  <si>
    <t>BDD99C</t>
  </si>
  <si>
    <t>Actic Group AB</t>
  </si>
  <si>
    <t>SE0009269467</t>
  </si>
  <si>
    <t>BDDWCR</t>
  </si>
  <si>
    <t>Scandinavian ChemoTech AB Class B</t>
  </si>
  <si>
    <t>SE0009242654</t>
  </si>
  <si>
    <t>BDFBLD</t>
  </si>
  <si>
    <t>Black Earth Farming LTD Swedish DR</t>
  </si>
  <si>
    <t>SE0010219774</t>
  </si>
  <si>
    <t>BDFCDX</t>
  </si>
  <si>
    <t>Smart Eye AB</t>
  </si>
  <si>
    <t>SE0009268279</t>
  </si>
  <si>
    <t>BDFF4Y</t>
  </si>
  <si>
    <t>Edgeware AB</t>
  </si>
  <si>
    <t>SE0009268360</t>
  </si>
  <si>
    <t>BDFW2V</t>
  </si>
  <si>
    <t>Botnia Gold AB</t>
  </si>
  <si>
    <t>SE0010494708</t>
  </si>
  <si>
    <t>BDFXJ9</t>
  </si>
  <si>
    <t>Calliditas Therapeutics AB</t>
  </si>
  <si>
    <t>SE0010441584</t>
  </si>
  <si>
    <t>BDFZQ3</t>
  </si>
  <si>
    <t>Seafire AB</t>
  </si>
  <si>
    <t>SE0009779796</t>
  </si>
  <si>
    <t>BDH490</t>
  </si>
  <si>
    <t>Qiiwi Games AB</t>
  </si>
  <si>
    <t>SE0010245373</t>
  </si>
  <si>
    <t>BDHFV6</t>
  </si>
  <si>
    <t>AcadeMedia AB</t>
  </si>
  <si>
    <t>SE0007897079</t>
  </si>
  <si>
    <t>BDQQ1Q</t>
  </si>
  <si>
    <t>Holmen AB Class B</t>
  </si>
  <si>
    <t>SE0011090018</t>
  </si>
  <si>
    <t>BDR0BF</t>
  </si>
  <si>
    <t>Gasporox AB</t>
  </si>
  <si>
    <t>SE0008991624</t>
  </si>
  <si>
    <t>BDRJH3</t>
  </si>
  <si>
    <t>mySafety Group AB Class B</t>
  </si>
  <si>
    <t>SE0010769182</t>
  </si>
  <si>
    <t>BDT5T1</t>
  </si>
  <si>
    <t>Freemelt Holding AB</t>
  </si>
  <si>
    <t>SE0011167170</t>
  </si>
  <si>
    <t>BDTM3V</t>
  </si>
  <si>
    <t>Maximum Entertainment AB Class B</t>
  </si>
  <si>
    <t>SE0011725506</t>
  </si>
  <si>
    <t>BDTYQ6</t>
  </si>
  <si>
    <t>Iconovo AB</t>
  </si>
  <si>
    <t>SE0010868943</t>
  </si>
  <si>
    <t>BDTYV8</t>
  </si>
  <si>
    <t>Bioservo Technologies AB</t>
  </si>
  <si>
    <t>SE0009779085</t>
  </si>
  <si>
    <t>BDVLJ3</t>
  </si>
  <si>
    <t>Bilia AB Class A</t>
  </si>
  <si>
    <t>SE0009921588</t>
  </si>
  <si>
    <t>BDVP4H</t>
  </si>
  <si>
    <t>BioArctic AB Class B</t>
  </si>
  <si>
    <t>SE0010323311</t>
  </si>
  <si>
    <t>BDZQSX</t>
  </si>
  <si>
    <t>Rolling Optics Holding AB</t>
  </si>
  <si>
    <t>SE0010520155</t>
  </si>
  <si>
    <t>BDZV6F</t>
  </si>
  <si>
    <t>LightLab Sweden AB Class B</t>
  </si>
  <si>
    <t>SE0011281823</t>
  </si>
  <si>
    <t>BDZVKR</t>
  </si>
  <si>
    <t>Beijer Alma AB Class B</t>
  </si>
  <si>
    <t>SE0011090547</t>
  </si>
  <si>
    <t>BDZW3N</t>
  </si>
  <si>
    <t>Matra Petroleum AB</t>
  </si>
  <si>
    <t>SE0009696040</t>
  </si>
  <si>
    <t>BDZZRZ</t>
  </si>
  <si>
    <t>Ayima Group AB Class B</t>
  </si>
  <si>
    <t>SE0009888506</t>
  </si>
  <si>
    <t>BF01ZZ</t>
  </si>
  <si>
    <t>Isofol Medical AB</t>
  </si>
  <si>
    <t>SE0009581051</t>
  </si>
  <si>
    <t>BF02MH</t>
  </si>
  <si>
    <t>NextCell Pharma AB</t>
  </si>
  <si>
    <t>SE0009723125</t>
  </si>
  <si>
    <t>BF03Q8</t>
  </si>
  <si>
    <t>Paxman AB</t>
  </si>
  <si>
    <t>SE0009806284</t>
  </si>
  <si>
    <t>BF0HND</t>
  </si>
  <si>
    <t>Urb-it AB</t>
  </si>
  <si>
    <t>SE0009921034</t>
  </si>
  <si>
    <t>BF0WXM</t>
  </si>
  <si>
    <t>Viking Supply Ships AB Class B</t>
  </si>
  <si>
    <t>SE0010820613</t>
  </si>
  <si>
    <t>BF12XZ</t>
  </si>
  <si>
    <t>Metacon AB</t>
  </si>
  <si>
    <t>SE0003086214</t>
  </si>
  <si>
    <t>BF157Z</t>
  </si>
  <si>
    <t>Divio Technologies AB Class B</t>
  </si>
  <si>
    <t>SE0011311554</t>
  </si>
  <si>
    <t>BF17YL</t>
  </si>
  <si>
    <t>Arjo AB Class B</t>
  </si>
  <si>
    <t>SE0010468116</t>
  </si>
  <si>
    <t>BF1F2G</t>
  </si>
  <si>
    <t>Green Landscaping Group AB</t>
  </si>
  <si>
    <t>SE0010985028</t>
  </si>
  <si>
    <t>BF1K7P</t>
  </si>
  <si>
    <t>Essity AB Class B</t>
  </si>
  <si>
    <t>SE0009922164</t>
  </si>
  <si>
    <t>BF1KD8</t>
  </si>
  <si>
    <t>Ringkjobing Landbobank A/S</t>
  </si>
  <si>
    <t>DK0060854669</t>
  </si>
  <si>
    <t>BF1PMV</t>
  </si>
  <si>
    <t>Scout Gaming Group AB</t>
  </si>
  <si>
    <t>SE0010521153</t>
  </si>
  <si>
    <t>BF1PV3</t>
  </si>
  <si>
    <t>KappAhl AB</t>
  </si>
  <si>
    <t>SE0010520981</t>
  </si>
  <si>
    <t>BF1Q61</t>
  </si>
  <si>
    <t>DevPort AB Class B</t>
  </si>
  <si>
    <t>SE0010546622</t>
  </si>
  <si>
    <t>BF1XKG</t>
  </si>
  <si>
    <t>Unlimit Group A/S</t>
  </si>
  <si>
    <t>DK0060816148</t>
  </si>
  <si>
    <t>BF1YCK</t>
  </si>
  <si>
    <t>Aspire Global Plc</t>
  </si>
  <si>
    <t>MT0001530105</t>
  </si>
  <si>
    <t>BF1Z0W</t>
  </si>
  <si>
    <t>Intl Petroleum Cor Npv</t>
  </si>
  <si>
    <t>BF2CVV</t>
  </si>
  <si>
    <t>Mips AB</t>
  </si>
  <si>
    <t>SE0009216278</t>
  </si>
  <si>
    <t>BF2FPV</t>
  </si>
  <si>
    <t>AAK AB</t>
  </si>
  <si>
    <t>SE0011337708</t>
  </si>
  <si>
    <t>BF2NPB</t>
  </si>
  <si>
    <t>GreenMobility A/S</t>
  </si>
  <si>
    <t>DK0060817898</t>
  </si>
  <si>
    <t>BF2R05</t>
  </si>
  <si>
    <t>FlexQube AB</t>
  </si>
  <si>
    <t>SE0010547075</t>
  </si>
  <si>
    <t>BF2XRM</t>
  </si>
  <si>
    <t>Odico A/S</t>
  </si>
  <si>
    <t>DK0061031036</t>
  </si>
  <si>
    <t>BF2YWV</t>
  </si>
  <si>
    <t>Railcare Group AB</t>
  </si>
  <si>
    <t>SE0010441139</t>
  </si>
  <si>
    <t>BF345V</t>
  </si>
  <si>
    <t>Alligo AB Class B</t>
  </si>
  <si>
    <t>SE0009922305</t>
  </si>
  <si>
    <t>BF37LJ</t>
  </si>
  <si>
    <t>Terranet AB Class B</t>
  </si>
  <si>
    <t>SE0009806045</t>
  </si>
  <si>
    <t>BF3NMS</t>
  </si>
  <si>
    <t>BONESUPPORT HOLDING AB</t>
  </si>
  <si>
    <t>SE0009858152</t>
  </si>
  <si>
    <t>BF41DR</t>
  </si>
  <si>
    <t>Done.ai Group AB</t>
  </si>
  <si>
    <t>SE0010546911</t>
  </si>
  <si>
    <t>BF41RR</t>
  </si>
  <si>
    <t>2cureX AB</t>
  </si>
  <si>
    <t>SE0010468124</t>
  </si>
  <si>
    <t>BF4JHG</t>
  </si>
  <si>
    <t>Happy Helper A/S</t>
  </si>
  <si>
    <t>DK0060990414</t>
  </si>
  <si>
    <t>BF4KX5</t>
  </si>
  <si>
    <t>Clean Industry Solutions Holding Europe AB</t>
  </si>
  <si>
    <t>SE0011762517</t>
  </si>
  <si>
    <t>BF4PR5</t>
  </si>
  <si>
    <t>Hypefactors A/S</t>
  </si>
  <si>
    <t>DK0060989911</t>
  </si>
  <si>
    <t>BF4TWW</t>
  </si>
  <si>
    <t>Netmore Group AB Class B</t>
  </si>
  <si>
    <t>SE0009921976</t>
  </si>
  <si>
    <t>BF4V8X</t>
  </si>
  <si>
    <t>Agtira AB Class B</t>
  </si>
  <si>
    <t>SE0008588354</t>
  </si>
  <si>
    <t>BF4VRS</t>
  </si>
  <si>
    <t>Global Gaming 555 AB</t>
  </si>
  <si>
    <t>SE0002685958</t>
  </si>
  <si>
    <t>BF55CR</t>
  </si>
  <si>
    <t>S2Medical AB Class B</t>
  </si>
  <si>
    <t>SE0011725084</t>
  </si>
  <si>
    <t>BF5KT7</t>
  </si>
  <si>
    <t>BIMobject AB</t>
  </si>
  <si>
    <t>SE0011644376</t>
  </si>
  <si>
    <t>BF8F6L</t>
  </si>
  <si>
    <t>Balco Group AB</t>
  </si>
  <si>
    <t>SE0010323998</t>
  </si>
  <si>
    <t>BFB43C</t>
  </si>
  <si>
    <t>MAG Interactive AB</t>
  </si>
  <si>
    <t>SE0010520908</t>
  </si>
  <si>
    <t>BFC9VL</t>
  </si>
  <si>
    <t>Ferronordic AB</t>
  </si>
  <si>
    <t>SE0005468717</t>
  </si>
  <si>
    <t>BFCLBT</t>
  </si>
  <si>
    <t>Atvexa AB Class B</t>
  </si>
  <si>
    <t>SE0010599704</t>
  </si>
  <si>
    <t>BFD2NK</t>
  </si>
  <si>
    <t>Nyfosa AB</t>
  </si>
  <si>
    <t>SE0011426428</t>
  </si>
  <si>
    <t>BFD4XC</t>
  </si>
  <si>
    <t>Acconeer AB</t>
  </si>
  <si>
    <t>SE0010546242</t>
  </si>
  <si>
    <t>BFF5Q0</t>
  </si>
  <si>
    <t>Lyko Group AB Class A</t>
  </si>
  <si>
    <t>SE0010468918</t>
  </si>
  <si>
    <t>BFFF4S</t>
  </si>
  <si>
    <t>Enad Global 7 AB</t>
  </si>
  <si>
    <t>SE0010520106</t>
  </si>
  <si>
    <t>BFM6T3</t>
  </si>
  <si>
    <t>Fabege AB</t>
  </si>
  <si>
    <t>SE0011166974</t>
  </si>
  <si>
    <t>BFNKLG</t>
  </si>
  <si>
    <t>TCM Group AS</t>
  </si>
  <si>
    <t>DK0060915478</t>
  </si>
  <si>
    <t>BFNL3M</t>
  </si>
  <si>
    <t>IRRAS AB</t>
  </si>
  <si>
    <t>SE0008321202</t>
  </si>
  <si>
    <t>BFSS66</t>
  </si>
  <si>
    <t>Irisity AB</t>
  </si>
  <si>
    <t>SE0005365681</t>
  </si>
  <si>
    <t>BFX09Y</t>
  </si>
  <si>
    <t>Agillic A/S</t>
  </si>
  <si>
    <t>DK0060955854</t>
  </si>
  <si>
    <t>BFX16S</t>
  </si>
  <si>
    <t>Liv ihop AB</t>
  </si>
  <si>
    <t>SE0010769356</t>
  </si>
  <si>
    <t>BFXTHY</t>
  </si>
  <si>
    <t>Infrea AB</t>
  </si>
  <si>
    <t>SE0010600106</t>
  </si>
  <si>
    <t>BFXY8F</t>
  </si>
  <si>
    <t>Nederman Holding AB</t>
  </si>
  <si>
    <t>SE0011204510</t>
  </si>
  <si>
    <t>BFYCP4</t>
  </si>
  <si>
    <t>Raketech Group Holding Plc</t>
  </si>
  <si>
    <t>MT0001390104</t>
  </si>
  <si>
    <t>BFYDWS</t>
  </si>
  <si>
    <t>Netcompany Group A/S</t>
  </si>
  <si>
    <t>DK0060952919</t>
  </si>
  <si>
    <t>BFYFDP</t>
  </si>
  <si>
    <t>I-Tech AB</t>
  </si>
  <si>
    <t>SE0011167725</t>
  </si>
  <si>
    <t>BFYFL2</t>
  </si>
  <si>
    <t>Mr Green &amp; Co AB</t>
  </si>
  <si>
    <t>SE0010949750</t>
  </si>
  <si>
    <t>BFYR3H</t>
  </si>
  <si>
    <t>ViroGates A/S</t>
  </si>
  <si>
    <t>DK0061030574</t>
  </si>
  <si>
    <t>BFYR3S</t>
  </si>
  <si>
    <t>Better Collective A/S</t>
  </si>
  <si>
    <t>DK0060952240</t>
  </si>
  <si>
    <t>BFYWGL</t>
  </si>
  <si>
    <t>IRLAB Therapeutics AB Class A</t>
  </si>
  <si>
    <t>SE0012675361</t>
  </si>
  <si>
    <t>BFZ5BM</t>
  </si>
  <si>
    <t>Projektengagemang Sweden AB Class B</t>
  </si>
  <si>
    <t>SE0011337666</t>
  </si>
  <si>
    <t>BFZCSN</t>
  </si>
  <si>
    <t>Vitrolife AB</t>
  </si>
  <si>
    <t>SE0011205202</t>
  </si>
  <si>
    <t>BFZNDQ</t>
  </si>
  <si>
    <t>Infrea Ab Npv</t>
  </si>
  <si>
    <t>BFZP1R</t>
  </si>
  <si>
    <t>Seluxit A/S</t>
  </si>
  <si>
    <t>DK0061076130</t>
  </si>
  <si>
    <t>BFZPKB</t>
  </si>
  <si>
    <t>Dicot Pharma AB</t>
  </si>
  <si>
    <t>SE0011178458</t>
  </si>
  <si>
    <t>BFZWWH</t>
  </si>
  <si>
    <t>BuildData Group AB</t>
  </si>
  <si>
    <t>SE0010869487</t>
  </si>
  <si>
    <t>BG0GNY</t>
  </si>
  <si>
    <t>Boule Diagnostics AB</t>
  </si>
  <si>
    <t>SE0011231158</t>
  </si>
  <si>
    <t>BG0R06</t>
  </si>
  <si>
    <t>EQL Pharma AB</t>
  </si>
  <si>
    <t>SE0005497732</t>
  </si>
  <si>
    <t>BG10QP</t>
  </si>
  <si>
    <t>Midsummer AB</t>
  </si>
  <si>
    <t>SE0011281757</t>
  </si>
  <si>
    <t>BG44ZS</t>
  </si>
  <si>
    <t>SP Group A/S</t>
  </si>
  <si>
    <t>DK0061027356</t>
  </si>
  <si>
    <t>BG4SNT</t>
  </si>
  <si>
    <t>Nordic Iron Ore AB</t>
  </si>
  <si>
    <t>SE0011528017</t>
  </si>
  <si>
    <t>BG5QQG</t>
  </si>
  <si>
    <t>Den Jyske Sparekasse</t>
  </si>
  <si>
    <t>DK0060978476</t>
  </si>
  <si>
    <t>BG6LSK</t>
  </si>
  <si>
    <t>Fast Ejendom Danmark A/S</t>
  </si>
  <si>
    <t>DK0060522746</t>
  </si>
  <si>
    <t>BGHPRY</t>
  </si>
  <si>
    <t>Matse Holding AB</t>
  </si>
  <si>
    <t>SE0005505880</t>
  </si>
  <si>
    <t>BGHPRZ</t>
  </si>
  <si>
    <t>Nicoccino Holding AB</t>
  </si>
  <si>
    <t>SE0005506185</t>
  </si>
  <si>
    <t>BGHPS0</t>
  </si>
  <si>
    <t>Karessa Pharma Holding AB</t>
  </si>
  <si>
    <t>SE0005506193</t>
  </si>
  <si>
    <t>BGHPS1</t>
  </si>
  <si>
    <t>myFC Holding AB</t>
  </si>
  <si>
    <t>SE0005505898</t>
  </si>
  <si>
    <t>BGHVXC</t>
  </si>
  <si>
    <t>Drilling Company of 1972 A/S</t>
  </si>
  <si>
    <t>DK0061135753</t>
  </si>
  <si>
    <t>BGL7YN</t>
  </si>
  <si>
    <t>Scape Technologies A/S</t>
  </si>
  <si>
    <t>DK0061114246</t>
  </si>
  <si>
    <t>BGNKK2</t>
  </si>
  <si>
    <t>Ziccum AB</t>
  </si>
  <si>
    <t>SE0011415595</t>
  </si>
  <si>
    <t>BGQV24</t>
  </si>
  <si>
    <t>Guideline Geo AB</t>
  </si>
  <si>
    <t>SE0005562014</t>
  </si>
  <si>
    <t>BGRX6P</t>
  </si>
  <si>
    <t>Upsales Technology AB</t>
  </si>
  <si>
    <t>SE0011985514</t>
  </si>
  <si>
    <t>BGSCRG</t>
  </si>
  <si>
    <t>SkiStar AB Class B</t>
  </si>
  <si>
    <t>SE0012141687</t>
  </si>
  <si>
    <t>BGV1V7</t>
  </si>
  <si>
    <t>NTG Nordic Transport Group A/S</t>
  </si>
  <si>
    <t>DK0061141215</t>
  </si>
  <si>
    <t>BGWL4F</t>
  </si>
  <si>
    <t>C.A.G Group AB</t>
  </si>
  <si>
    <t>SE0011923341</t>
  </si>
  <si>
    <t>BH0WHG</t>
  </si>
  <si>
    <t>Platzer Fastigheter Holding AB Class B</t>
  </si>
  <si>
    <t>SE0004977692</t>
  </si>
  <si>
    <t>BH31X6</t>
  </si>
  <si>
    <t>Lime Technologies AB</t>
  </si>
  <si>
    <t>SE0011870195</t>
  </si>
  <si>
    <t>BH3N42</t>
  </si>
  <si>
    <t>InCoax Networks AB</t>
  </si>
  <si>
    <t>SE0009832595</t>
  </si>
  <si>
    <t>BH3W62</t>
  </si>
  <si>
    <t>Ascelia Pharma AB</t>
  </si>
  <si>
    <t>SE0010573113</t>
  </si>
  <si>
    <t>BH3WLN</t>
  </si>
  <si>
    <t>Sanitec Corporation</t>
  </si>
  <si>
    <t>FI4000072772</t>
  </si>
  <si>
    <t>BH437C</t>
  </si>
  <si>
    <t>Gate Ventures PLC</t>
  </si>
  <si>
    <t>EUR</t>
  </si>
  <si>
    <t>GB00BH437C45</t>
  </si>
  <si>
    <t>BH43GF</t>
  </si>
  <si>
    <t>Jetpak Top Holding AB</t>
  </si>
  <si>
    <t>SE0012012508</t>
  </si>
  <si>
    <t>BH7XN4</t>
  </si>
  <si>
    <t>Fynske Bank A/S</t>
  </si>
  <si>
    <t>DK0060520377</t>
  </si>
  <si>
    <t>BHB1PL</t>
  </si>
  <si>
    <t>PolyPlank AB</t>
  </si>
  <si>
    <t>SE0005569290</t>
  </si>
  <si>
    <t>BHBFF9</t>
  </si>
  <si>
    <t>Tourn International AB</t>
  </si>
  <si>
    <t>SE0005568482</t>
  </si>
  <si>
    <t>BHBFFY</t>
  </si>
  <si>
    <t>Hembla AB Class B</t>
  </si>
  <si>
    <t>SE0005594728</t>
  </si>
  <si>
    <t>BHWV25</t>
  </si>
  <si>
    <t>Viaplay Group AB Class B</t>
  </si>
  <si>
    <t>SE0012116390</t>
  </si>
  <si>
    <t>BJ02J0</t>
  </si>
  <si>
    <t>Pharma Equity Group A/S Class A</t>
  </si>
  <si>
    <t>DK0061155009</t>
  </si>
  <si>
    <t>BJ11BY</t>
  </si>
  <si>
    <t>STRAX AB</t>
  </si>
  <si>
    <t>SE0012040459</t>
  </si>
  <si>
    <t>BJ1F7W</t>
  </si>
  <si>
    <t>Ferroamp AB</t>
  </si>
  <si>
    <t>SE0012229920</t>
  </si>
  <si>
    <t>BJ4GQ4</t>
  </si>
  <si>
    <t>Doxa AB</t>
  </si>
  <si>
    <t>SE0005624756</t>
  </si>
  <si>
    <t>BJ4XBW</t>
  </si>
  <si>
    <t>Arcam AB</t>
  </si>
  <si>
    <t>SE0005676160</t>
  </si>
  <si>
    <t>BJ7HMX</t>
  </si>
  <si>
    <t>Tribox Group AB Class B</t>
  </si>
  <si>
    <t>SE0010600429</t>
  </si>
  <si>
    <t>BJ7W9K</t>
  </si>
  <si>
    <t>EQT AB</t>
  </si>
  <si>
    <t>SE0012853455</t>
  </si>
  <si>
    <t>BJ84HW</t>
  </si>
  <si>
    <t>Troax Group AB Class A</t>
  </si>
  <si>
    <t>SE0012729366</t>
  </si>
  <si>
    <t>BJBMWP</t>
  </si>
  <si>
    <t>Karnov Group AB</t>
  </si>
  <si>
    <t>SE0012323715</t>
  </si>
  <si>
    <t>BJCWWV</t>
  </si>
  <si>
    <t>Nordic LEVEL Group AB Class B</t>
  </si>
  <si>
    <t>SE0012313302</t>
  </si>
  <si>
    <t>BJDQWT</t>
  </si>
  <si>
    <t>OssDsign AB</t>
  </si>
  <si>
    <t>SE0012570448</t>
  </si>
  <si>
    <t>BJFVF0</t>
  </si>
  <si>
    <t>Stockwik Forvaltning AB</t>
  </si>
  <si>
    <t>SE0012257970</t>
  </si>
  <si>
    <t>BJJJKB</t>
  </si>
  <si>
    <t>Signatur Fastigheter AB Class B</t>
  </si>
  <si>
    <t>SE0013646924</t>
  </si>
  <si>
    <t>BJLC5C</t>
  </si>
  <si>
    <t>Rovsing A/S</t>
  </si>
  <si>
    <t>DK0061152170</t>
  </si>
  <si>
    <t>BJLL64</t>
  </si>
  <si>
    <t>Swedish Logistic Property AB Class B</t>
  </si>
  <si>
    <t>SE0017565476</t>
  </si>
  <si>
    <t>BJLT04</t>
  </si>
  <si>
    <t>FluoGuide A/S</t>
  </si>
  <si>
    <t>DK0061123312</t>
  </si>
  <si>
    <t>BJLVSX</t>
  </si>
  <si>
    <t>Torslanda Property Investment AB</t>
  </si>
  <si>
    <t>SE0013914249</t>
  </si>
  <si>
    <t>BJMXQW</t>
  </si>
  <si>
    <t>Konsolidator A/S</t>
  </si>
  <si>
    <t>DK0061113511</t>
  </si>
  <si>
    <t>BJQS87</t>
  </si>
  <si>
    <t>Teqnion AB</t>
  </si>
  <si>
    <t>SE0012308088</t>
  </si>
  <si>
    <t>BJRF8F</t>
  </si>
  <si>
    <t>Green impact Ventures A/S</t>
  </si>
  <si>
    <t>DK0061134780</t>
  </si>
  <si>
    <t>BJSB5Z</t>
  </si>
  <si>
    <t>John Mattson Fastighetsforetagen AB</t>
  </si>
  <si>
    <t>SE0012481364</t>
  </si>
  <si>
    <t>BJTRSF</t>
  </si>
  <si>
    <t>HiQ International AB</t>
  </si>
  <si>
    <t>SE0012454619</t>
  </si>
  <si>
    <t>BJVNR8</t>
  </si>
  <si>
    <t>Gentoo Media Inc</t>
  </si>
  <si>
    <t>US36467X2062</t>
  </si>
  <si>
    <t>BJWVL3</t>
  </si>
  <si>
    <t>Ortoma AB Class B</t>
  </si>
  <si>
    <t>SE0005676103</t>
  </si>
  <si>
    <t>BJXMLF</t>
  </si>
  <si>
    <t>Avanza Bank Holding AB</t>
  </si>
  <si>
    <t>SE0012454072</t>
  </si>
  <si>
    <t>BJXS1X</t>
  </si>
  <si>
    <t>Mentice AB</t>
  </si>
  <si>
    <t>SE0012673291</t>
  </si>
  <si>
    <t>BJXSCH</t>
  </si>
  <si>
    <t>Evolution AB</t>
  </si>
  <si>
    <t>SE0012673267</t>
  </si>
  <si>
    <t>BK5BBV</t>
  </si>
  <si>
    <t>Danish Aerospace and Defence Company A/S</t>
  </si>
  <si>
    <t>DK0061140407</t>
  </si>
  <si>
    <t>BK5CV5</t>
  </si>
  <si>
    <t>Vertiseit AB Class B</t>
  </si>
  <si>
    <t>SE0012481133</t>
  </si>
  <si>
    <t>BK5TY2</t>
  </si>
  <si>
    <t>Lipidor AB</t>
  </si>
  <si>
    <t>SE0012558617</t>
  </si>
  <si>
    <t>BK7C5S</t>
  </si>
  <si>
    <t>Astralis A/S</t>
  </si>
  <si>
    <t>DK0061155785</t>
  </si>
  <si>
    <t>BK80TJ</t>
  </si>
  <si>
    <t>Physitrack Limited</t>
  </si>
  <si>
    <t>GB00BK80TJ35</t>
  </si>
  <si>
    <t>BK8LRF</t>
  </si>
  <si>
    <t>Adapteo Oyj</t>
  </si>
  <si>
    <t>FI4000383898</t>
  </si>
  <si>
    <t>BK8PSV</t>
  </si>
  <si>
    <t>KebNi AB Class B</t>
  </si>
  <si>
    <t>SE0012904803</t>
  </si>
  <si>
    <t>BK9BJZ</t>
  </si>
  <si>
    <t>K2A Knaust &amp; Andersson Fastigheter AB Class B</t>
  </si>
  <si>
    <t>SE0010520254</t>
  </si>
  <si>
    <t>BK9RJ7</t>
  </si>
  <si>
    <t>Re-Match Holding A/S</t>
  </si>
  <si>
    <t>DK0061553674</t>
  </si>
  <si>
    <t>BKBM45</t>
  </si>
  <si>
    <t>ZignSec AB</t>
  </si>
  <si>
    <t>SE0012930105</t>
  </si>
  <si>
    <t>BKBQDD</t>
  </si>
  <si>
    <t>Inzile AB</t>
  </si>
  <si>
    <t>SE0012570208</t>
  </si>
  <si>
    <t>BKDZ1G</t>
  </si>
  <si>
    <t>Akelius Residential Property AB Class D</t>
  </si>
  <si>
    <t>SE0013110186</t>
  </si>
  <si>
    <t>BKF1H3</t>
  </si>
  <si>
    <t>Slitevind AB</t>
  </si>
  <si>
    <t>SE0006964847</t>
  </si>
  <si>
    <t>BKGR0L</t>
  </si>
  <si>
    <t>Saniona AB</t>
  </si>
  <si>
    <t>SE0005794617</t>
  </si>
  <si>
    <t>BKJ9RT</t>
  </si>
  <si>
    <t>ISS A/S</t>
  </si>
  <si>
    <t>DK0060542181</t>
  </si>
  <si>
    <t>BKKFS0</t>
  </si>
  <si>
    <t>Mashup Ireland AB</t>
  </si>
  <si>
    <t>SE0013512019</t>
  </si>
  <si>
    <t>BKLMJ9</t>
  </si>
  <si>
    <t>Transcendent Group AB</t>
  </si>
  <si>
    <t>SE0012990646</t>
  </si>
  <si>
    <t>BKM1P1</t>
  </si>
  <si>
    <t>MQ Holding AB</t>
  </si>
  <si>
    <t>SE0013748001</t>
  </si>
  <si>
    <t>BKM67Q</t>
  </si>
  <si>
    <t>QleanAir AB</t>
  </si>
  <si>
    <t>SE0013382066</t>
  </si>
  <si>
    <t>BKMFJ9</t>
  </si>
  <si>
    <t>BICO Group AB Class B</t>
  </si>
  <si>
    <t>SE0013647385</t>
  </si>
  <si>
    <t>BKMG3K</t>
  </si>
  <si>
    <t>DUG Foodtech AB (publ)</t>
  </si>
  <si>
    <t>SE0013281979</t>
  </si>
  <si>
    <t>BKP86P</t>
  </si>
  <si>
    <t>OrderYOYO A/S</t>
  </si>
  <si>
    <t>DK0061553831</t>
  </si>
  <si>
    <t>BKP88Q</t>
  </si>
  <si>
    <t>Besqab AB</t>
  </si>
  <si>
    <t>SE0010547786</t>
  </si>
  <si>
    <t>BKP8Q1</t>
  </si>
  <si>
    <t>Sinch AB</t>
  </si>
  <si>
    <t>SE0016101844</t>
  </si>
  <si>
    <t>BKP8Q2</t>
  </si>
  <si>
    <t>Hexicon AB</t>
  </si>
  <si>
    <t>SE0004898799</t>
  </si>
  <si>
    <t>BKPFS2</t>
  </si>
  <si>
    <t>Norion Bank AB</t>
  </si>
  <si>
    <t>SE0017831795</t>
  </si>
  <si>
    <t>BKPGBJ</t>
  </si>
  <si>
    <t>SOZAP AB</t>
  </si>
  <si>
    <t>SE0015812524</t>
  </si>
  <si>
    <t>BKPJX6</t>
  </si>
  <si>
    <t>Valuer Holding A/S</t>
  </si>
  <si>
    <t>DK0061418977</t>
  </si>
  <si>
    <t>BKPTGJ</t>
  </si>
  <si>
    <t>BI Boligejendomme A/S</t>
  </si>
  <si>
    <t>DK0061797461</t>
  </si>
  <si>
    <t>BKQVGC</t>
  </si>
  <si>
    <t>BrainCool AB</t>
  </si>
  <si>
    <t>SE0005731833</t>
  </si>
  <si>
    <t>BKSBMR</t>
  </si>
  <si>
    <t>Asetek A/S</t>
  </si>
  <si>
    <t>DK0060477263</t>
  </si>
  <si>
    <t>BKSCMG</t>
  </si>
  <si>
    <t>Impero A/S</t>
  </si>
  <si>
    <t>DK0061536828</t>
  </si>
  <si>
    <t>BKSF0H</t>
  </si>
  <si>
    <t>Oscar Properties Holding AB</t>
  </si>
  <si>
    <t>SE0016278303</t>
  </si>
  <si>
    <t>BKTNZS</t>
  </si>
  <si>
    <t>FastPartner AB</t>
  </si>
  <si>
    <t>SE0013512506</t>
  </si>
  <si>
    <t>BKTQ1Q</t>
  </si>
  <si>
    <t>24Storage AB</t>
  </si>
  <si>
    <t>SE0013358710</t>
  </si>
  <si>
    <t>BKV3Z2</t>
  </si>
  <si>
    <t>Electrolux Professional AB Class B</t>
  </si>
  <si>
    <t>SE0013747870</t>
  </si>
  <si>
    <t>BKWP6Q</t>
  </si>
  <si>
    <t>OW Bunker A/S</t>
  </si>
  <si>
    <t>DK0060548386</t>
  </si>
  <si>
    <t>BKX8GB</t>
  </si>
  <si>
    <t>NetEnt AB Class B</t>
  </si>
  <si>
    <t>SE0014186656</t>
  </si>
  <si>
    <t>BKY4PG</t>
  </si>
  <si>
    <t>Qlucore AB</t>
  </si>
  <si>
    <t>SE0016829824</t>
  </si>
  <si>
    <t>BKY4S2</t>
  </si>
  <si>
    <t>Pierce Group AB</t>
  </si>
  <si>
    <t>SE0015658364</t>
  </si>
  <si>
    <t>BKY6BX</t>
  </si>
  <si>
    <t>BioInvent International AB</t>
  </si>
  <si>
    <t>SE0015244520</t>
  </si>
  <si>
    <t>BKY83P</t>
  </si>
  <si>
    <t>Desenio Group AB</t>
  </si>
  <si>
    <t>SE0015657853</t>
  </si>
  <si>
    <t>BKY88Q</t>
  </si>
  <si>
    <t>Novakand Pharma AB (publ)</t>
  </si>
  <si>
    <t>SE0015658570</t>
  </si>
  <si>
    <t>BKZ737</t>
  </si>
  <si>
    <t>Candles Scandinavia AB Class B</t>
  </si>
  <si>
    <t>SE0016797773</t>
  </si>
  <si>
    <t>BKZH0R</t>
  </si>
  <si>
    <t>Kallebaeck Property Invest AB</t>
  </si>
  <si>
    <t>SE0005704079</t>
  </si>
  <si>
    <t>BL0P6R</t>
  </si>
  <si>
    <t>Systemair AB</t>
  </si>
  <si>
    <t>SE0016609499</t>
  </si>
  <si>
    <t>BL5454</t>
  </si>
  <si>
    <t>Randviken Fastigheter AB</t>
  </si>
  <si>
    <t>SE0016128169</t>
  </si>
  <si>
    <t>BL58ZX</t>
  </si>
  <si>
    <t>Idogen AB</t>
  </si>
  <si>
    <t>SE0014428561</t>
  </si>
  <si>
    <t>BL59TK</t>
  </si>
  <si>
    <t>Bricknode Holding AB Class B</t>
  </si>
  <si>
    <t>SE0016288591</t>
  </si>
  <si>
    <t>BL5BHW</t>
  </si>
  <si>
    <t>Coala-Life Group AB</t>
  </si>
  <si>
    <t>SE0017083983</t>
  </si>
  <si>
    <t>BL6CF0</t>
  </si>
  <si>
    <t>Newbury Pharmaceuticals AB</t>
  </si>
  <si>
    <t>SE0015244884</t>
  </si>
  <si>
    <t>BL6K6M</t>
  </si>
  <si>
    <t>Cedergrenska AB</t>
  </si>
  <si>
    <t>SE0015949946</t>
  </si>
  <si>
    <t>BL6K7K</t>
  </si>
  <si>
    <t>Lifco AB Class B</t>
  </si>
  <si>
    <t>SE0015949201</t>
  </si>
  <si>
    <t>BL6KFZ</t>
  </si>
  <si>
    <t>DonkeyRepublic Holding A/S</t>
  </si>
  <si>
    <t>DK0061540770</t>
  </si>
  <si>
    <t>BL6VLP</t>
  </si>
  <si>
    <t>Adventure Box Technology AB</t>
  </si>
  <si>
    <t>SE0012955276</t>
  </si>
  <si>
    <t>BL95N5</t>
  </si>
  <si>
    <t>Recipharm AB Class B</t>
  </si>
  <si>
    <t>SE0005757267</t>
  </si>
  <si>
    <t>BL9YKR</t>
  </si>
  <si>
    <t>MapsPeople A/S</t>
  </si>
  <si>
    <t>DK0061549052</t>
  </si>
  <si>
    <t>BL9ZH8</t>
  </si>
  <si>
    <t>Trifork Group AG</t>
  </si>
  <si>
    <t>CH1111227810</t>
  </si>
  <si>
    <t>BLB2HD</t>
  </si>
  <si>
    <t>Genova Property Group AB</t>
  </si>
  <si>
    <t>SE0007184189</t>
  </si>
  <si>
    <t>BLB2Y7</t>
  </si>
  <si>
    <t>Magle Chemoswed Holding AB</t>
  </si>
  <si>
    <t>SE0014401014</t>
  </si>
  <si>
    <t>BLBHZH</t>
  </si>
  <si>
    <t>KlaraBo Sverige AB Class B</t>
  </si>
  <si>
    <t>SE0010832287</t>
  </si>
  <si>
    <t>BLBJCT</t>
  </si>
  <si>
    <t>Movinn A/S</t>
  </si>
  <si>
    <t>DK0061555539</t>
  </si>
  <si>
    <t>BLBNVL</t>
  </si>
  <si>
    <t>LYYN AB</t>
  </si>
  <si>
    <t>SE0005849411</t>
  </si>
  <si>
    <t>BLC8JY</t>
  </si>
  <si>
    <t>Mavshack AB</t>
  </si>
  <si>
    <t>SE0020998854</t>
  </si>
  <si>
    <t>BLCH2Q</t>
  </si>
  <si>
    <t>Stayble Therapeutics AB</t>
  </si>
  <si>
    <t>SE0013513652</t>
  </si>
  <si>
    <t>BLD39X</t>
  </si>
  <si>
    <t>Godsinlosen Nordic AB</t>
  </si>
  <si>
    <t>SE0016101760</t>
  </si>
  <si>
    <t>BLD50V</t>
  </si>
  <si>
    <t>Fortinova Fastigheter AB</t>
  </si>
  <si>
    <t>SE0014608915</t>
  </si>
  <si>
    <t>BLD5YB</t>
  </si>
  <si>
    <t>Thunderful Group AB</t>
  </si>
  <si>
    <t>SE0015195888</t>
  </si>
  <si>
    <t>BLDB2F</t>
  </si>
  <si>
    <t>Wallenstam AB Class B</t>
  </si>
  <si>
    <t>SE0017780133</t>
  </si>
  <si>
    <t>BLDB37</t>
  </si>
  <si>
    <t>Addnode Group AB Class B</t>
  </si>
  <si>
    <t>SE0017885767</t>
  </si>
  <si>
    <t>BLDBCW</t>
  </si>
  <si>
    <t>HEBA Fastighets AB Class B</t>
  </si>
  <si>
    <t>SE0017911480</t>
  </si>
  <si>
    <t>BLDBN4</t>
  </si>
  <si>
    <t>Atlas Copco AB Class A</t>
  </si>
  <si>
    <t>SE0017486889</t>
  </si>
  <si>
    <t>BLDC7J</t>
  </si>
  <si>
    <t>Observit AB</t>
  </si>
  <si>
    <t>SE0017911704</t>
  </si>
  <si>
    <t>BLDCLN</t>
  </si>
  <si>
    <t>Noba Bank Group AB</t>
  </si>
  <si>
    <t>SE0023135298</t>
  </si>
  <si>
    <t>BLDDGT</t>
  </si>
  <si>
    <t>Skane-moellan AB</t>
  </si>
  <si>
    <t>SE0017885338</t>
  </si>
  <si>
    <t>BLF7SB</t>
  </si>
  <si>
    <t>Idun Industrier AB Class B</t>
  </si>
  <si>
    <t>SE0013512464</t>
  </si>
  <si>
    <t>BLF8B7</t>
  </si>
  <si>
    <t>Embellence Group AB</t>
  </si>
  <si>
    <t>SE0013888831</t>
  </si>
  <si>
    <t>BLF9B2</t>
  </si>
  <si>
    <t>Bokusgruppen AB</t>
  </si>
  <si>
    <t>SE0016074256</t>
  </si>
  <si>
    <t>BLF9BN</t>
  </si>
  <si>
    <t>EMB Mission Bound AB (publ)</t>
  </si>
  <si>
    <t>SE0015797873</t>
  </si>
  <si>
    <t>BLF9BZ</t>
  </si>
  <si>
    <t>Brilliant Future AB</t>
  </si>
  <si>
    <t>SE0015811625</t>
  </si>
  <si>
    <t>BLFC0Y</t>
  </si>
  <si>
    <t>Modelon AB</t>
  </si>
  <si>
    <t>SE0023112438</t>
  </si>
  <si>
    <t>BLFJV1</t>
  </si>
  <si>
    <t>Brdr A &amp; O Johansen A/S Class B</t>
  </si>
  <si>
    <t>DK0061686714</t>
  </si>
  <si>
    <t>BLGYHP</t>
  </si>
  <si>
    <t>Soder Sportfiske AB</t>
  </si>
  <si>
    <t>SE0016276539</t>
  </si>
  <si>
    <t>BLGYHQ</t>
  </si>
  <si>
    <t>Arlandastad Group AB</t>
  </si>
  <si>
    <t>SE0016276851</t>
  </si>
  <si>
    <t>BLH05B</t>
  </si>
  <si>
    <t>Vo2 Cap Holding AB</t>
  </si>
  <si>
    <t>SE0016802797</t>
  </si>
  <si>
    <t>BLH30H</t>
  </si>
  <si>
    <t>New Bubbleroom Sweden AB</t>
  </si>
  <si>
    <t>SE0016288476</t>
  </si>
  <si>
    <t>BLH389</t>
  </si>
  <si>
    <t>Studentbostader i Norden AB</t>
  </si>
  <si>
    <t>SE0015657697</t>
  </si>
  <si>
    <t>BLH41Y</t>
  </si>
  <si>
    <t>Norditek Group AB</t>
  </si>
  <si>
    <t>SE0016843486</t>
  </si>
  <si>
    <t>BLM77D</t>
  </si>
  <si>
    <t>ScandiDos AB</t>
  </si>
  <si>
    <t>SE0005768124</t>
  </si>
  <si>
    <t>BLM7Q6</t>
  </si>
  <si>
    <t>AGES Industri AB</t>
  </si>
  <si>
    <t>SE0005799046</t>
  </si>
  <si>
    <t>BLN8T4</t>
  </si>
  <si>
    <t>Addtech AB Class B</t>
  </si>
  <si>
    <t>SE0014781795</t>
  </si>
  <si>
    <t>BLN9XH</t>
  </si>
  <si>
    <t>Sweco AB Class B</t>
  </si>
  <si>
    <t>SE0014960373</t>
  </si>
  <si>
    <t>BLNM1R</t>
  </si>
  <si>
    <t>Vastra Hamnen Corporate Finance AB</t>
  </si>
  <si>
    <t>SE0017767031</t>
  </si>
  <si>
    <t>BLNML2</t>
  </si>
  <si>
    <t>Scandinavian Enviro Systems AB</t>
  </si>
  <si>
    <t>SE0005877560</t>
  </si>
  <si>
    <t>BLNPM5</t>
  </si>
  <si>
    <t>Aligro Planet Acquisition Co. AB Class A</t>
  </si>
  <si>
    <t>SE0015949540</t>
  </si>
  <si>
    <t>BLNPMW</t>
  </si>
  <si>
    <t>Arla Plast AB</t>
  </si>
  <si>
    <t>SE0015810817</t>
  </si>
  <si>
    <t>BLR6BQ</t>
  </si>
  <si>
    <t>HusCompagniet A/S</t>
  </si>
  <si>
    <t>DK0061412855</t>
  </si>
  <si>
    <t>BLR6PX</t>
  </si>
  <si>
    <t>CirChem AB</t>
  </si>
  <si>
    <t>SE0015193529</t>
  </si>
  <si>
    <t>BLTVD5</t>
  </si>
  <si>
    <t>Greater Than AB</t>
  </si>
  <si>
    <t>SE0005881554</t>
  </si>
  <si>
    <t>BM6772</t>
  </si>
  <si>
    <t>OptiCept Technologies AB</t>
  </si>
  <si>
    <t>SE0005881786</t>
  </si>
  <si>
    <t>BM7T00</t>
  </si>
  <si>
    <t>Ostasiatiske Kompagni A/S</t>
  </si>
  <si>
    <t>DK0061277894</t>
  </si>
  <si>
    <t>BM8D84</t>
  </si>
  <si>
    <t>Nexcom A/S</t>
  </si>
  <si>
    <t>DK0061417144</t>
  </si>
  <si>
    <t>BM8F42</t>
  </si>
  <si>
    <t>Devyser Diagnostics AB</t>
  </si>
  <si>
    <t>SE0016588867</t>
  </si>
  <si>
    <t>BM8H03</t>
  </si>
  <si>
    <t>Freja eID Group AB</t>
  </si>
  <si>
    <t>SE0015950308</t>
  </si>
  <si>
    <t>BM8H42</t>
  </si>
  <si>
    <t>MilDef Group AB</t>
  </si>
  <si>
    <t>SE0016074249</t>
  </si>
  <si>
    <t>BM8H5D</t>
  </si>
  <si>
    <t>Bawat Water Technologies AB</t>
  </si>
  <si>
    <t>SE0017487424</t>
  </si>
  <si>
    <t>BM8J3B</t>
  </si>
  <si>
    <t>Qliro AB</t>
  </si>
  <si>
    <t>SE0013719077</t>
  </si>
  <si>
    <t>BM8PXL</t>
  </si>
  <si>
    <t>Gigasun AB</t>
  </si>
  <si>
    <t>SE0016101521</t>
  </si>
  <si>
    <t>BM8QQP</t>
  </si>
  <si>
    <t>Newlist AB</t>
  </si>
  <si>
    <t>SE0015346812</t>
  </si>
  <si>
    <t>BM8SL2</t>
  </si>
  <si>
    <t>Storskogen Group AB Class B</t>
  </si>
  <si>
    <t>SE0016797732</t>
  </si>
  <si>
    <t>BM90LR</t>
  </si>
  <si>
    <t>Sleep Cycle AB</t>
  </si>
  <si>
    <t>SE0015961404</t>
  </si>
  <si>
    <t>BM90LS</t>
  </si>
  <si>
    <t>Codemill AB</t>
  </si>
  <si>
    <t>SE0013914819</t>
  </si>
  <si>
    <t>BM91MD</t>
  </si>
  <si>
    <t>Green Hydrogen Systems A/S</t>
  </si>
  <si>
    <t>DK0061540341</t>
  </si>
  <si>
    <t>BM98X9</t>
  </si>
  <si>
    <t>Cint Group AB</t>
  </si>
  <si>
    <t>SE0015483276</t>
  </si>
  <si>
    <t>BM9C8R</t>
  </si>
  <si>
    <t>Implantica Inc. Shs A Swedish Depositary Receipt Repr 1 Sh A</t>
  </si>
  <si>
    <t>SE0014855029</t>
  </si>
  <si>
    <t>BM9C9M</t>
  </si>
  <si>
    <t>Emplicure AB</t>
  </si>
  <si>
    <t>SE0015812391</t>
  </si>
  <si>
    <t>BM9CG7</t>
  </si>
  <si>
    <t>Wall to Wall Group AB Class A</t>
  </si>
  <si>
    <t>SE0016075246</t>
  </si>
  <si>
    <t>BM9CKD</t>
  </si>
  <si>
    <t>NORD.investments Fondsmaeglerselskab A/S</t>
  </si>
  <si>
    <t>DK0061540184</t>
  </si>
  <si>
    <t>BM9CLZ</t>
  </si>
  <si>
    <t>USWE Sports AB</t>
  </si>
  <si>
    <t>SE0015949771</t>
  </si>
  <si>
    <t>BM9CRN</t>
  </si>
  <si>
    <t>Inission AB Class B</t>
  </si>
  <si>
    <t>SE0016275069</t>
  </si>
  <si>
    <t>BM9S1Z</t>
  </si>
  <si>
    <t>Hexatronic Group AB</t>
  </si>
  <si>
    <t>SE0018040677</t>
  </si>
  <si>
    <t>BM9S93</t>
  </si>
  <si>
    <t>XANO Industri AB Class B</t>
  </si>
  <si>
    <t>SE0018014151</t>
  </si>
  <si>
    <t>BM9XK5</t>
  </si>
  <si>
    <t>Carasent AB</t>
  </si>
  <si>
    <t>SE0023261599</t>
  </si>
  <si>
    <t>BMB5VH</t>
  </si>
  <si>
    <t>Profoto Holding AB</t>
  </si>
  <si>
    <t>SE0015962147</t>
  </si>
  <si>
    <t>BMBKB2</t>
  </si>
  <si>
    <t>Fom Technologies A/S</t>
  </si>
  <si>
    <t>DK0061278199</t>
  </si>
  <si>
    <t>BMBM5M</t>
  </si>
  <si>
    <t>Shape Robotics AS</t>
  </si>
  <si>
    <t>DK0061273125</t>
  </si>
  <si>
    <t>BMBMM4</t>
  </si>
  <si>
    <t>IAR Systems Group AB Class B</t>
  </si>
  <si>
    <t>SE0005851706</t>
  </si>
  <si>
    <t>BMBVC1</t>
  </si>
  <si>
    <t>SaveLend Group AB</t>
  </si>
  <si>
    <t>SE0015961024</t>
  </si>
  <si>
    <t>BMBVC3</t>
  </si>
  <si>
    <t>Checkin.com Group AB</t>
  </si>
  <si>
    <t>SE0015810502</t>
  </si>
  <si>
    <t>BMC2QH</t>
  </si>
  <si>
    <t>VEF AB</t>
  </si>
  <si>
    <t>SE0016128151</t>
  </si>
  <si>
    <t>BMC50B</t>
  </si>
  <si>
    <t>Move About Group AB</t>
  </si>
  <si>
    <t>SE0016830335</t>
  </si>
  <si>
    <t>BMC56V</t>
  </si>
  <si>
    <t>Saltangen Property Invest AB</t>
  </si>
  <si>
    <t>SE0014400032</t>
  </si>
  <si>
    <t>BMC6WQ</t>
  </si>
  <si>
    <t>Stenhus Fastigheter i Norden AB</t>
  </si>
  <si>
    <t>SE0014956819</t>
  </si>
  <si>
    <t>BMC7BJ</t>
  </si>
  <si>
    <t>Aktiebolaget Fastator</t>
  </si>
  <si>
    <t>SE0015407382</t>
  </si>
  <si>
    <t>BMC94H</t>
  </si>
  <si>
    <t>Prostatype Genomics AB</t>
  </si>
  <si>
    <t>SE0023261532</t>
  </si>
  <si>
    <t>BMCFL4</t>
  </si>
  <si>
    <t>Stillfront Group AB</t>
  </si>
  <si>
    <t>SE0015346135</t>
  </si>
  <si>
    <t>BMCFQR</t>
  </si>
  <si>
    <t>Flat Capital AB Class B</t>
  </si>
  <si>
    <t>SE0016609846</t>
  </si>
  <si>
    <t>BMCKBF</t>
  </si>
  <si>
    <t>Svenska Nyttobostader AB</t>
  </si>
  <si>
    <t>SE0014808853</t>
  </si>
  <si>
    <t>BMCM2T</t>
  </si>
  <si>
    <t>Nordic Waterproofing Holding AB</t>
  </si>
  <si>
    <t>SE0014731089</t>
  </si>
  <si>
    <t>BMCP7D</t>
  </si>
  <si>
    <t>Truecaller AB Class B</t>
  </si>
  <si>
    <t>SE0016787071</t>
  </si>
  <si>
    <t>BMCP89</t>
  </si>
  <si>
    <t>Nordisk Bergteknik AB Class B</t>
  </si>
  <si>
    <t>SE0015812128</t>
  </si>
  <si>
    <t>BMCQC4</t>
  </si>
  <si>
    <t>CTEK AB</t>
  </si>
  <si>
    <t>SE0016798763</t>
  </si>
  <si>
    <t>BMCQFW</t>
  </si>
  <si>
    <t>Brain+ A/S</t>
  </si>
  <si>
    <t>DK0061670205</t>
  </si>
  <si>
    <t>BMCR1W</t>
  </si>
  <si>
    <t>RVRC Holding AB</t>
  </si>
  <si>
    <t>SE0015962485</t>
  </si>
  <si>
    <t>BMCSZ7</t>
  </si>
  <si>
    <t>Monsenso A/S</t>
  </si>
  <si>
    <t>DK0061277977</t>
  </si>
  <si>
    <t>BMCYPR</t>
  </si>
  <si>
    <t>White Pearl Technology Group AB</t>
  </si>
  <si>
    <t>SE0020203271</t>
  </si>
  <si>
    <t>BMD20R</t>
  </si>
  <si>
    <t>Vestum AB</t>
  </si>
  <si>
    <t>SE0017134125</t>
  </si>
  <si>
    <t>BMD2JW</t>
  </si>
  <si>
    <t>OX2 AB</t>
  </si>
  <si>
    <t>SE0016075337</t>
  </si>
  <si>
    <t>BMD2JX</t>
  </si>
  <si>
    <t>Linkfire A/S</t>
  </si>
  <si>
    <t>DK0061550811</t>
  </si>
  <si>
    <t>BMD58F</t>
  </si>
  <si>
    <t>TagMaster AB Class B</t>
  </si>
  <si>
    <t>SE0015950399</t>
  </si>
  <si>
    <t>BMD58R</t>
  </si>
  <si>
    <t>Epiroc AB Class A</t>
  </si>
  <si>
    <t>SE0015658109</t>
  </si>
  <si>
    <t>BMD5CS</t>
  </si>
  <si>
    <t>Goobit Group AB</t>
  </si>
  <si>
    <t>SE0015837752</t>
  </si>
  <si>
    <t>BMD83N</t>
  </si>
  <si>
    <t>Fractal Gaming Group AB</t>
  </si>
  <si>
    <t>SE0015504477</t>
  </si>
  <si>
    <t>BMD9CB</t>
  </si>
  <si>
    <t>Alefarm Brewing A/S</t>
  </si>
  <si>
    <t>DK0061407699</t>
  </si>
  <si>
    <t>BMDBVT</t>
  </si>
  <si>
    <t>Nordic Paper Holding AB</t>
  </si>
  <si>
    <t>SE0014808838</t>
  </si>
  <si>
    <t>BMDKHC</t>
  </si>
  <si>
    <t>Kinda Brave Entertainment Group AB</t>
  </si>
  <si>
    <t>SE0021921822</t>
  </si>
  <si>
    <t>BMDV52</t>
  </si>
  <si>
    <t>Nilar International AB</t>
  </si>
  <si>
    <t>SE0015950001</t>
  </si>
  <si>
    <t>BMDXM8</t>
  </si>
  <si>
    <t>Digizuite A/S</t>
  </si>
  <si>
    <t>DK0061535937</t>
  </si>
  <si>
    <t>BMDYQ0</t>
  </si>
  <si>
    <t>Lyckegard Group AB</t>
  </si>
  <si>
    <t>SE0017160575</t>
  </si>
  <si>
    <t>BMDYQ3</t>
  </si>
  <si>
    <t>Learning 2 Sleep L2S AB</t>
  </si>
  <si>
    <t>SE0017083694</t>
  </si>
  <si>
    <t>BMF0JK</t>
  </si>
  <si>
    <t>Hove A/S</t>
  </si>
  <si>
    <t>DK0061675279</t>
  </si>
  <si>
    <t>BMF1JN</t>
  </si>
  <si>
    <t>Creades AB Class A</t>
  </si>
  <si>
    <t>SE0015661236</t>
  </si>
  <si>
    <t>BMF4XQ</t>
  </si>
  <si>
    <t>Flowscape Technology AB</t>
  </si>
  <si>
    <t>SE0018042046</t>
  </si>
  <si>
    <t>BMF4XS</t>
  </si>
  <si>
    <t>Sweden BuyersClub AB</t>
  </si>
  <si>
    <t>SE0015660287</t>
  </si>
  <si>
    <t>BMF7V2</t>
  </si>
  <si>
    <t>PILA PHARMA AB</t>
  </si>
  <si>
    <t>SE0015988274</t>
  </si>
  <si>
    <t>BMFB7F</t>
  </si>
  <si>
    <t>Bioextrax AB</t>
  </si>
  <si>
    <t>SE0016276752</t>
  </si>
  <si>
    <t>BMFBD7</t>
  </si>
  <si>
    <t>Modus Therapeutics Holding AB</t>
  </si>
  <si>
    <t>SE0015987904</t>
  </si>
  <si>
    <t>BMFFSK</t>
  </si>
  <si>
    <t>StenoCare A/S</t>
  </si>
  <si>
    <t>DK0061078425</t>
  </si>
  <si>
    <t>BMFNNR</t>
  </si>
  <si>
    <t>Yubico AB</t>
  </si>
  <si>
    <t>SE0015657788</t>
  </si>
  <si>
    <t>BMFNVF</t>
  </si>
  <si>
    <t>Cheffelo AB</t>
  </si>
  <si>
    <t>SE0015556873</t>
  </si>
  <si>
    <t>BMFYGB</t>
  </si>
  <si>
    <t>Surgical Science Sweden AB</t>
  </si>
  <si>
    <t>SE0014428512</t>
  </si>
  <si>
    <t>BMG4XS</t>
  </si>
  <si>
    <t>Viva Wine Group AB</t>
  </si>
  <si>
    <t>SE0017084361</t>
  </si>
  <si>
    <t>BMG5DR</t>
  </si>
  <si>
    <t>Collaxio AB (publ) Class B</t>
  </si>
  <si>
    <t>SE0016609333</t>
  </si>
  <si>
    <t>BMG7FL</t>
  </si>
  <si>
    <t>Teneo AI AB Class B</t>
  </si>
  <si>
    <t>SE0018397184</t>
  </si>
  <si>
    <t>BMGBYZ</t>
  </si>
  <si>
    <t>AAC Clyde Space AB</t>
  </si>
  <si>
    <t>SE0021020716</t>
  </si>
  <si>
    <t>BMGL7G</t>
  </si>
  <si>
    <t>Jeudan A/S</t>
  </si>
  <si>
    <t>DK0061282464</t>
  </si>
  <si>
    <t>BMGSZS</t>
  </si>
  <si>
    <t>Bergs Timber AB Class B</t>
  </si>
  <si>
    <t>SE0018012932</t>
  </si>
  <si>
    <t>BMGTJT</t>
  </si>
  <si>
    <t>H. Lundbeck A/S Class B</t>
  </si>
  <si>
    <t>DK0061804770</t>
  </si>
  <si>
    <t>BMH18Z</t>
  </si>
  <si>
    <t>Dataproces Group A/S</t>
  </si>
  <si>
    <t>DK0061408580</t>
  </si>
  <si>
    <t>BMH5T6</t>
  </si>
  <si>
    <t>LED iBond International A/S</t>
  </si>
  <si>
    <t>DK0061274529</t>
  </si>
  <si>
    <t>BMH620</t>
  </si>
  <si>
    <t>Swiss Properties Invest A/S</t>
  </si>
  <si>
    <t>DK0061805660</t>
  </si>
  <si>
    <t>BMH635</t>
  </si>
  <si>
    <t>OEM International AB Class B</t>
  </si>
  <si>
    <t>SE0017766843</t>
  </si>
  <si>
    <t>BMHBF6</t>
  </si>
  <si>
    <t>Fastighets AB Trianon Class B</t>
  </si>
  <si>
    <t>SE0018013658</t>
  </si>
  <si>
    <t>BMHRRB</t>
  </si>
  <si>
    <t>Medhelp Care AB</t>
  </si>
  <si>
    <t>SE0016799001</t>
  </si>
  <si>
    <t>BMHYLT</t>
  </si>
  <si>
    <t>Nivika Fastigheter AB Class B</t>
  </si>
  <si>
    <t>SE0017083272</t>
  </si>
  <si>
    <t>BMHZQL</t>
  </si>
  <si>
    <t>Wastbygg Gruppen AB Class B</t>
  </si>
  <si>
    <t>SE0014453874</t>
  </si>
  <si>
    <t>BMNQDC</t>
  </si>
  <si>
    <t>Kambi Group plc Class B</t>
  </si>
  <si>
    <t>MT0000780107</t>
  </si>
  <si>
    <t>BMNQP9</t>
  </si>
  <si>
    <t>Modern Ekonomi Sverige Holding AB</t>
  </si>
  <si>
    <t>SE0005991601</t>
  </si>
  <si>
    <t>BMPRRB</t>
  </si>
  <si>
    <t>Mdundo.com A / S</t>
  </si>
  <si>
    <t>DK0061286101</t>
  </si>
  <si>
    <t>BMPRRF</t>
  </si>
  <si>
    <t>LN Future Invest AB</t>
  </si>
  <si>
    <t>SE0014730347</t>
  </si>
  <si>
    <t>BMQ4ZX</t>
  </si>
  <si>
    <t>Alleima AB</t>
  </si>
  <si>
    <t>SE0017615644</t>
  </si>
  <si>
    <t>BMQ5Y3</t>
  </si>
  <si>
    <t>Delarka Holding AB</t>
  </si>
  <si>
    <t>SE0014401063</t>
  </si>
  <si>
    <t>BMQWJ0</t>
  </si>
  <si>
    <t>Fenix Outdoor International AG Series B</t>
  </si>
  <si>
    <t>CH0242214887</t>
  </si>
  <si>
    <t>BMQX2M</t>
  </si>
  <si>
    <t>Starbreeze AB</t>
  </si>
  <si>
    <t>SE0005992831</t>
  </si>
  <si>
    <t>BMT7HS</t>
  </si>
  <si>
    <t>BactiQuant A/S</t>
  </si>
  <si>
    <t>DK0061417730</t>
  </si>
  <si>
    <t>BMTCQY</t>
  </si>
  <si>
    <t>VNV Global AB</t>
  </si>
  <si>
    <t>SE0014428835</t>
  </si>
  <si>
    <t>BMTS6J</t>
  </si>
  <si>
    <t>Nelly Group AB</t>
  </si>
  <si>
    <t>SE0015245535</t>
  </si>
  <si>
    <t>BMTVK8</t>
  </si>
  <si>
    <t>Neola Medical AB</t>
  </si>
  <si>
    <t>SE0014829255</t>
  </si>
  <si>
    <t>BMV3K6</t>
  </si>
  <si>
    <t>Fantasma Games AB</t>
  </si>
  <si>
    <t>SE0015557053</t>
  </si>
  <si>
    <t>BMV7PQ</t>
  </si>
  <si>
    <t>Investor AB Class B</t>
  </si>
  <si>
    <t>SE0015811963</t>
  </si>
  <si>
    <t>BMVB56</t>
  </si>
  <si>
    <t>Loomis AB</t>
  </si>
  <si>
    <t>SE0014504817</t>
  </si>
  <si>
    <t>BMVHXB</t>
  </si>
  <si>
    <t>OncoZenge AB</t>
  </si>
  <si>
    <t>SE0015504097</t>
  </si>
  <si>
    <t>BMVN4T</t>
  </si>
  <si>
    <t>Pharmiva AB</t>
  </si>
  <si>
    <t>SE0015530670</t>
  </si>
  <si>
    <t>BMVN5T</t>
  </si>
  <si>
    <t>Nimbus Group AB</t>
  </si>
  <si>
    <t>SE0015407390</t>
  </si>
  <si>
    <t>BMVWYM</t>
  </si>
  <si>
    <t>AddLife AB Class B</t>
  </si>
  <si>
    <t>SE0014401378</t>
  </si>
  <si>
    <t>BMW2DZ</t>
  </si>
  <si>
    <t>Plexian AB</t>
  </si>
  <si>
    <t>SE0015659941</t>
  </si>
  <si>
    <t>BMW2PY</t>
  </si>
  <si>
    <t>Gaming Corps AB</t>
  </si>
  <si>
    <t>SE0014694691</t>
  </si>
  <si>
    <t>BMW4SJ</t>
  </si>
  <si>
    <t>Nordfyns Bank A/S</t>
  </si>
  <si>
    <t>DK0061295441</t>
  </si>
  <si>
    <t>BMW8ZK</t>
  </si>
  <si>
    <t>Luxbright AB</t>
  </si>
  <si>
    <t>SE0015192075</t>
  </si>
  <si>
    <t>BMWC78</t>
  </si>
  <si>
    <t>Betsson AB Class B</t>
  </si>
  <si>
    <t>SE0022726485</t>
  </si>
  <si>
    <t>BMWPYF</t>
  </si>
  <si>
    <t>Loyal Solutions A/S</t>
  </si>
  <si>
    <t>DK0061535507</t>
  </si>
  <si>
    <t>BMWX9N</t>
  </si>
  <si>
    <t>Lagercrantz Group AB Class B</t>
  </si>
  <si>
    <t>SE0014990966</t>
  </si>
  <si>
    <t>BMX6GL</t>
  </si>
  <si>
    <t>Readly International AB</t>
  </si>
  <si>
    <t>SE0014855292</t>
  </si>
  <si>
    <t>BMXD80</t>
  </si>
  <si>
    <t>Lipigon Pharmaceuticals AB</t>
  </si>
  <si>
    <t>SE0015382072</t>
  </si>
  <si>
    <t>BMXJSK</t>
  </si>
  <si>
    <t>eEducation Albert AB</t>
  </si>
  <si>
    <t>SE0016797989</t>
  </si>
  <si>
    <t>BMXMZT</t>
  </si>
  <si>
    <t>Coinshares International Limited</t>
  </si>
  <si>
    <t>JE00BLD8Y945</t>
  </si>
  <si>
    <t>BMXT8K</t>
  </si>
  <si>
    <t>Nolato AB Class B</t>
  </si>
  <si>
    <t>SE0015962477</t>
  </si>
  <si>
    <t>BMXVCK</t>
  </si>
  <si>
    <t>Proact IT Group AB</t>
  </si>
  <si>
    <t>SE0015961222</t>
  </si>
  <si>
    <t>BMY4TN</t>
  </si>
  <si>
    <t>Klimator AB</t>
  </si>
  <si>
    <t>SE0014401329</t>
  </si>
  <si>
    <t>BMYDB8</t>
  </si>
  <si>
    <t>Biokraft International AB</t>
  </si>
  <si>
    <t>SE0015242896</t>
  </si>
  <si>
    <t>BMYDBB</t>
  </si>
  <si>
    <t>DecideAct A/S</t>
  </si>
  <si>
    <t>DK0061414471</t>
  </si>
  <si>
    <t>BMYF5C</t>
  </si>
  <si>
    <t>Qlosr Group AB Class B</t>
  </si>
  <si>
    <t>SE0018169195</t>
  </si>
  <si>
    <t>BMYMQR</t>
  </si>
  <si>
    <t>SameSystem A/S</t>
  </si>
  <si>
    <t>DK0061551033</t>
  </si>
  <si>
    <t>BMYMVJ</t>
  </si>
  <si>
    <t>Aventura Group AB Class B</t>
  </si>
  <si>
    <t>SE0015961438</t>
  </si>
  <si>
    <t>BMYS53</t>
  </si>
  <si>
    <t>Tingsvalvet Fastighets AB Class A</t>
  </si>
  <si>
    <t>SE0018534471</t>
  </si>
  <si>
    <t>BMYXVY</t>
  </si>
  <si>
    <t>M.O.B.A. Network AB</t>
  </si>
  <si>
    <t>SE0016277909</t>
  </si>
  <si>
    <t>BMZ7V3</t>
  </si>
  <si>
    <t>Penneo A/S</t>
  </si>
  <si>
    <t>DK0061283009</t>
  </si>
  <si>
    <t>BMZQ6T</t>
  </si>
  <si>
    <t>Titania Holding AB Class B</t>
  </si>
  <si>
    <t>SE0017132129</t>
  </si>
  <si>
    <t>BMZQSP</t>
  </si>
  <si>
    <t>Gubra A/S</t>
  </si>
  <si>
    <t>DK0062266474</t>
  </si>
  <si>
    <t>BN0S3N</t>
  </si>
  <si>
    <t>Linc AB</t>
  </si>
  <si>
    <t>SE0015949433</t>
  </si>
  <si>
    <t>BN0SS8</t>
  </si>
  <si>
    <t>Maven Wireless Sweden AB</t>
  </si>
  <si>
    <t>SE0015961180</t>
  </si>
  <si>
    <t>BN0SSB</t>
  </si>
  <si>
    <t>Permascand Top Holding AB</t>
  </si>
  <si>
    <t>SE0015962048</t>
  </si>
  <si>
    <t>BN0T7K</t>
  </si>
  <si>
    <t>Intellego Technologies AB</t>
  </si>
  <si>
    <t>SE0016075063</t>
  </si>
  <si>
    <t>BN0TGN</t>
  </si>
  <si>
    <t>Hilbert Group AB Class B</t>
  </si>
  <si>
    <t>SE0016278154</t>
  </si>
  <si>
    <t>BN0TZD</t>
  </si>
  <si>
    <t>Effnetplattformen Holding AB</t>
  </si>
  <si>
    <t>SE0015987565</t>
  </si>
  <si>
    <t>BN0Y5L</t>
  </si>
  <si>
    <t>LifeClean International AB</t>
  </si>
  <si>
    <t>SE0014829271</t>
  </si>
  <si>
    <t>BN0Y66</t>
  </si>
  <si>
    <t>BoMill AB</t>
  </si>
  <si>
    <t>SE0014583332</t>
  </si>
  <si>
    <t>BN0ZNV</t>
  </si>
  <si>
    <t>Acast AB</t>
  </si>
  <si>
    <t>SE0015960935</t>
  </si>
  <si>
    <t>BN11ZZ</t>
  </si>
  <si>
    <t>Pagero Group AB</t>
  </si>
  <si>
    <t>SE0016830517</t>
  </si>
  <si>
    <t>BN16FF</t>
  </si>
  <si>
    <t>Case Group AB</t>
  </si>
  <si>
    <t>SE0017082514</t>
  </si>
  <si>
    <t>BN16FT</t>
  </si>
  <si>
    <t>Acenta Group AB</t>
  </si>
  <si>
    <t>SE0024173728</t>
  </si>
  <si>
    <t>BN2RDR</t>
  </si>
  <si>
    <t>Heimstaden AB Pref Registered Shs</t>
  </si>
  <si>
    <t>SE0015949037</t>
  </si>
  <si>
    <t>BN2RJ9</t>
  </si>
  <si>
    <t>Hemnet Group AB</t>
  </si>
  <si>
    <t>SE0015671995</t>
  </si>
  <si>
    <t>BN2S8M</t>
  </si>
  <si>
    <t>FM Mattsson Class B</t>
  </si>
  <si>
    <t>SE0018040883</t>
  </si>
  <si>
    <t>BN2WDT</t>
  </si>
  <si>
    <t>K-Fast Holding AB Class B</t>
  </si>
  <si>
    <t>SE0016101679</t>
  </si>
  <si>
    <t>BN33N4</t>
  </si>
  <si>
    <t>Opter AB</t>
  </si>
  <si>
    <t>SE0016829501</t>
  </si>
  <si>
    <t>BN44PZ</t>
  </si>
  <si>
    <t>Larkberget AB</t>
  </si>
  <si>
    <t>SE0016101935</t>
  </si>
  <si>
    <t>BN44VN</t>
  </si>
  <si>
    <t>Offentliga Hus i Norden AB</t>
  </si>
  <si>
    <t>SE0014829644</t>
  </si>
  <si>
    <t>BN46Y7</t>
  </si>
  <si>
    <t>SignUp Software AB</t>
  </si>
  <si>
    <t>SE0017085020</t>
  </si>
  <si>
    <t>BN49BC</t>
  </si>
  <si>
    <t>UIE PLC</t>
  </si>
  <si>
    <t>MT0002400118</t>
  </si>
  <si>
    <t>BN4CFZ</t>
  </si>
  <si>
    <t>ArcAroma AB</t>
  </si>
  <si>
    <t>SE0014609459</t>
  </si>
  <si>
    <t>BN4F6F</t>
  </si>
  <si>
    <t>Dynavox Group AB</t>
  </si>
  <si>
    <t>SE0017105620</t>
  </si>
  <si>
    <t>BN4LXG</t>
  </si>
  <si>
    <t>BYGGFAKTA GROUP Nordic HoldCo AB</t>
  </si>
  <si>
    <t>SE0016798581</t>
  </si>
  <si>
    <t>BN4LY0</t>
  </si>
  <si>
    <t>Haypp Group AB</t>
  </si>
  <si>
    <t>SE0016829469</t>
  </si>
  <si>
    <t>BN4MYF</t>
  </si>
  <si>
    <t>Vestas Wind Systems A/S</t>
  </si>
  <si>
    <t>DK0061539921</t>
  </si>
  <si>
    <t>BN4N2L</t>
  </si>
  <si>
    <t>Netel Holding AB</t>
  </si>
  <si>
    <t>SE0016798417</t>
  </si>
  <si>
    <t>BN6M8B</t>
  </si>
  <si>
    <t>Aquaporin A/S</t>
  </si>
  <si>
    <t>DK0061555109</t>
  </si>
  <si>
    <t>BN6RVB</t>
  </si>
  <si>
    <t>GARO AB</t>
  </si>
  <si>
    <t>SE0015812417</t>
  </si>
  <si>
    <t>BN6V17</t>
  </si>
  <si>
    <t>ChromoGenics AB</t>
  </si>
  <si>
    <t>SE0020847481</t>
  </si>
  <si>
    <t>BN72V5</t>
  </si>
  <si>
    <t>Calviks AB (publ)</t>
  </si>
  <si>
    <t>SE0017564800</t>
  </si>
  <si>
    <t>BN770Y</t>
  </si>
  <si>
    <t>Hydract A/S</t>
  </si>
  <si>
    <t>DK0061531944</t>
  </si>
  <si>
    <t>BN775R</t>
  </si>
  <si>
    <t>Tellusgruppen AB</t>
  </si>
  <si>
    <t>SE0015504519</t>
  </si>
  <si>
    <t>BN782Y</t>
  </si>
  <si>
    <t>Exsitec Holding AB</t>
  </si>
  <si>
    <t>SE0014035762</t>
  </si>
  <si>
    <t>BN791J</t>
  </si>
  <si>
    <t>AFRY AB Class B</t>
  </si>
  <si>
    <t>SE0005999836</t>
  </si>
  <si>
    <t>BN7BZM</t>
  </si>
  <si>
    <t>NIBE Industrier AB Class B</t>
  </si>
  <si>
    <t>SE0015988019</t>
  </si>
  <si>
    <t>BN7DY2</t>
  </si>
  <si>
    <t>Acuvi AB</t>
  </si>
  <si>
    <t>SE0017833171</t>
  </si>
  <si>
    <t>BN7PJ6</t>
  </si>
  <si>
    <t>Com Hem Holding AB</t>
  </si>
  <si>
    <t>SE0005999778</t>
  </si>
  <si>
    <t>BN7Q2L</t>
  </si>
  <si>
    <t>SE0005991411</t>
  </si>
  <si>
    <t>BN90DN</t>
  </si>
  <si>
    <t>Modern Times Group MTG AB Class B</t>
  </si>
  <si>
    <t>SE0018012494</t>
  </si>
  <si>
    <t>BN92YX</t>
  </si>
  <si>
    <t>RugVista Group AB</t>
  </si>
  <si>
    <t>SE0015659834</t>
  </si>
  <si>
    <t>BNBS2J</t>
  </si>
  <si>
    <t>engcon AB Class B</t>
  </si>
  <si>
    <t>SE0017769847</t>
  </si>
  <si>
    <t>BNC1BK</t>
  </si>
  <si>
    <t>ES Energy Save Holding AB Class B</t>
  </si>
  <si>
    <t>SE0014428447</t>
  </si>
  <si>
    <t>BNC2GW</t>
  </si>
  <si>
    <t>CDON AB</t>
  </si>
  <si>
    <t>SE0015191911</t>
  </si>
  <si>
    <t>BNDC0Z</t>
  </si>
  <si>
    <t>Duearity AB</t>
  </si>
  <si>
    <t>SE0015949482</t>
  </si>
  <si>
    <t>BNDLH0</t>
  </si>
  <si>
    <t>Re:NewCell AB</t>
  </si>
  <si>
    <t>SE0014960431</t>
  </si>
  <si>
    <t>BNDLH4</t>
  </si>
  <si>
    <t>Nordnet AB</t>
  </si>
  <si>
    <t>SE0015192067</t>
  </si>
  <si>
    <t>BNDM5M</t>
  </si>
  <si>
    <t>Safello Group AB</t>
  </si>
  <si>
    <t>SE0015346895</t>
  </si>
  <si>
    <t>BNDMJB</t>
  </si>
  <si>
    <t>Dlaboratory Sweden AB</t>
  </si>
  <si>
    <t>SE0015658380</t>
  </si>
  <si>
    <t>BNDRLL</t>
  </si>
  <si>
    <t>Deversify Health AB</t>
  </si>
  <si>
    <t>SE0015660345</t>
  </si>
  <si>
    <t>BNDSMV</t>
  </si>
  <si>
    <t>Refine Group AB</t>
  </si>
  <si>
    <t>SE0021021656</t>
  </si>
  <si>
    <t>BNDWX1</t>
  </si>
  <si>
    <t>Svolder AB Class B</t>
  </si>
  <si>
    <t>SE0017161458</t>
  </si>
  <si>
    <t>BNDXB9</t>
  </si>
  <si>
    <t>Gruvaktiebolaget Viscaria</t>
  </si>
  <si>
    <t>SE0021148160</t>
  </si>
  <si>
    <t>BNDXVV</t>
  </si>
  <si>
    <t>Train Alliance AB (publ) Class B</t>
  </si>
  <si>
    <t>SE0020540144</t>
  </si>
  <si>
    <t>BNDXZC</t>
  </si>
  <si>
    <t>ALM Equity AB</t>
  </si>
  <si>
    <t>SE0018741985</t>
  </si>
  <si>
    <t>BNFWZN</t>
  </si>
  <si>
    <t>Heliospectra AB</t>
  </si>
  <si>
    <t>SE0005933082</t>
  </si>
  <si>
    <t>BNFX60</t>
  </si>
  <si>
    <t>Hanza AB</t>
  </si>
  <si>
    <t>SE0005878543</t>
  </si>
  <si>
    <t>BNG95V</t>
  </si>
  <si>
    <t>Annehem Fastigheter AB Class B</t>
  </si>
  <si>
    <t>SE0015221684</t>
  </si>
  <si>
    <t>BNGB6Z</t>
  </si>
  <si>
    <t>QUIA PHARMA AB (publ)</t>
  </si>
  <si>
    <t>SE0020678159</t>
  </si>
  <si>
    <t>BNGGW7</t>
  </si>
  <si>
    <t>SPARK Technology</t>
  </si>
  <si>
    <t>DK0062268686</t>
  </si>
  <si>
    <t>BNGN4R</t>
  </si>
  <si>
    <t>Bactiguard Holding AB</t>
  </si>
  <si>
    <t>SE0005878741</t>
  </si>
  <si>
    <t>BNHN6F</t>
  </si>
  <si>
    <t>SMART VALOR AG Shs Swedish Depository Receipt Repr 1 Sh</t>
  </si>
  <si>
    <t>SE0017133820</t>
  </si>
  <si>
    <t>BNHNLD</t>
  </si>
  <si>
    <t>CombinedX AB</t>
  </si>
  <si>
    <t>SE0012065589</t>
  </si>
  <si>
    <t>BNHSHK</t>
  </si>
  <si>
    <t>ALK-abello A/S Class B</t>
  </si>
  <si>
    <t>DK0061802139</t>
  </si>
  <si>
    <t>BNJZRJ</t>
  </si>
  <si>
    <t>Scandi Standard AB</t>
  </si>
  <si>
    <t>SE0005999760</t>
  </si>
  <si>
    <t>BNK92W</t>
  </si>
  <si>
    <t>Precise Biometrics AB</t>
  </si>
  <si>
    <t>SE0018013849</t>
  </si>
  <si>
    <t>BNKCKG</t>
  </si>
  <si>
    <t>Copyright Agent A/S</t>
  </si>
  <si>
    <t>DK0061552437</t>
  </si>
  <si>
    <t>BNKCKM</t>
  </si>
  <si>
    <t>Amniotics AB</t>
  </si>
  <si>
    <t>SE0015961016</t>
  </si>
  <si>
    <t>BNKCRG</t>
  </si>
  <si>
    <t>Vimian Group AB</t>
  </si>
  <si>
    <t>SE0015961982</t>
  </si>
  <si>
    <t>BNKLN2</t>
  </si>
  <si>
    <t>Acrinova AB Class A</t>
  </si>
  <si>
    <t>SE0015660014</t>
  </si>
  <si>
    <t>BNLXJ1</t>
  </si>
  <si>
    <t>FSport AB</t>
  </si>
  <si>
    <t>SE0016288641</t>
  </si>
  <si>
    <t>BNM3DS</t>
  </si>
  <si>
    <t>Aprendere Skolor AB</t>
  </si>
  <si>
    <t>SE0015960778</t>
  </si>
  <si>
    <t>BNM3GG</t>
  </si>
  <si>
    <t>Neovici Holding AB Class B</t>
  </si>
  <si>
    <t>SE0016830038</t>
  </si>
  <si>
    <t>BNM66T</t>
  </si>
  <si>
    <t>Fuud AB</t>
  </si>
  <si>
    <t>SE0015988134</t>
  </si>
  <si>
    <t>BNM68B</t>
  </si>
  <si>
    <t>Envar Holding AB</t>
  </si>
  <si>
    <t>SE0023134895</t>
  </si>
  <si>
    <t>BNM7PR</t>
  </si>
  <si>
    <t>Fastighetsbolaget Emilshus AB Class B</t>
  </si>
  <si>
    <t>SE0016785786</t>
  </si>
  <si>
    <t>BNM7T6</t>
  </si>
  <si>
    <t>Athanase Innovation AB</t>
  </si>
  <si>
    <t>SE0018014060</t>
  </si>
  <si>
    <t>BNNFL6</t>
  </si>
  <si>
    <t>Smart Wires Technology Ltd. Swedish Depository Receipt Repr 1 Sh</t>
  </si>
  <si>
    <t>SE0015962345</t>
  </si>
  <si>
    <t>BNNFQ3</t>
  </si>
  <si>
    <t>Swedencare AB</t>
  </si>
  <si>
    <t>SE0015988167</t>
  </si>
  <si>
    <t>BNNH2W</t>
  </si>
  <si>
    <t>Fasadgruppen Group AB</t>
  </si>
  <si>
    <t>SE0015195771</t>
  </si>
  <si>
    <t>BNNTR9</t>
  </si>
  <si>
    <t>Sedana Medical AB</t>
  </si>
  <si>
    <t>SE0015988373</t>
  </si>
  <si>
    <t>BNNXSF</t>
  </si>
  <si>
    <t>Mendus AB</t>
  </si>
  <si>
    <t>SE0022239950</t>
  </si>
  <si>
    <t>BNR5JS</t>
  </si>
  <si>
    <t>Th1ng AB</t>
  </si>
  <si>
    <t>SE0016074124</t>
  </si>
  <si>
    <t>BNRLK8</t>
  </si>
  <si>
    <t>Fluicell AB</t>
  </si>
  <si>
    <t>SE0023595459</t>
  </si>
  <si>
    <t>BNSM80</t>
  </si>
  <si>
    <t>Vuxen Group AB</t>
  </si>
  <si>
    <t>SE0017232838</t>
  </si>
  <si>
    <t>BNSMSG</t>
  </si>
  <si>
    <t>Verve Group SE Class A</t>
  </si>
  <si>
    <t>SE0018538068</t>
  </si>
  <si>
    <t>BNTD0W</t>
  </si>
  <si>
    <t>Tethys Oil AB</t>
  </si>
  <si>
    <t>SE0020180917</t>
  </si>
  <si>
    <t>BNVVHB</t>
  </si>
  <si>
    <t>Elicera Therapeutics AB</t>
  </si>
  <si>
    <t>SE0015382080</t>
  </si>
  <si>
    <t>BNXLXK</t>
  </si>
  <si>
    <t>ITAB Shop Concept AB</t>
  </si>
  <si>
    <t>SE0015962097</t>
  </si>
  <si>
    <t>BNYBGC</t>
  </si>
  <si>
    <t>TROPHY GAMES Development A/S</t>
  </si>
  <si>
    <t>DK0061537206</t>
  </si>
  <si>
    <t>BNYKZJ</t>
  </si>
  <si>
    <t>NCAB Group AB</t>
  </si>
  <si>
    <t>SE0017160773</t>
  </si>
  <si>
    <t>BNYNFG</t>
  </si>
  <si>
    <t>Scandinavian Medical Solutions A/S</t>
  </si>
  <si>
    <t>DK0061675006</t>
  </si>
  <si>
    <t>BNZFHC</t>
  </si>
  <si>
    <t>Hexagon AB Class B</t>
  </si>
  <si>
    <t>SE0015961909</t>
  </si>
  <si>
    <t>BNZG3G</t>
  </si>
  <si>
    <t>BrightBid Group AB</t>
  </si>
  <si>
    <t>SE0017937279</t>
  </si>
  <si>
    <t>BP09MR</t>
  </si>
  <si>
    <t>Swedish Match AB</t>
  </si>
  <si>
    <t>SE0015812219</t>
  </si>
  <si>
    <t>BP0PRM</t>
  </si>
  <si>
    <t>Adtraction Group AB</t>
  </si>
  <si>
    <t>SE0016833149</t>
  </si>
  <si>
    <t>BP268D</t>
  </si>
  <si>
    <t>Precomp Solutions AB Class B</t>
  </si>
  <si>
    <t>SE0006091724</t>
  </si>
  <si>
    <t>BP2NH9</t>
  </si>
  <si>
    <t>Lipum AB</t>
  </si>
  <si>
    <t>SE0015660899</t>
  </si>
  <si>
    <t>BP2NJ4</t>
  </si>
  <si>
    <t>Beijer Ref AB Class B</t>
  </si>
  <si>
    <t>SE0015949748</t>
  </si>
  <si>
    <t>BP2NQG</t>
  </si>
  <si>
    <t>Metabolic Nordic AB (publ)</t>
  </si>
  <si>
    <t>SE0015797352</t>
  </si>
  <si>
    <t>BP4BZG</t>
  </si>
  <si>
    <t>Solid Forsakringsaktiebolag</t>
  </si>
  <si>
    <t>SE0017082548</t>
  </si>
  <si>
    <t>BP4DDM</t>
  </si>
  <si>
    <t>Synsam AB</t>
  </si>
  <si>
    <t>SE0016829709</t>
  </si>
  <si>
    <t>BP4T2R</t>
  </si>
  <si>
    <t>Scandinavian Real Heart AB</t>
  </si>
  <si>
    <t>SE0023286836</t>
  </si>
  <si>
    <t>BP4T6K</t>
  </si>
  <si>
    <t>Momentum Group AB Class B</t>
  </si>
  <si>
    <t>SE0017562523</t>
  </si>
  <si>
    <t>BP4Y77</t>
  </si>
  <si>
    <t>Moberg Pharma AB</t>
  </si>
  <si>
    <t>SE0020353928</t>
  </si>
  <si>
    <t>BP68QT</t>
  </si>
  <si>
    <t>Careium AB</t>
  </si>
  <si>
    <t>SE0017131824</t>
  </si>
  <si>
    <t>BP6BS3</t>
  </si>
  <si>
    <t>NeoDynamics AB</t>
  </si>
  <si>
    <t>SE0021615655</t>
  </si>
  <si>
    <t>BP6FZN</t>
  </si>
  <si>
    <t>Fortnox AB</t>
  </si>
  <si>
    <t>SE0017161243</t>
  </si>
  <si>
    <t>BP6JFN</t>
  </si>
  <si>
    <t>XP Chemistries AB</t>
  </si>
  <si>
    <t>SE0016787279</t>
  </si>
  <si>
    <t>BP6KMJ</t>
  </si>
  <si>
    <t>Novo Nordisk A/S Class B</t>
  </si>
  <si>
    <t>DK0062498333</t>
  </si>
  <si>
    <t>BP6TX9</t>
  </si>
  <si>
    <t>Mestro AB</t>
  </si>
  <si>
    <t>SE0017071020</t>
  </si>
  <si>
    <t>BP6V22</t>
  </si>
  <si>
    <t>W5 Solutions AB</t>
  </si>
  <si>
    <t>SE0016786040</t>
  </si>
  <si>
    <t>BP6VKY</t>
  </si>
  <si>
    <t>ChargePanel AB</t>
  </si>
  <si>
    <t>SE0017083835</t>
  </si>
  <si>
    <t>BP7KZB</t>
  </si>
  <si>
    <t>First Venture Sweden AB Class B</t>
  </si>
  <si>
    <t>SE0016075451</t>
  </si>
  <si>
    <t>BP7L2R</t>
  </si>
  <si>
    <t>Rizzo Group AB Class B</t>
  </si>
  <si>
    <t>SE0016276109</t>
  </si>
  <si>
    <t>BP7M1B</t>
  </si>
  <si>
    <t>SmartCraft Group AB (publ)</t>
  </si>
  <si>
    <t>SE0027597691</t>
  </si>
  <si>
    <t>BP8161</t>
  </si>
  <si>
    <t>Electrolux AB Class B</t>
  </si>
  <si>
    <t>SE0016589188</t>
  </si>
  <si>
    <t>BP8KPN</t>
  </si>
  <si>
    <t>Norva24 Group AB</t>
  </si>
  <si>
    <t>SE0017084759</t>
  </si>
  <si>
    <t>BP8KQ8</t>
  </si>
  <si>
    <t>Momentum Software Group AB</t>
  </si>
  <si>
    <t>SE0017070907</t>
  </si>
  <si>
    <t>BP94RM</t>
  </si>
  <si>
    <t>4C Group AB</t>
  </si>
  <si>
    <t>SE0017936891</t>
  </si>
  <si>
    <t>BP95S1</t>
  </si>
  <si>
    <t>Bambuser AB</t>
  </si>
  <si>
    <t>SE0027099326</t>
  </si>
  <si>
    <t>BPBKTL</t>
  </si>
  <si>
    <t>Flerie AB</t>
  </si>
  <si>
    <t>SE0022447348</t>
  </si>
  <si>
    <t>BPBLWK</t>
  </si>
  <si>
    <t>Q-Interline A/S</t>
  </si>
  <si>
    <t>DK0061677135</t>
  </si>
  <si>
    <t>BPBMC2</t>
  </si>
  <si>
    <t>Alpcot Holding AB Class B</t>
  </si>
  <si>
    <t>SE0016845655</t>
  </si>
  <si>
    <t>BPBMJZ</t>
  </si>
  <si>
    <t>Relesys A/S</t>
  </si>
  <si>
    <t>DK0061680436</t>
  </si>
  <si>
    <t>BPBQNZ</t>
  </si>
  <si>
    <t>Karnell Group AB Class B</t>
  </si>
  <si>
    <t>SE0017832173</t>
  </si>
  <si>
    <t>BPCNTP</t>
  </si>
  <si>
    <t>LumenRadio AB</t>
  </si>
  <si>
    <t>SE0019072158</t>
  </si>
  <si>
    <t>BPCWWR</t>
  </si>
  <si>
    <t>FastPassCorp A/S</t>
  </si>
  <si>
    <t>DK0060568145</t>
  </si>
  <si>
    <t>BPDY9P</t>
  </si>
  <si>
    <t>Cinis Fertilizer AB</t>
  </si>
  <si>
    <t>SE0018040784</t>
  </si>
  <si>
    <t>BPF0JV</t>
  </si>
  <si>
    <t>Guard Therapeutics International AB</t>
  </si>
  <si>
    <t>SE0021181559</t>
  </si>
  <si>
    <t>BPG98N</t>
  </si>
  <si>
    <t>Logistea AB Class A</t>
  </si>
  <si>
    <t>SE0017131329</t>
  </si>
  <si>
    <t>BPG98W</t>
  </si>
  <si>
    <t>Resqunit AB</t>
  </si>
  <si>
    <t>SE0017131220</t>
  </si>
  <si>
    <t>BPGC74</t>
  </si>
  <si>
    <t>Oneflow AB</t>
  </si>
  <si>
    <t>SE0017564461</t>
  </si>
  <si>
    <t>BPH05P</t>
  </si>
  <si>
    <t>Creaspac AB</t>
  </si>
  <si>
    <t>SE0022448551</t>
  </si>
  <si>
    <t>BPK3K2</t>
  </si>
  <si>
    <t>Online Brands Nordic AB</t>
  </si>
  <si>
    <t>SE0017133838</t>
  </si>
  <si>
    <t>BPK7XQ</t>
  </si>
  <si>
    <t>Cortus Energy AB</t>
  </si>
  <si>
    <t>SE0021513108</t>
  </si>
  <si>
    <t>BPKBZ5</t>
  </si>
  <si>
    <t>MTI Investment AB</t>
  </si>
  <si>
    <t>SE0017105539</t>
  </si>
  <si>
    <t>BPLF2P</t>
  </si>
  <si>
    <t>Circle Energy Sweden AB Class B</t>
  </si>
  <si>
    <t>SE0017483175</t>
  </si>
  <si>
    <t>BPLG32</t>
  </si>
  <si>
    <t>BeammWave AB Class B</t>
  </si>
  <si>
    <t>SE0016799068</t>
  </si>
  <si>
    <t>BPMQMP</t>
  </si>
  <si>
    <t>Wihlborgs Fastigheter AB</t>
  </si>
  <si>
    <t>SE0018012635</t>
  </si>
  <si>
    <t>BPMRNZ</t>
  </si>
  <si>
    <t>Fastighets AB Balder Class B</t>
  </si>
  <si>
    <t>SE0017832488</t>
  </si>
  <si>
    <t>BPNW39</t>
  </si>
  <si>
    <t>Siljansvik AB</t>
  </si>
  <si>
    <t>SE0000201253</t>
  </si>
  <si>
    <t>BPQCD5</t>
  </si>
  <si>
    <t>Sibek AB</t>
  </si>
  <si>
    <t>SE0020050359</t>
  </si>
  <si>
    <t>BPQDP9</t>
  </si>
  <si>
    <t>Skolon AB</t>
  </si>
  <si>
    <t>SE0017615784</t>
  </si>
  <si>
    <t>BPSLSY</t>
  </si>
  <si>
    <t>High Coast Distillery AB Class B</t>
  </si>
  <si>
    <t>SE0003848613</t>
  </si>
  <si>
    <t>BPV8VP</t>
  </si>
  <si>
    <t>Instalco AB</t>
  </si>
  <si>
    <t>SE0017483506</t>
  </si>
  <si>
    <t>BPVLQV</t>
  </si>
  <si>
    <t>DDM Holding AG</t>
  </si>
  <si>
    <t>CH0246292343</t>
  </si>
  <si>
    <t>BPW63P</t>
  </si>
  <si>
    <t>Arctic Blue Beverages AB</t>
  </si>
  <si>
    <t>SE0017769136</t>
  </si>
  <si>
    <t>BPW677</t>
  </si>
  <si>
    <t>Northgold AB</t>
  </si>
  <si>
    <t>SE0017131071</t>
  </si>
  <si>
    <t>BPX36K</t>
  </si>
  <si>
    <t>BioGaia AB Class B</t>
  </si>
  <si>
    <t>SE0017769995</t>
  </si>
  <si>
    <t>BPXW7F</t>
  </si>
  <si>
    <t>Svitzer Group A/S</t>
  </si>
  <si>
    <t>DK0062616637</t>
  </si>
  <si>
    <t>BPXZH2</t>
  </si>
  <si>
    <t>Saab AB Class B</t>
  </si>
  <si>
    <t>SE0021921269</t>
  </si>
  <si>
    <t>BPXZNN</t>
  </si>
  <si>
    <t>Grangex AB</t>
  </si>
  <si>
    <t>SE0018014243</t>
  </si>
  <si>
    <t>BPY3Y8</t>
  </si>
  <si>
    <t>Transcom WorldWide AB</t>
  </si>
  <si>
    <t>SE0006168316</t>
  </si>
  <si>
    <t>BPYTZ5</t>
  </si>
  <si>
    <t>Boliden AB</t>
  </si>
  <si>
    <t>SE0020050417</t>
  </si>
  <si>
    <t>BQ2KM7</t>
  </si>
  <si>
    <t>KB Components AB</t>
  </si>
  <si>
    <t>SE0022725743</t>
  </si>
  <si>
    <t>BQ3QCS</t>
  </si>
  <si>
    <t>Medivir AB</t>
  </si>
  <si>
    <t>SE0020181014</t>
  </si>
  <si>
    <t>BQ3QQ5</t>
  </si>
  <si>
    <t>Intea Fastigheter AB Class B</t>
  </si>
  <si>
    <t>SE0017072259</t>
  </si>
  <si>
    <t>BQ7ZP1</t>
  </si>
  <si>
    <t>Promimic AB</t>
  </si>
  <si>
    <t>SE0017487242</t>
  </si>
  <si>
    <t>BQB2D7</t>
  </si>
  <si>
    <t>Ortelius International AB (publ)</t>
  </si>
  <si>
    <t>SE0020551679</t>
  </si>
  <si>
    <t>BQBBC5</t>
  </si>
  <si>
    <t>Goodbye Kansas Group AB</t>
  </si>
  <si>
    <t>SE0021627353</t>
  </si>
  <si>
    <t>BQD35G</t>
  </si>
  <si>
    <t>Climeon AB Class B</t>
  </si>
  <si>
    <t>SE0023837182</t>
  </si>
  <si>
    <t>BQD3JZ</t>
  </si>
  <si>
    <t>NYAB AB</t>
  </si>
  <si>
    <t>SE0022242434</t>
  </si>
  <si>
    <t>BQFPRB</t>
  </si>
  <si>
    <t>Nordrest Holding AB</t>
  </si>
  <si>
    <t>SE0022088217</t>
  </si>
  <si>
    <t>BQH886</t>
  </si>
  <si>
    <t>RightBridge Ventures Group AB</t>
  </si>
  <si>
    <t>SE0019070749</t>
  </si>
  <si>
    <t>BQLPKK</t>
  </si>
  <si>
    <t>Moment Group AB</t>
  </si>
  <si>
    <t>SE0020388932</t>
  </si>
  <si>
    <t>BQLPLX</t>
  </si>
  <si>
    <t>Sensys Gatso Group AB</t>
  </si>
  <si>
    <t>SE0020356244</t>
  </si>
  <si>
    <t>BQLQ67</t>
  </si>
  <si>
    <t>Brock Milton Capital AB</t>
  </si>
  <si>
    <t>SE0022757860</t>
  </si>
  <si>
    <t>BQPW73</t>
  </si>
  <si>
    <t>Absolent Air Care Group AB</t>
  </si>
  <si>
    <t>SE0006256558</t>
  </si>
  <si>
    <t>BQPWC6</t>
  </si>
  <si>
    <t>Italeaf S.p.A. Swedish depository receipt</t>
  </si>
  <si>
    <t>SE0006143103</t>
  </si>
  <si>
    <t>BQS92L</t>
  </si>
  <si>
    <t>New Wave Group AB Class B</t>
  </si>
  <si>
    <t>SE0020356970</t>
  </si>
  <si>
    <t>BQSV6R</t>
  </si>
  <si>
    <t>Advenica AB</t>
  </si>
  <si>
    <t>SE0006219473</t>
  </si>
  <si>
    <t>BQV0QL</t>
  </si>
  <si>
    <t>Oboya Horticulture Industries AB Class B</t>
  </si>
  <si>
    <t>SE0006259834</t>
  </si>
  <si>
    <t>BQV3S2</t>
  </si>
  <si>
    <t>Alligator Bioscience AB</t>
  </si>
  <si>
    <t>SE0024173637</t>
  </si>
  <si>
    <t>BQWNK2</t>
  </si>
  <si>
    <t>Webrock Ventures AB</t>
  </si>
  <si>
    <t>SE0016278139</t>
  </si>
  <si>
    <t>BQY78Q</t>
  </si>
  <si>
    <t>Inwido AB</t>
  </si>
  <si>
    <t>SE0006220018</t>
  </si>
  <si>
    <t>BR1XYJ</t>
  </si>
  <si>
    <t>Hoylu AB</t>
  </si>
  <si>
    <t>SE0020677854</t>
  </si>
  <si>
    <t>BR53PM</t>
  </si>
  <si>
    <t>Svenska Aerogel Holding AB</t>
  </si>
  <si>
    <t>SE0023440557</t>
  </si>
  <si>
    <t>BR53R8</t>
  </si>
  <si>
    <t>Sileon AB</t>
  </si>
  <si>
    <t>SE0023440748</t>
  </si>
  <si>
    <t>BRBFS7</t>
  </si>
  <si>
    <t>Xbrane Biopharma AB</t>
  </si>
  <si>
    <t>SE0026598583</t>
  </si>
  <si>
    <t>BRBHN7</t>
  </si>
  <si>
    <t>OODA AI AB (publ)</t>
  </si>
  <si>
    <t>SE0020699296</t>
  </si>
  <si>
    <t>BRBSF2</t>
  </si>
  <si>
    <t>Chordate Medical Holding AB</t>
  </si>
  <si>
    <t>SE0022726139</t>
  </si>
  <si>
    <t>BRC3MR</t>
  </si>
  <si>
    <t>Sectra AB Class B</t>
  </si>
  <si>
    <t>SE0022419784</t>
  </si>
  <si>
    <t>BRC80W</t>
  </si>
  <si>
    <t>Nordic Flanges Group AB</t>
  </si>
  <si>
    <t>SE0023641311</t>
  </si>
  <si>
    <t>BRCD25</t>
  </si>
  <si>
    <t>Clemondo Group AB</t>
  </si>
  <si>
    <t>SE0023468400</t>
  </si>
  <si>
    <t>BRDXK9</t>
  </si>
  <si>
    <t>Clinical Laserthermia Systems AB Class B</t>
  </si>
  <si>
    <t>SE0022049920</t>
  </si>
  <si>
    <t>BRDY8X</t>
  </si>
  <si>
    <t>Kinnevik AB Class B</t>
  </si>
  <si>
    <t>SE0022060521</t>
  </si>
  <si>
    <t>BRJ3BP</t>
  </si>
  <si>
    <t>Granges AB</t>
  </si>
  <si>
    <t>SE0006288015</t>
  </si>
  <si>
    <t>BRJCHK</t>
  </si>
  <si>
    <t>ROCKWOOL A/S Class B</t>
  </si>
  <si>
    <t>DK0063855168</t>
  </si>
  <si>
    <t>BRJFQ4</t>
  </si>
  <si>
    <t>Premium Snacks Nordic AB</t>
  </si>
  <si>
    <t>SE0006260865</t>
  </si>
  <si>
    <t>BRJL08</t>
  </si>
  <si>
    <t>Safeture AB</t>
  </si>
  <si>
    <t>SE0006117297</t>
  </si>
  <si>
    <t>BRJQG4</t>
  </si>
  <si>
    <t>Bjorn Borg AB</t>
  </si>
  <si>
    <t>SE0021921327</t>
  </si>
  <si>
    <t>BRJQRH</t>
  </si>
  <si>
    <t>NanoEcho AB</t>
  </si>
  <si>
    <t>SE0017133705</t>
  </si>
  <si>
    <t>BRJX8C</t>
  </si>
  <si>
    <t>Strategic Partners A/S</t>
  </si>
  <si>
    <t>DK0062502894</t>
  </si>
  <si>
    <t>BRK0ZL</t>
  </si>
  <si>
    <t>Image Systems AB</t>
  </si>
  <si>
    <t>SE0006421871</t>
  </si>
  <si>
    <t>BRKD9V</t>
  </si>
  <si>
    <t>Berner Industrier AB Class B</t>
  </si>
  <si>
    <t>SE0006143129</t>
  </si>
  <si>
    <t>BRPT8W</t>
  </si>
  <si>
    <t>Apotea AB</t>
  </si>
  <si>
    <t>SE0023313762</t>
  </si>
  <si>
    <t>BRQNDG</t>
  </si>
  <si>
    <t>Arctic Minerals AB</t>
  </si>
  <si>
    <t>SE0024172779</t>
  </si>
  <si>
    <t>BRS7SK</t>
  </si>
  <si>
    <t>Volvo Car AB Class B</t>
  </si>
  <si>
    <t>SE0021628898</t>
  </si>
  <si>
    <t>BRT7KK</t>
  </si>
  <si>
    <t>ProstaLund AB</t>
  </si>
  <si>
    <t>SE0023468418</t>
  </si>
  <si>
    <t>BRV19N</t>
  </si>
  <si>
    <t>Spotr Group AB</t>
  </si>
  <si>
    <t>SE0025166416</t>
  </si>
  <si>
    <t>BRWK7C</t>
  </si>
  <si>
    <t>Saxlund Group AB</t>
  </si>
  <si>
    <t>SE0023439500</t>
  </si>
  <si>
    <t>BRX9VD</t>
  </si>
  <si>
    <t>Qualisys Holding AB</t>
  </si>
  <si>
    <t>SE0023837091</t>
  </si>
  <si>
    <t>BRXD8F</t>
  </si>
  <si>
    <t>Qlife Holding AB</t>
  </si>
  <si>
    <t>SE0022574331</t>
  </si>
  <si>
    <t>BRZRVC</t>
  </si>
  <si>
    <t>Zaplox AB</t>
  </si>
  <si>
    <t>SE0020354389</t>
  </si>
  <si>
    <t>BRZWLK</t>
  </si>
  <si>
    <t>Perpetua Medical AB Class B</t>
  </si>
  <si>
    <t>SE0022726311</t>
  </si>
  <si>
    <t>BS0CH6</t>
  </si>
  <si>
    <t>Qben Infra AB</t>
  </si>
  <si>
    <t>SE0023114012</t>
  </si>
  <si>
    <t>BS2G76</t>
  </si>
  <si>
    <t>PMD Device Solutions AB</t>
  </si>
  <si>
    <t>SE0021513645</t>
  </si>
  <si>
    <t>BS2H5Z</t>
  </si>
  <si>
    <t>ARENIT Industrie SE Swedish Depository Receipt</t>
  </si>
  <si>
    <t>SE0027767849</t>
  </si>
  <si>
    <t>BS2M41</t>
  </si>
  <si>
    <t>Silex Microsystems AB</t>
  </si>
  <si>
    <t>SE0028000190</t>
  </si>
  <si>
    <t>BS5WLL</t>
  </si>
  <si>
    <t>Prisma Properties AB</t>
  </si>
  <si>
    <t>SE0022062055</t>
  </si>
  <si>
    <t>BS6Q8H</t>
  </si>
  <si>
    <t>Eastnine AB</t>
  </si>
  <si>
    <t>SE0022050183</t>
  </si>
  <si>
    <t>BS7YJ3</t>
  </si>
  <si>
    <t>Annexin Pharmaceuticals AB</t>
  </si>
  <si>
    <t>SE0025159387</t>
  </si>
  <si>
    <t>BS85S9</t>
  </si>
  <si>
    <t>Rusta AB</t>
  </si>
  <si>
    <t>SE0020848356</t>
  </si>
  <si>
    <t>BSBJGP</t>
  </si>
  <si>
    <t>Byggmastare Anders J Ahlstrom Holding AB Class B</t>
  </si>
  <si>
    <t>SE0026876476</t>
  </si>
  <si>
    <t>BSD4GW</t>
  </si>
  <si>
    <t>AQ Group AB</t>
  </si>
  <si>
    <t>SE0022062196</t>
  </si>
  <si>
    <t>BSHW9C</t>
  </si>
  <si>
    <t>Kjell Group AB</t>
  </si>
  <si>
    <t>SE0028354936</t>
  </si>
  <si>
    <t>BSJMD3</t>
  </si>
  <si>
    <t>Sveafastigheter AB</t>
  </si>
  <si>
    <t>SE0022243812</t>
  </si>
  <si>
    <t>BSJN4T</t>
  </si>
  <si>
    <t>Fragbite Group AB</t>
  </si>
  <si>
    <t>SE0023287347</t>
  </si>
  <si>
    <t>BSJWY6</t>
  </si>
  <si>
    <t>Sprint Bioscience AB</t>
  </si>
  <si>
    <t>SE0006343745</t>
  </si>
  <si>
    <t>BSL79B</t>
  </si>
  <si>
    <t>Humble Group AB</t>
  </si>
  <si>
    <t>SE0006261046</t>
  </si>
  <si>
    <t>BSLNY3</t>
  </si>
  <si>
    <t>Enity Holding AB</t>
  </si>
  <si>
    <t>SE0025011554</t>
  </si>
  <si>
    <t>BSM8T6</t>
  </si>
  <si>
    <t>Arcoma AB</t>
  </si>
  <si>
    <t>SE0006219176</t>
  </si>
  <si>
    <t>BSMP8X</t>
  </si>
  <si>
    <t>Redwood Pharma AB</t>
  </si>
  <si>
    <t>SE0021512134</t>
  </si>
  <si>
    <t>BSNNYW</t>
  </si>
  <si>
    <t>Nobia AB</t>
  </si>
  <si>
    <t>SE0028900134</t>
  </si>
  <si>
    <t>BSNR2R</t>
  </si>
  <si>
    <t>GiG Software PLC Shs Swedish Depository Receipt Repr 1 Sh</t>
  </si>
  <si>
    <t>SE0022760229</t>
  </si>
  <si>
    <t>BSNTNP</t>
  </si>
  <si>
    <t>Herno Gin AB Class B</t>
  </si>
  <si>
    <t>SE0017767494</t>
  </si>
  <si>
    <t>BSPPLK</t>
  </si>
  <si>
    <t>Mantex AB</t>
  </si>
  <si>
    <t>SE0023467451</t>
  </si>
  <si>
    <t>BSQL97</t>
  </si>
  <si>
    <t>Compodium International AB</t>
  </si>
  <si>
    <t>SE0022088233</t>
  </si>
  <si>
    <t>BSQXJ0</t>
  </si>
  <si>
    <t>Thule Group AB</t>
  </si>
  <si>
    <t>SE0006422390</t>
  </si>
  <si>
    <t>BSRKCQ</t>
  </si>
  <si>
    <t>Asmodee Group AB Class B</t>
  </si>
  <si>
    <t>SE0023615638</t>
  </si>
  <si>
    <t>BSSDQ6</t>
  </si>
  <si>
    <t>Morrow Bank AB</t>
  </si>
  <si>
    <t>SE0026852725</t>
  </si>
  <si>
    <t>BSTQ1P</t>
  </si>
  <si>
    <t>Cavotec Group AB</t>
  </si>
  <si>
    <t>SE0025010887</t>
  </si>
  <si>
    <t>BSWVRB</t>
  </si>
  <si>
    <t>Hitech &amp; Development Wireless Sweden Holding AB Class B</t>
  </si>
  <si>
    <t>SE0025471501</t>
  </si>
  <si>
    <t>BSXNDR</t>
  </si>
  <si>
    <t>VA Automotive i Hassleholm AB</t>
  </si>
  <si>
    <t>SE0006426508</t>
  </si>
  <si>
    <t>BSZC18</t>
  </si>
  <si>
    <t>WS WeSports Group AB</t>
  </si>
  <si>
    <t>SE0026853335</t>
  </si>
  <si>
    <t>BSZC4B</t>
  </si>
  <si>
    <t>Wyld Networks AB</t>
  </si>
  <si>
    <t>SE0027099078</t>
  </si>
  <si>
    <t>BT03J3</t>
  </si>
  <si>
    <t>Bio Vitos Pharma AB</t>
  </si>
  <si>
    <t>SE0023286919</t>
  </si>
  <si>
    <t>BT19RL</t>
  </si>
  <si>
    <t>Cinclus Pharma Holding AB</t>
  </si>
  <si>
    <t>SE0020388577</t>
  </si>
  <si>
    <t>BT25WT</t>
  </si>
  <si>
    <t>Lea Bank AB</t>
  </si>
  <si>
    <t>SE0023261300</t>
  </si>
  <si>
    <t>BT26JH</t>
  </si>
  <si>
    <t>Terranor Group AB</t>
  </si>
  <si>
    <t>SE0025159023</t>
  </si>
  <si>
    <t>BT6SSF</t>
  </si>
  <si>
    <t>NP3 Fastigheter AB</t>
  </si>
  <si>
    <t>SE0006342333</t>
  </si>
  <si>
    <t>BT8PB0</t>
  </si>
  <si>
    <t>Qbim Aktiebolag</t>
  </si>
  <si>
    <t>SE0025667009</t>
  </si>
  <si>
    <t>BT8V5L</t>
  </si>
  <si>
    <t>Q-linea AB</t>
  </si>
  <si>
    <t>SE0025420714</t>
  </si>
  <si>
    <t>BT9NC0</t>
  </si>
  <si>
    <t>ExpreS2ion Biotech Holding AB</t>
  </si>
  <si>
    <t>SE0023261292</t>
  </si>
  <si>
    <t>BTCJ26</t>
  </si>
  <si>
    <t>Asker Healthcare Group AB</t>
  </si>
  <si>
    <t>SE0024171458</t>
  </si>
  <si>
    <t>BTHH8L</t>
  </si>
  <si>
    <t>PowerCell Sweden AB</t>
  </si>
  <si>
    <t>SE0006425815</t>
  </si>
  <si>
    <t>BTHW92</t>
  </si>
  <si>
    <t>Embracer Group AB Class B</t>
  </si>
  <si>
    <t>SE0023615885</t>
  </si>
  <si>
    <t>BTHZ67</t>
  </si>
  <si>
    <t>Bufab AB</t>
  </si>
  <si>
    <t>SE0025010671</t>
  </si>
  <si>
    <t>BTJHKD</t>
  </si>
  <si>
    <t>Stendoerren Fastigheter AB Class B</t>
  </si>
  <si>
    <t>SE0006543344</t>
  </si>
  <si>
    <t>BTJR9L</t>
  </si>
  <si>
    <t>Klovern AB Class A</t>
  </si>
  <si>
    <t>SE0006593901</t>
  </si>
  <si>
    <t>BTMHZL</t>
  </si>
  <si>
    <t>Avarda Bank AB</t>
  </si>
  <si>
    <t>SE0025666969</t>
  </si>
  <si>
    <t>BTQLTN</t>
  </si>
  <si>
    <t>Cell Impact AB</t>
  </si>
  <si>
    <t>SE0025940513</t>
  </si>
  <si>
    <t>BTXSLB</t>
  </si>
  <si>
    <t>Mycronic AB</t>
  </si>
  <si>
    <t>SE0025158629</t>
  </si>
  <si>
    <t>BTXYPL</t>
  </si>
  <si>
    <t>Atrium Ljungberg AB Class B</t>
  </si>
  <si>
    <t>SE0024320832</t>
  </si>
  <si>
    <t>BTY1NF</t>
  </si>
  <si>
    <t>Fingerprint Cards AB Class B</t>
  </si>
  <si>
    <t>SE0026141665</t>
  </si>
  <si>
    <t>BTZP1S</t>
  </si>
  <si>
    <t>WindowMaster International A/S</t>
  </si>
  <si>
    <t>DK0064532444</t>
  </si>
  <si>
    <t>BV0W0M</t>
  </si>
  <si>
    <t>Roko AB Class B</t>
  </si>
  <si>
    <t>SE0023950795</t>
  </si>
  <si>
    <t>BV5F91</t>
  </si>
  <si>
    <t>Hacksaw AB</t>
  </si>
  <si>
    <t>SE0025138357</t>
  </si>
  <si>
    <t>BV7KK1</t>
  </si>
  <si>
    <t>TrustBuddy AB</t>
  </si>
  <si>
    <t>SE0006600037</t>
  </si>
  <si>
    <t>BV9FNZ</t>
  </si>
  <si>
    <t>Cline Scientific AB Class B</t>
  </si>
  <si>
    <t>SE0006758231</t>
  </si>
  <si>
    <t>BVB30K</t>
  </si>
  <si>
    <t>Newton Nordic AB</t>
  </si>
  <si>
    <t>SE0006504353</t>
  </si>
  <si>
    <t>BVD9HL</t>
  </si>
  <si>
    <t>Coffee Stain Group AB Class B</t>
  </si>
  <si>
    <t>SE0026599557</t>
  </si>
  <si>
    <t>BVFB41</t>
  </si>
  <si>
    <t>Dustin Group AB</t>
  </si>
  <si>
    <t>SE0006625471</t>
  </si>
  <si>
    <t>BVFZND</t>
  </si>
  <si>
    <t>Hoist Finance AB</t>
  </si>
  <si>
    <t>SE0006887063</t>
  </si>
  <si>
    <t>BVGBXG</t>
  </si>
  <si>
    <t>Cantargia AB</t>
  </si>
  <si>
    <t>SE0006371126</t>
  </si>
  <si>
    <t>BVGH0K</t>
  </si>
  <si>
    <t>Axfood AB</t>
  </si>
  <si>
    <t>SE0006993770</t>
  </si>
  <si>
    <t>BVGH1M</t>
  </si>
  <si>
    <t>Ivisys AB</t>
  </si>
  <si>
    <t>SE0006800439</t>
  </si>
  <si>
    <t>BVMN15</t>
  </si>
  <si>
    <t>Verisure Plc</t>
  </si>
  <si>
    <t>GB00BVMN1558</t>
  </si>
  <si>
    <t>BVPMRL</t>
  </si>
  <si>
    <t>Fingerprint Cards Npv (Post Split)</t>
  </si>
  <si>
    <t>BVQZFX</t>
  </si>
  <si>
    <t>Biosergen AB</t>
  </si>
  <si>
    <t>SE0026821852</t>
  </si>
  <si>
    <t>BVRZ9V</t>
  </si>
  <si>
    <t>Eltel AB</t>
  </si>
  <si>
    <t>SE0006509949</t>
  </si>
  <si>
    <t>BVXC38</t>
  </si>
  <si>
    <t>Lexington Co. AB</t>
  </si>
  <si>
    <t>SE0006510640</t>
  </si>
  <si>
    <t>BVXLCF</t>
  </si>
  <si>
    <t>OrganoClick AB</t>
  </si>
  <si>
    <t>SE0006510335</t>
  </si>
  <si>
    <t>BVY9R3</t>
  </si>
  <si>
    <t>Vivoline Medical AB</t>
  </si>
  <si>
    <t>SE0006764387</t>
  </si>
  <si>
    <t>BVY9T3</t>
  </si>
  <si>
    <t>Optima Worldwide Group Limited.</t>
  </si>
  <si>
    <t>GB00B6S0HR95</t>
  </si>
  <si>
    <t>BVZHXJ</t>
  </si>
  <si>
    <t>NNIT A/S</t>
  </si>
  <si>
    <t>DK0060580512</t>
  </si>
  <si>
    <t>BW2FS0</t>
  </si>
  <si>
    <t>Guldbrev Holding AB</t>
  </si>
  <si>
    <t>SE0025667033</t>
  </si>
  <si>
    <t>BWD64P</t>
  </si>
  <si>
    <t>Subgen AI AB</t>
  </si>
  <si>
    <t>SE0026820854</t>
  </si>
  <si>
    <t>BWFDCD</t>
  </si>
  <si>
    <t>Transtema Group AB</t>
  </si>
  <si>
    <t>SE0006758587</t>
  </si>
  <si>
    <t>BWK9MH</t>
  </si>
  <si>
    <t>Arctic Falls AB</t>
  </si>
  <si>
    <t>SE0026821076</t>
  </si>
  <si>
    <t>BWVFY9</t>
  </si>
  <si>
    <t>Nanexa AB</t>
  </si>
  <si>
    <t>SE0007074166</t>
  </si>
  <si>
    <t>BWX5GV</t>
  </si>
  <si>
    <t>SpectrumOne AB</t>
  </si>
  <si>
    <t>SE0006994448</t>
  </si>
  <si>
    <t>BWXTN9</t>
  </si>
  <si>
    <t>Tobii AB</t>
  </si>
  <si>
    <t>SE0002591420</t>
  </si>
  <si>
    <t>BX1BCV</t>
  </si>
  <si>
    <t>Insplorion AB</t>
  </si>
  <si>
    <t>SE0006994943</t>
  </si>
  <si>
    <t>BX3JP9</t>
  </si>
  <si>
    <t>Nosa Plugs AB</t>
  </si>
  <si>
    <t>SE0006994539</t>
  </si>
  <si>
    <t>BX8ZX2</t>
  </si>
  <si>
    <t>Royal Unibrew A/S</t>
  </si>
  <si>
    <t>DK0060634707</t>
  </si>
  <si>
    <t>BXBZB0</t>
  </si>
  <si>
    <t>Hexpol AB Class B</t>
  </si>
  <si>
    <t>SE0007074281</t>
  </si>
  <si>
    <t>BXDZ97</t>
  </si>
  <si>
    <t>Tryg A/S</t>
  </si>
  <si>
    <t>DK0060636678</t>
  </si>
  <si>
    <t>BXDZ9Q</t>
  </si>
  <si>
    <t>Svenska Handelsbanken AB Class A</t>
  </si>
  <si>
    <t>SE0007100599</t>
  </si>
  <si>
    <t>BXRTNW</t>
  </si>
  <si>
    <t>Hemfosa Fastigheter AB</t>
  </si>
  <si>
    <t>SE0007126115</t>
  </si>
  <si>
    <t>BYL6RK</t>
  </si>
  <si>
    <t>Oriflame Holding AG</t>
  </si>
  <si>
    <t>CH0256424794</t>
  </si>
  <si>
    <t>BYM4RQ</t>
  </si>
  <si>
    <t>Aino Health AB</t>
  </si>
  <si>
    <t>SE0009242555</t>
  </si>
  <si>
    <t>BYMFTM</t>
  </si>
  <si>
    <t>Alzinova AB</t>
  </si>
  <si>
    <t>SE0007413455</t>
  </si>
  <si>
    <t>BYMK29</t>
  </si>
  <si>
    <t>RealXState AB Pref.Shs</t>
  </si>
  <si>
    <t>SE0007075015</t>
  </si>
  <si>
    <t>BYMLCV</t>
  </si>
  <si>
    <t>ChronTech Pharma AB</t>
  </si>
  <si>
    <t>SE0007603220</t>
  </si>
  <si>
    <t>BYMM00</t>
  </si>
  <si>
    <t>Per Aarsleff Holding A/S Class B</t>
  </si>
  <si>
    <t>DK0060700516</t>
  </si>
  <si>
    <t>BYNC34</t>
  </si>
  <si>
    <t>Wise Group AB</t>
  </si>
  <si>
    <t>SE0007277876</t>
  </si>
  <si>
    <t>BYP990</t>
  </si>
  <si>
    <t>Waystream Group AB</t>
  </si>
  <si>
    <t>SE0007577077</t>
  </si>
  <si>
    <t>BYPBRY</t>
  </si>
  <si>
    <t>Enea AB</t>
  </si>
  <si>
    <t>SE0009697220</t>
  </si>
  <si>
    <t>BYPC1T</t>
  </si>
  <si>
    <t>ASSA ABLOY AB Class B</t>
  </si>
  <si>
    <t>SE0007100581</t>
  </si>
  <si>
    <t>BYPHDF</t>
  </si>
  <si>
    <t>Hedera Group AB</t>
  </si>
  <si>
    <t>SE0007815113</t>
  </si>
  <si>
    <t>BYPJVM</t>
  </si>
  <si>
    <t>Litium AB</t>
  </si>
  <si>
    <t>SE0007387246</t>
  </si>
  <si>
    <t>BYQ5LG</t>
  </si>
  <si>
    <t>Toleranzia AB</t>
  </si>
  <si>
    <t>SE0007438577</t>
  </si>
  <si>
    <t>BYQ7CQ</t>
  </si>
  <si>
    <t>Cyber Security 1 AB</t>
  </si>
  <si>
    <t>SE0007604061</t>
  </si>
  <si>
    <t>BYQH6T</t>
  </si>
  <si>
    <t>Karlbergsvagen 77 Fastighets AB Pfd Registered Shs</t>
  </si>
  <si>
    <t>SE0009470230</t>
  </si>
  <si>
    <t>BYQMFK</t>
  </si>
  <si>
    <t>Medicover AB Class B</t>
  </si>
  <si>
    <t>SE0009778848</t>
  </si>
  <si>
    <t>BYQNLM</t>
  </si>
  <si>
    <t>Wilson Therapeutics AB</t>
  </si>
  <si>
    <t>SE0008293674</t>
  </si>
  <si>
    <t>BYQP7X</t>
  </si>
  <si>
    <t>Investment AB Oresund</t>
  </si>
  <si>
    <t>SE0008321608</t>
  </si>
  <si>
    <t>BYQR55</t>
  </si>
  <si>
    <t>Navigo Invest AB SEK 9.50 Cum Pref Registered Shs</t>
  </si>
  <si>
    <t>SE0007100540</t>
  </si>
  <si>
    <t>BYR8C8</t>
  </si>
  <si>
    <t>Corline Biomedical AB</t>
  </si>
  <si>
    <t>SE0006887451</t>
  </si>
  <si>
    <t>BYR8G5</t>
  </si>
  <si>
    <t>SciBase Holding AB</t>
  </si>
  <si>
    <t>SE0007045414</t>
  </si>
  <si>
    <t>BYR8YW</t>
  </si>
  <si>
    <t>SpectraCure AB</t>
  </si>
  <si>
    <t>SE0007158118</t>
  </si>
  <si>
    <t>BYRYDN</t>
  </si>
  <si>
    <t>SolTech Energy Sweden AB</t>
  </si>
  <si>
    <t>SE0005392537</t>
  </si>
  <si>
    <t>BYSG4B</t>
  </si>
  <si>
    <t>hubbr AB Class B</t>
  </si>
  <si>
    <t>SE0007227673</t>
  </si>
  <si>
    <t>BYSQ3D</t>
  </si>
  <si>
    <t>TORM A/S Class A</t>
  </si>
  <si>
    <t>DK0060654812</t>
  </si>
  <si>
    <t>BYSS4Q</t>
  </si>
  <si>
    <t>DFDS A/S</t>
  </si>
  <si>
    <t>DK0060655629</t>
  </si>
  <si>
    <t>BYSXJB</t>
  </si>
  <si>
    <t>Dometic Group AB</t>
  </si>
  <si>
    <t>SE0007691613</t>
  </si>
  <si>
    <t>BYSXJH</t>
  </si>
  <si>
    <t>Scandic Hotels Group AB</t>
  </si>
  <si>
    <t>SE0007640156</t>
  </si>
  <si>
    <t>BYSXWM</t>
  </si>
  <si>
    <t>Pomegranate Investment AB</t>
  </si>
  <si>
    <t>SE0006117511</t>
  </si>
  <si>
    <t>BYSXY2</t>
  </si>
  <si>
    <t>Lauritz.com Group A/S</t>
  </si>
  <si>
    <t>DK0060733368</t>
  </si>
  <si>
    <t>BYSY2K</t>
  </si>
  <si>
    <t>Kindred Group plc Shs Swedish Depository Receipts</t>
  </si>
  <si>
    <t>SE0007871645</t>
  </si>
  <si>
    <t>BYT05N</t>
  </si>
  <si>
    <t>Bonasudden Holding AB</t>
  </si>
  <si>
    <t>SE0007157953</t>
  </si>
  <si>
    <t>BYT16L</t>
  </si>
  <si>
    <t>Orsted</t>
  </si>
  <si>
    <t>DK0060094928</t>
  </si>
  <si>
    <t>BYT3XS</t>
  </si>
  <si>
    <t>Solnaberg Property AB</t>
  </si>
  <si>
    <t>SE0009155211</t>
  </si>
  <si>
    <t>BYTHBX</t>
  </si>
  <si>
    <t>SE0007185681</t>
  </si>
  <si>
    <t>BYV1HV</t>
  </si>
  <si>
    <t>SeaTwirl AB</t>
  </si>
  <si>
    <t>SE0009242175</t>
  </si>
  <si>
    <t>BYV2ZW</t>
  </si>
  <si>
    <t>VIMAB Group AB</t>
  </si>
  <si>
    <t>SE0007439633</t>
  </si>
  <si>
    <t>BYVF82</t>
  </si>
  <si>
    <t>Trention AB</t>
  </si>
  <si>
    <t>SE0008348767</t>
  </si>
  <si>
    <t>BYVG9J</t>
  </si>
  <si>
    <t>GomSpace Group AB</t>
  </si>
  <si>
    <t>SE0008348304</t>
  </si>
  <si>
    <t>BYVHTY</t>
  </si>
  <si>
    <t>Tempest Security AB</t>
  </si>
  <si>
    <t>SE0010469221</t>
  </si>
  <si>
    <t>BYVLJH</t>
  </si>
  <si>
    <t>OXE Marine AB</t>
  </si>
  <si>
    <t>SE0009888613</t>
  </si>
  <si>
    <t>BYVSFM</t>
  </si>
  <si>
    <t>Gabather AB</t>
  </si>
  <si>
    <t>SE0010869552</t>
  </si>
  <si>
    <t>BYVWKM</t>
  </si>
  <si>
    <t>Corem Property Group AB Class A</t>
  </si>
  <si>
    <t>SE0010714279</t>
  </si>
  <si>
    <t>BYVY88</t>
  </si>
  <si>
    <t>K33 AB</t>
  </si>
  <si>
    <t>SE0007614722</t>
  </si>
  <si>
    <t>BYW5R2</t>
  </si>
  <si>
    <t>Cinnober Financial Technology AB Class B</t>
  </si>
  <si>
    <t>SE0010023556</t>
  </si>
  <si>
    <t>BYWH09</t>
  </si>
  <si>
    <t>Fram Skandinavien AB Class B</t>
  </si>
  <si>
    <t>SE0010296269</t>
  </si>
  <si>
    <t>BYWHF3</t>
  </si>
  <si>
    <t>Bahnhof AB Class B</t>
  </si>
  <si>
    <t>SE0010442418</t>
  </si>
  <si>
    <t>BYWKGQ</t>
  </si>
  <si>
    <t>Camurus AB</t>
  </si>
  <si>
    <t>SE0007692850</t>
  </si>
  <si>
    <t>BYWKL6</t>
  </si>
  <si>
    <t>TC Tech Sweden AB</t>
  </si>
  <si>
    <t>SE0007603170</t>
  </si>
  <si>
    <t>BYWR3B</t>
  </si>
  <si>
    <t>Azelio AB</t>
  </si>
  <si>
    <t>SE0011973940</t>
  </si>
  <si>
    <t>BYWR8Y</t>
  </si>
  <si>
    <t>Cibus Real Estate AB (publ)</t>
  </si>
  <si>
    <t>SE0010832204</t>
  </si>
  <si>
    <t>BYWWQL</t>
  </si>
  <si>
    <t>Vicore Pharma Holding AB</t>
  </si>
  <si>
    <t>SE0007577895</t>
  </si>
  <si>
    <t>BYX1Y3</t>
  </si>
  <si>
    <t>Klaria Pharma Holding AB</t>
  </si>
  <si>
    <t>SE0007280326</t>
  </si>
  <si>
    <t>BYX316</t>
  </si>
  <si>
    <t>AlzeCure Pharma AB</t>
  </si>
  <si>
    <t>SE0010133785</t>
  </si>
  <si>
    <t>BYX33Q</t>
  </si>
  <si>
    <t>SJF Bank A/S</t>
  </si>
  <si>
    <t>DK0060670776</t>
  </si>
  <si>
    <t>BYX4YY</t>
  </si>
  <si>
    <t>Brinova Fastigheter AB Class B</t>
  </si>
  <si>
    <t>SE0008347652</t>
  </si>
  <si>
    <t>BYX5X2</t>
  </si>
  <si>
    <t>Crunchfish AB</t>
  </si>
  <si>
    <t>SE0009190192</t>
  </si>
  <si>
    <t>BYXH7R</t>
  </si>
  <si>
    <t>Anoto Group AB</t>
  </si>
  <si>
    <t>SE0010415281</t>
  </si>
  <si>
    <t>BYXKYS</t>
  </si>
  <si>
    <t>Cherry AB Class B</t>
  </si>
  <si>
    <t>SE0010133256</t>
  </si>
  <si>
    <t>BYXPJQ</t>
  </si>
  <si>
    <t>Ambea AB</t>
  </si>
  <si>
    <t>SE0009663826</t>
  </si>
  <si>
    <t>BYXPRF</t>
  </si>
  <si>
    <t>Sonetel AB</t>
  </si>
  <si>
    <t>SE0009580517</t>
  </si>
  <si>
    <t>BYXPY4</t>
  </si>
  <si>
    <t>Unibap Space Solutions AB</t>
  </si>
  <si>
    <t>SE0009606809</t>
  </si>
  <si>
    <t>BYXS1Z</t>
  </si>
  <si>
    <t>Axolot Solutions Holding AB</t>
  </si>
  <si>
    <t>SE0009414303</t>
  </si>
  <si>
    <t>BYXS5D</t>
  </si>
  <si>
    <t>Initiator Pharma A/S</t>
  </si>
  <si>
    <t>DK0060775872</t>
  </si>
  <si>
    <t>BYXTXZ</t>
  </si>
  <si>
    <t>Infant Bacterial Therapeutics AB Class B</t>
  </si>
  <si>
    <t>SE0008015259</t>
  </si>
  <si>
    <t>BYXX82</t>
  </si>
  <si>
    <t>Storytel AB Class B</t>
  </si>
  <si>
    <t>SE0007439443</t>
  </si>
  <si>
    <t>BYY000</t>
  </si>
  <si>
    <t>eCom Teams Sweden AB</t>
  </si>
  <si>
    <t>SE0007186176</t>
  </si>
  <si>
    <t>BYY1RS</t>
  </si>
  <si>
    <t>LeoVegas AB</t>
  </si>
  <si>
    <t>SE0008091904</t>
  </si>
  <si>
    <t>BYY7W0</t>
  </si>
  <si>
    <t>Enorama Pharma AB</t>
  </si>
  <si>
    <t>SE0008216329</t>
  </si>
  <si>
    <t>BYY8QJ</t>
  </si>
  <si>
    <t>Allgon AB Class B</t>
  </si>
  <si>
    <t>SE0008374003</t>
  </si>
  <si>
    <t>BYYK0P</t>
  </si>
  <si>
    <t>Karo Healthcare AB</t>
  </si>
  <si>
    <t>SE0007464888</t>
  </si>
  <si>
    <t>BYYMW7</t>
  </si>
  <si>
    <t>ByggPartner Gruppen AB</t>
  </si>
  <si>
    <t>SE0009242324</t>
  </si>
  <si>
    <t>BYYT6D</t>
  </si>
  <si>
    <t>Nilorngruppen AB Class B</t>
  </si>
  <si>
    <t>SE0007100342</t>
  </si>
  <si>
    <t>BYYTL0</t>
  </si>
  <si>
    <t>Nobina AB</t>
  </si>
  <si>
    <t>SE0007185418</t>
  </si>
  <si>
    <t>BYZ1X8</t>
  </si>
  <si>
    <t>Immunovia AB</t>
  </si>
  <si>
    <t>SE0006091997</t>
  </si>
  <si>
    <t>BYZ5QX</t>
  </si>
  <si>
    <t>Nanologica AB</t>
  </si>
  <si>
    <t>SE0005454873</t>
  </si>
  <si>
    <t>BYZ7PN</t>
  </si>
  <si>
    <t>Cereno Scientific AB Class B</t>
  </si>
  <si>
    <t>SE0008241558</t>
  </si>
  <si>
    <t>BYZBVD</t>
  </si>
  <si>
    <t>ISR Immune System Regulation Holding AB</t>
  </si>
  <si>
    <t>SE0008212195</t>
  </si>
  <si>
    <t>BYZG7C</t>
  </si>
  <si>
    <t>Coor Service Management Holding AB</t>
  </si>
  <si>
    <t>SE0007158829</t>
  </si>
  <si>
    <t>BYZGMM</t>
  </si>
  <si>
    <t>Scandinavian Tobacco Group A/S</t>
  </si>
  <si>
    <t>DK0060696300</t>
  </si>
  <si>
    <t>BYZJ8V</t>
  </si>
  <si>
    <t>Humana AB</t>
  </si>
  <si>
    <t>SE0008040653</t>
  </si>
  <si>
    <t>BYZJ8X</t>
  </si>
  <si>
    <t>Xintela AB</t>
  </si>
  <si>
    <t>SE0007756903</t>
  </si>
  <si>
    <t>BYZJSK</t>
  </si>
  <si>
    <t>BE Group AB</t>
  </si>
  <si>
    <t>SE0008321921</t>
  </si>
  <si>
    <t>BYZSBH</t>
  </si>
  <si>
    <t>Eolus AB Class B</t>
  </si>
  <si>
    <t>SE0007075056</t>
  </si>
  <si>
    <t>BYZT9W</t>
  </si>
  <si>
    <t>Alcadon Group AB</t>
  </si>
  <si>
    <t>SE0008732218</t>
  </si>
  <si>
    <t>BYZX74</t>
  </si>
  <si>
    <t>Marketing Group Plc</t>
  </si>
  <si>
    <t>GB00BYZX7449</t>
  </si>
  <si>
    <t>BYZYBF</t>
  </si>
  <si>
    <t>Minesto AB</t>
  </si>
  <si>
    <t>SE0007578141</t>
  </si>
  <si>
    <t>BYZYH3</t>
  </si>
  <si>
    <t>Catena Media plc</t>
  </si>
  <si>
    <t>MT0001000109</t>
  </si>
  <si>
    <t>BYZZ29</t>
  </si>
  <si>
    <t>Serneke Group AB Class B</t>
  </si>
  <si>
    <t>SE0007278841</t>
  </si>
  <si>
    <t>BYZZCP</t>
  </si>
  <si>
    <t>Magnolia Bostad AB</t>
  </si>
  <si>
    <t>SE0007074505</t>
  </si>
  <si>
    <t>BZ006R</t>
  </si>
  <si>
    <t>Volati AB</t>
  </si>
  <si>
    <t>SE0009143662</t>
  </si>
  <si>
    <t>BZ0071</t>
  </si>
  <si>
    <t>AcouSort AB</t>
  </si>
  <si>
    <t>SE0009189608</t>
  </si>
  <si>
    <t>BZ01RF</t>
  </si>
  <si>
    <t>Demant A/S</t>
  </si>
  <si>
    <t>DK0060738599</t>
  </si>
  <si>
    <t>BZ01VL</t>
  </si>
  <si>
    <t>TalkPool AG</t>
  </si>
  <si>
    <t>CH0322161768</t>
  </si>
  <si>
    <t>BZ01ZR</t>
  </si>
  <si>
    <t>Nilfisk Holding A/S</t>
  </si>
  <si>
    <t>DK0060907293</t>
  </si>
  <si>
    <t>BZ0427</t>
  </si>
  <si>
    <t>Agromino A/S</t>
  </si>
  <si>
    <t>DK0060823516</t>
  </si>
  <si>
    <t>BZ042H</t>
  </si>
  <si>
    <t>Kakel Max AB</t>
  </si>
  <si>
    <t>SE0009921075</t>
  </si>
  <si>
    <t>BZ0492</t>
  </si>
  <si>
    <t>Munters Group AB</t>
  </si>
  <si>
    <t>SE0009806607</t>
  </si>
  <si>
    <t>BZ0BD9</t>
  </si>
  <si>
    <t>Swedish Stirling AB</t>
  </si>
  <si>
    <t>SE0009143993</t>
  </si>
  <si>
    <t>BZ0CT9</t>
  </si>
  <si>
    <t>Pandox AB Class B</t>
  </si>
  <si>
    <t>SE0007100359</t>
  </si>
  <si>
    <t>BZ0P3X</t>
  </si>
  <si>
    <t>A Group of Retail Assets Sweden AB Class B</t>
  </si>
  <si>
    <t>SE0007158456</t>
  </si>
  <si>
    <t>BZ0XWN</t>
  </si>
  <si>
    <t>Hovding Sverige AB</t>
  </si>
  <si>
    <t>SE0007075262</t>
  </si>
  <si>
    <t>BZ0Y0T</t>
  </si>
  <si>
    <t>Alimak Group AB</t>
  </si>
  <si>
    <t>SE0007158910</t>
  </si>
  <si>
    <t>BZ0Y0W</t>
  </si>
  <si>
    <t>Nordax Group AB</t>
  </si>
  <si>
    <t>SE0006965216</t>
  </si>
  <si>
    <t>BZ145W</t>
  </si>
  <si>
    <t>MedCap AB</t>
  </si>
  <si>
    <t>SE0009160872</t>
  </si>
  <si>
    <t>BZ1DP2</t>
  </si>
  <si>
    <t>Bravida Holding AB</t>
  </si>
  <si>
    <t>SE0007491303</t>
  </si>
  <si>
    <t>BZ1HCP</t>
  </si>
  <si>
    <t>AdCityMedia AB</t>
  </si>
  <si>
    <t>SE0001920760</t>
  </si>
  <si>
    <t>BZ1LGV</t>
  </si>
  <si>
    <t>CybAero AB</t>
  </si>
  <si>
    <t>SE0010414250</t>
  </si>
  <si>
    <t>BZ1MDB</t>
  </si>
  <si>
    <t>Flexion Mobile Plc</t>
  </si>
  <si>
    <t>GB00BZ1MDB19</t>
  </si>
  <si>
    <t>BZ1N26</t>
  </si>
  <si>
    <t>Attendo AB</t>
  </si>
  <si>
    <t>SE0007666110</t>
  </si>
  <si>
    <t>BZ2Z2R</t>
  </si>
  <si>
    <t>Nordic Mines AB</t>
  </si>
  <si>
    <t>SE0007491105</t>
  </si>
  <si>
    <t>BZ30KS</t>
  </si>
  <si>
    <t>Boozt AB</t>
  </si>
  <si>
    <t>SE0009888738</t>
  </si>
  <si>
    <t>BZ30ML</t>
  </si>
  <si>
    <t>HMS Networks AB</t>
  </si>
  <si>
    <t>SE0009997018</t>
  </si>
  <si>
    <t>BZ3CNK</t>
  </si>
  <si>
    <t>TORM PLC Class A</t>
  </si>
  <si>
    <t>GB00BZ3CNK81</t>
  </si>
  <si>
    <t>BZ3G5Q</t>
  </si>
  <si>
    <t>Integrum AB Class B</t>
  </si>
  <si>
    <t>SE0009807266</t>
  </si>
  <si>
    <t>BZ404X</t>
  </si>
  <si>
    <t>Investment AB Latour Class B</t>
  </si>
  <si>
    <t>SE0010100958</t>
  </si>
  <si>
    <t>BZ58HD</t>
  </si>
  <si>
    <t>Polygiene Group AB</t>
  </si>
  <si>
    <t>SE0007692157</t>
  </si>
  <si>
    <t>BZ60MZ</t>
  </si>
  <si>
    <t>SenzaGen AB</t>
  </si>
  <si>
    <t>SE0010219626</t>
  </si>
  <si>
    <t>BZ6S4W</t>
  </si>
  <si>
    <t>SECITS Holding AB</t>
  </si>
  <si>
    <t>SE0009664436</t>
  </si>
  <si>
    <t>BZ6TLX</t>
  </si>
  <si>
    <t>Tre Kronor Property Investment AB</t>
  </si>
  <si>
    <t>SE0010169516</t>
  </si>
  <si>
    <t>BZ7PG5</t>
  </si>
  <si>
    <t>XMReality AB</t>
  </si>
  <si>
    <t>SE0009664188</t>
  </si>
  <si>
    <t>BZBXJW</t>
  </si>
  <si>
    <t>Bonava AB Class B</t>
  </si>
  <si>
    <t>SE0008091581</t>
  </si>
  <si>
    <t>BZBZTD</t>
  </si>
  <si>
    <t>Oncopeptides AB</t>
  </si>
  <si>
    <t>SE0009414576</t>
  </si>
  <si>
    <t>BZBZVG</t>
  </si>
  <si>
    <t>Intervacc AB</t>
  </si>
  <si>
    <t>SE0009607252</t>
  </si>
  <si>
    <t>BZCMXK</t>
  </si>
  <si>
    <t>Realfiction Holding AB</t>
  </si>
  <si>
    <t>SE0009920994</t>
  </si>
  <si>
    <t>BZCNTR</t>
  </si>
  <si>
    <t>Sensec Holding AB</t>
  </si>
  <si>
    <t>SE0009889595</t>
  </si>
  <si>
    <t>Symbol</t>
  </si>
  <si>
    <t>Name</t>
  </si>
  <si>
    <t>Stock Exchange</t>
  </si>
  <si>
    <t>Sec Type</t>
  </si>
  <si>
    <t xml:space="preserve">Date of first trade </t>
  </si>
  <si>
    <t>Date (RT Last)</t>
  </si>
  <si>
    <t>Avg Daily Price (LOCAL)</t>
  </si>
  <si>
    <t>Curncy Iso</t>
  </si>
  <si>
    <t xml:space="preserve">Market Value in millions </t>
  </si>
  <si>
    <t>FR RBICS Name Sector</t>
  </si>
  <si>
    <t>ISIN</t>
  </si>
  <si>
    <t>Average Daily Volume</t>
  </si>
  <si>
    <t>Trading Value Local</t>
  </si>
  <si>
    <t>Trading Value EUR</t>
  </si>
  <si>
    <t>Filter</t>
  </si>
  <si>
    <t>FE Ticker</t>
  </si>
  <si>
    <t>AARUTD-DK</t>
  </si>
  <si>
    <t>KLIP-SE</t>
  </si>
  <si>
    <t>GW-DK</t>
  </si>
  <si>
    <t>CEVI-SE</t>
  </si>
  <si>
    <t>FIONIA-DK</t>
  </si>
  <si>
    <t>FEEL-SE</t>
  </si>
  <si>
    <t>ASDO-SE</t>
  </si>
  <si>
    <t>ATLE-SE</t>
  </si>
  <si>
    <t>AVES-SE</t>
  </si>
  <si>
    <t>VORD-DK</t>
  </si>
  <si>
    <t>BERG.B-SE</t>
  </si>
  <si>
    <t>KLEE.B-DK</t>
  </si>
  <si>
    <t>ELGR.B-SE</t>
  </si>
  <si>
    <t>WAFV.B-SE</t>
  </si>
  <si>
    <t>BONG-SE</t>
  </si>
  <si>
    <t>CNCJO.B-SE</t>
  </si>
  <si>
    <t>BURE-SE</t>
  </si>
  <si>
    <t>KBHL-DK</t>
  </si>
  <si>
    <t>DCO-DK</t>
  </si>
  <si>
    <t>BO-DK</t>
  </si>
  <si>
    <t>PSEA.B-SE</t>
  </si>
  <si>
    <t>CARL.B-DK</t>
  </si>
  <si>
    <t>PRKABK-SE</t>
  </si>
  <si>
    <t>PARKST.A-DK</t>
  </si>
  <si>
    <t>CARD-SE</t>
  </si>
  <si>
    <t>CCOR.B-SE</t>
  </si>
  <si>
    <t>MAERSK.B-DK</t>
  </si>
  <si>
    <t>DKAP-DK</t>
  </si>
  <si>
    <t>DANT-DK</t>
  </si>
  <si>
    <t>CYBE-SE</t>
  </si>
  <si>
    <t>MTRO.B-SE</t>
  </si>
  <si>
    <t>ELAN.B-SE</t>
  </si>
  <si>
    <t>EJNOR-DK</t>
  </si>
  <si>
    <t>NEWCAP-DK</t>
  </si>
  <si>
    <t>EXP.B-DK</t>
  </si>
  <si>
    <t>TOWN-DK</t>
  </si>
  <si>
    <t>BULTB-SE</t>
  </si>
  <si>
    <t>EDB-DK</t>
  </si>
  <si>
    <t>BORD.B-DK</t>
  </si>
  <si>
    <t>CIC-DK</t>
  </si>
  <si>
    <t>ALMB-DK</t>
  </si>
  <si>
    <t>FVED.B-SE</t>
  </si>
  <si>
    <t>LAST.B-DK</t>
  </si>
  <si>
    <t>WEWER-DK</t>
  </si>
  <si>
    <t>FRINV-DK</t>
  </si>
  <si>
    <t>GABR-DK</t>
  </si>
  <si>
    <t>GPV.B-DK</t>
  </si>
  <si>
    <t>GOTL.B-SE</t>
  </si>
  <si>
    <t>GRLA-DK</t>
  </si>
  <si>
    <t>XPON-SE</t>
  </si>
  <si>
    <t>AUDV.B-SE</t>
  </si>
  <si>
    <t>HH-DK</t>
  </si>
  <si>
    <t>FIP-DK</t>
  </si>
  <si>
    <t>HLDX-SE</t>
  </si>
  <si>
    <t>PEAB.B-SE</t>
  </si>
  <si>
    <t>HL.B-SE</t>
  </si>
  <si>
    <t>IRO-SE</t>
  </si>
  <si>
    <t>HEFA.B-DK</t>
  </si>
  <si>
    <t>GFH.C-DK</t>
  </si>
  <si>
    <t>HOGA.B-SE</t>
  </si>
  <si>
    <t>REN-DK</t>
  </si>
  <si>
    <t>ASGGRO-DK</t>
  </si>
  <si>
    <t>DII-DK</t>
  </si>
  <si>
    <t>HUFV.A-SE</t>
  </si>
  <si>
    <t>HVID-DK</t>
  </si>
  <si>
    <t>CEMAT-DK</t>
  </si>
  <si>
    <t>EUROPE-DK</t>
  </si>
  <si>
    <t>JMI-DK</t>
  </si>
  <si>
    <t>TURN.B-SE</t>
  </si>
  <si>
    <t>KMPN.B-DK</t>
  </si>
  <si>
    <t>GN-DK</t>
  </si>
  <si>
    <t>ALMBP.B-DK</t>
  </si>
  <si>
    <t>VIINT-DK</t>
  </si>
  <si>
    <t>NETW.B-SE</t>
  </si>
  <si>
    <t>CAP-SE</t>
  </si>
  <si>
    <t>LIND.B-SE</t>
  </si>
  <si>
    <t>KABE.B-SE</t>
  </si>
  <si>
    <t>LASP-DK</t>
  </si>
  <si>
    <t>BIOMAR-DK</t>
  </si>
  <si>
    <t>LUND.B-SE</t>
  </si>
  <si>
    <t>LUXO-SE</t>
  </si>
  <si>
    <t>ORC-SE</t>
  </si>
  <si>
    <t>LUXOR.B-DK</t>
  </si>
  <si>
    <t>FLUG.B-DK</t>
  </si>
  <si>
    <t>IMAIL-DK</t>
  </si>
  <si>
    <t>MOLS-DK</t>
  </si>
  <si>
    <t>DANSKE-DK</t>
  </si>
  <si>
    <t>MIDT-DK</t>
  </si>
  <si>
    <t>HAKI.B-SE</t>
  </si>
  <si>
    <t>BIOS-DK</t>
  </si>
  <si>
    <t>GMAB-DK</t>
  </si>
  <si>
    <t>MNBA-DK</t>
  </si>
  <si>
    <t>MORS-DK</t>
  </si>
  <si>
    <t>MUNK-SE</t>
  </si>
  <si>
    <t>HOST.B-SE</t>
  </si>
  <si>
    <t>NEO-SE</t>
  </si>
  <si>
    <t>JLT-SE</t>
  </si>
  <si>
    <t>NESA-DK</t>
  </si>
  <si>
    <t>NOER.B-DK</t>
  </si>
  <si>
    <t>JPNO-SE</t>
  </si>
  <si>
    <t>NSC.O-DK</t>
  </si>
  <si>
    <t>NRSU-DK</t>
  </si>
  <si>
    <t>NCC.B-SE</t>
  </si>
  <si>
    <t>OJBA-DK</t>
  </si>
  <si>
    <t>ARKIL.B-DK</t>
  </si>
  <si>
    <t>PRIC.B-SE</t>
  </si>
  <si>
    <t>HEDE-DK</t>
  </si>
  <si>
    <t>PERS.B-SE</t>
  </si>
  <si>
    <t>RADI.B-DK</t>
  </si>
  <si>
    <t>RREB.O-DK</t>
  </si>
  <si>
    <t>MARGR-DK</t>
  </si>
  <si>
    <t>NTR.B-DK</t>
  </si>
  <si>
    <t>MACO-DK</t>
  </si>
  <si>
    <t>RIAS.B-DK</t>
  </si>
  <si>
    <t>DANTR-DK</t>
  </si>
  <si>
    <t>BIOPOR-DK</t>
  </si>
  <si>
    <t>RROS-SE</t>
  </si>
  <si>
    <t>CAT.B-SE</t>
  </si>
  <si>
    <t>SALB-DK</t>
  </si>
  <si>
    <t>SANI-DK</t>
  </si>
  <si>
    <t>SIX.B-SE</t>
  </si>
  <si>
    <t>PFINV-DK</t>
  </si>
  <si>
    <t>TOWER-DK</t>
  </si>
  <si>
    <t>SEB.A-SE</t>
  </si>
  <si>
    <t>SOLAR.B-DK</t>
  </si>
  <si>
    <t>SPNC.B-DK</t>
  </si>
  <si>
    <t>SPFA-DK</t>
  </si>
  <si>
    <t>SWED.A-SE</t>
  </si>
  <si>
    <t>INV.B-DK</t>
  </si>
  <si>
    <t>SVDA-SE</t>
  </si>
  <si>
    <t>SYD.A-SE</t>
  </si>
  <si>
    <t>TV4.A-SE</t>
  </si>
  <si>
    <t>LEDS.B-SE</t>
  </si>
  <si>
    <t>TIVO.B-SE</t>
  </si>
  <si>
    <t>TREL.B-SE</t>
  </si>
  <si>
    <t>UPAL-DK</t>
  </si>
  <si>
    <t>VEFY-DK</t>
  </si>
  <si>
    <t>WEVE-DK</t>
  </si>
  <si>
    <t>MT.B-DK</t>
  </si>
  <si>
    <t>TRIO-SE</t>
  </si>
  <si>
    <t>TORN-SE</t>
  </si>
  <si>
    <t>MIGA.B-DK</t>
  </si>
  <si>
    <t>IFS.B-SE</t>
  </si>
  <si>
    <t>DIFF-SE</t>
  </si>
  <si>
    <t>INT.B-SE</t>
  </si>
  <si>
    <t>BCOR-SE</t>
  </si>
  <si>
    <t>SCMI-SE</t>
  </si>
  <si>
    <t>SALA.B-SE</t>
  </si>
  <si>
    <t>DURC.B-SE</t>
  </si>
  <si>
    <t>KAB-SE</t>
  </si>
  <si>
    <t>AURI.B-DK</t>
  </si>
  <si>
    <t>3NOV25-DK</t>
  </si>
  <si>
    <t>SARD-SE</t>
  </si>
  <si>
    <t>IWH-SE</t>
  </si>
  <si>
    <t>PRYX-SE</t>
  </si>
  <si>
    <t>MULQ-SE</t>
  </si>
  <si>
    <t>ZODI.B-SE</t>
  </si>
  <si>
    <t>GORT.B-SE</t>
  </si>
  <si>
    <t>FKS.B-SE</t>
  </si>
  <si>
    <t>SAT-DK</t>
  </si>
  <si>
    <t>FIRE-SE</t>
  </si>
  <si>
    <t>SAEK-SE</t>
  </si>
  <si>
    <t>PART-SE</t>
  </si>
  <si>
    <t>SAPA-SE</t>
  </si>
  <si>
    <t>SEMC-SE</t>
  </si>
  <si>
    <t>RHYT-SE</t>
  </si>
  <si>
    <t>NEA.B-SE</t>
  </si>
  <si>
    <t>NAN-SE</t>
  </si>
  <si>
    <t>FLS-DK</t>
  </si>
  <si>
    <t>PAND-SE</t>
  </si>
  <si>
    <t>PROF.B-SE</t>
  </si>
  <si>
    <t>RTIM.B-SE</t>
  </si>
  <si>
    <t>LAMM.B-SE</t>
  </si>
  <si>
    <t>MCOV-SE</t>
  </si>
  <si>
    <t>POTA.B-DK</t>
  </si>
  <si>
    <t>COLOR-DK</t>
  </si>
  <si>
    <t>OLI-DK</t>
  </si>
  <si>
    <t>PARKEN-DK</t>
  </si>
  <si>
    <t>ARTI.B-SE</t>
  </si>
  <si>
    <t>CTT-SE</t>
  </si>
  <si>
    <t>KNOW-SE</t>
  </si>
  <si>
    <t>LABS-SE</t>
  </si>
  <si>
    <t>NDA-SE</t>
  </si>
  <si>
    <t>FBIB-SE</t>
  </si>
  <si>
    <t>ATHENA-DK</t>
  </si>
  <si>
    <t>LL.B-DK</t>
  </si>
  <si>
    <t>OMX-SE</t>
  </si>
  <si>
    <t>SJGR-DK</t>
  </si>
  <si>
    <t>KMT-SE</t>
  </si>
  <si>
    <t>ORTI.B-SE</t>
  </si>
  <si>
    <t>MFAS-SE</t>
  </si>
  <si>
    <t>DICENT-DK</t>
  </si>
  <si>
    <t>SDIA-SE</t>
  </si>
  <si>
    <t>ACSC-SE</t>
  </si>
  <si>
    <t>MATT-SE</t>
  </si>
  <si>
    <t>STRA.B-SE</t>
  </si>
  <si>
    <t>OPTI.A-SE</t>
  </si>
  <si>
    <t>PREV.B-SE</t>
  </si>
  <si>
    <t>BHJ-DK</t>
  </si>
  <si>
    <t>USEA-DK</t>
  </si>
  <si>
    <t>VLT.B-SE</t>
  </si>
  <si>
    <t>GYLD.B-DK</t>
  </si>
  <si>
    <t>BIF-DK</t>
  </si>
  <si>
    <t>FABGA-SE</t>
  </si>
  <si>
    <t>SECU.B-SE</t>
  </si>
  <si>
    <t>GJ-DK</t>
  </si>
  <si>
    <t>BAVA-DK</t>
  </si>
  <si>
    <t>UDV75-DK</t>
  </si>
  <si>
    <t>ECOM-DK</t>
  </si>
  <si>
    <t>3L-SE</t>
  </si>
  <si>
    <t>FUNKI-DK</t>
  </si>
  <si>
    <t>TELC.B-SE</t>
  </si>
  <si>
    <t>NOWA-DK</t>
  </si>
  <si>
    <t>KEOPS-DK</t>
  </si>
  <si>
    <t>STEK-SE</t>
  </si>
  <si>
    <t>MOD1-SE</t>
  </si>
  <si>
    <t>FRAN.B-SE</t>
  </si>
  <si>
    <t>TICK-SE</t>
  </si>
  <si>
    <t>TGNT-SE</t>
  </si>
  <si>
    <t>JEEV-SE</t>
  </si>
  <si>
    <t>NSC.B-DK</t>
  </si>
  <si>
    <t>HM.B-SE</t>
  </si>
  <si>
    <t>RKS.B-SE</t>
  </si>
  <si>
    <t>SCHO-DK</t>
  </si>
  <si>
    <t>NN.B-SE</t>
  </si>
  <si>
    <t>TDC-DK</t>
  </si>
  <si>
    <t>PION.B-SE</t>
  </si>
  <si>
    <t>NEG-DK</t>
  </si>
  <si>
    <t>MSON.B-SE</t>
  </si>
  <si>
    <t>KRE-DK</t>
  </si>
  <si>
    <t>RSOF.B-SE</t>
  </si>
  <si>
    <t>NTEK.B-SE</t>
  </si>
  <si>
    <t>MTHH-DK</t>
  </si>
  <si>
    <t>HART-DK</t>
  </si>
  <si>
    <t>FORAS-DK</t>
  </si>
  <si>
    <t>AGAT-DK</t>
  </si>
  <si>
    <t>PBIO-SE</t>
  </si>
  <si>
    <t>MSAB.B-SE</t>
  </si>
  <si>
    <t>RELLA-DK</t>
  </si>
  <si>
    <t>NOBIN-DK</t>
  </si>
  <si>
    <t>GRAN-SE</t>
  </si>
  <si>
    <t>KIPL-SE</t>
  </si>
  <si>
    <t>PRCO.B-SE</t>
  </si>
  <si>
    <t>HULT.B-SE</t>
  </si>
  <si>
    <t>AGF.B-DK</t>
  </si>
  <si>
    <t>BWL-SE</t>
  </si>
  <si>
    <t>CONSH-DK</t>
  </si>
  <si>
    <t>BRE2-SE</t>
  </si>
  <si>
    <t>CASH.B-SE</t>
  </si>
  <si>
    <t>AFFS.B-SE</t>
  </si>
  <si>
    <t>TLOG-SE</t>
  </si>
  <si>
    <t>ISS.XX1-DK</t>
  </si>
  <si>
    <t>ERIC.B-SE</t>
  </si>
  <si>
    <t>COLUM-DK</t>
  </si>
  <si>
    <t>NETI.B-SE</t>
  </si>
  <si>
    <t>WM.B-SE</t>
  </si>
  <si>
    <t>IBS.B-SE</t>
  </si>
  <si>
    <t>SOF.B-SE</t>
  </si>
  <si>
    <t>BOSS-SE</t>
  </si>
  <si>
    <t>FIX.B-SE</t>
  </si>
  <si>
    <t>IAR-SE</t>
  </si>
  <si>
    <t>AFFI-DK</t>
  </si>
  <si>
    <t>RTX-DK</t>
  </si>
  <si>
    <t>TELIA-SE</t>
  </si>
  <si>
    <t>AVAILO-SE</t>
  </si>
  <si>
    <t>AUS-SE</t>
  </si>
  <si>
    <t>RESC.B-SE</t>
  </si>
  <si>
    <t>EPEN-SE</t>
  </si>
  <si>
    <t>NON-SE</t>
  </si>
  <si>
    <t>AXIS-SE</t>
  </si>
  <si>
    <t>MCRO-SE</t>
  </si>
  <si>
    <t>NORTHM-DK</t>
  </si>
  <si>
    <t>STRINV-DK</t>
  </si>
  <si>
    <t>CISL-SE</t>
  </si>
  <si>
    <t>AOIL-SE</t>
  </si>
  <si>
    <t>DMSN-SE</t>
  </si>
  <si>
    <t>THRAN-DK</t>
  </si>
  <si>
    <t>SVIK-SE</t>
  </si>
  <si>
    <t>PROE.B-SE</t>
  </si>
  <si>
    <t>NKT-DK</t>
  </si>
  <si>
    <t>IC-DK</t>
  </si>
  <si>
    <t>CODAN-DK</t>
  </si>
  <si>
    <t>SAS-SE</t>
  </si>
  <si>
    <t>NETOP-DK</t>
  </si>
  <si>
    <t>EPSI.B-SE</t>
  </si>
  <si>
    <t>SKA.B-SE</t>
  </si>
  <si>
    <t>PERG-SE</t>
  </si>
  <si>
    <t>CSN-SE</t>
  </si>
  <si>
    <t>ORRON-SE</t>
  </si>
  <si>
    <t>GLOC-SE</t>
  </si>
  <si>
    <t>SIGM.B-SE</t>
  </si>
  <si>
    <t>EIAB-SE</t>
  </si>
  <si>
    <t>AM.B-DK</t>
  </si>
  <si>
    <t>BILL-SE</t>
  </si>
  <si>
    <t>VIND-DK</t>
  </si>
  <si>
    <t>ALFA-SE</t>
  </si>
  <si>
    <t>AXLN-SE</t>
  </si>
  <si>
    <t>HQFO-SE</t>
  </si>
  <si>
    <t>INTRUM-SE</t>
  </si>
  <si>
    <t>VIVE-SE</t>
  </si>
  <si>
    <t>SINT-SE</t>
  </si>
  <si>
    <t>BALL-SE</t>
  </si>
  <si>
    <t>DEH-DK</t>
  </si>
  <si>
    <t>STIL-SE</t>
  </si>
  <si>
    <t>SONW-SE</t>
  </si>
  <si>
    <t>SKJE-DK</t>
  </si>
  <si>
    <t>BIOP-SE</t>
  </si>
  <si>
    <t>MAND-SE</t>
  </si>
  <si>
    <t>ENT.B-SE</t>
  </si>
  <si>
    <t>DICE.A-SE</t>
  </si>
  <si>
    <t>RAY.B-SE</t>
  </si>
  <si>
    <t>AVEN-SE</t>
  </si>
  <si>
    <t>RIBA-DK</t>
  </si>
  <si>
    <t>ASP-SE</t>
  </si>
  <si>
    <t>ALMBF.B-DK</t>
  </si>
  <si>
    <t>BRIN.B.XX1-SE</t>
  </si>
  <si>
    <t>GETI.B-SE</t>
  </si>
  <si>
    <t>DKC-DK</t>
  </si>
  <si>
    <t>ACTI-SE</t>
  </si>
  <si>
    <t>ERIEUR-DK</t>
  </si>
  <si>
    <t>VJBA-DK</t>
  </si>
  <si>
    <t>SOGH-SE</t>
  </si>
  <si>
    <t>ESG-DK</t>
  </si>
  <si>
    <t>BDRO-SE</t>
  </si>
  <si>
    <t>AINX-SE</t>
  </si>
  <si>
    <t>CNTA-SE</t>
  </si>
  <si>
    <t>GUNN-SE</t>
  </si>
  <si>
    <t>SPB-DK</t>
  </si>
  <si>
    <t>MAX-DK</t>
  </si>
  <si>
    <t>DJUR-DK</t>
  </si>
  <si>
    <t>ASCI-SE</t>
  </si>
  <si>
    <t>ICON-SE</t>
  </si>
  <si>
    <t>FALCK-DK</t>
  </si>
  <si>
    <t>GR4-DK</t>
  </si>
  <si>
    <t>NOTE-SE</t>
  </si>
  <si>
    <t>SVIT.B-SE</t>
  </si>
  <si>
    <t>CASO-SE</t>
  </si>
  <si>
    <t>CLAS.B-SE</t>
  </si>
  <si>
    <t>JYSK-DK</t>
  </si>
  <si>
    <t>ALNX-SE</t>
  </si>
  <si>
    <t>IMPC-SE</t>
  </si>
  <si>
    <t>TILG-SE</t>
  </si>
  <si>
    <t>DUNI-SE</t>
  </si>
  <si>
    <t>INVUO-SE</t>
  </si>
  <si>
    <t>UFLX.B-SE</t>
  </si>
  <si>
    <t>MACK.B-SE</t>
  </si>
  <si>
    <t>DIBS-SE</t>
  </si>
  <si>
    <t>PROB-SE</t>
  </si>
  <si>
    <t>ADDV.A-SE</t>
  </si>
  <si>
    <t>RAST-SE</t>
  </si>
  <si>
    <t>SKLS-DK</t>
  </si>
  <si>
    <t>FPIP-SE</t>
  </si>
  <si>
    <t>IVSO-SE</t>
  </si>
  <si>
    <t>ALSYDB-DK</t>
  </si>
  <si>
    <t>LOKA-DK</t>
  </si>
  <si>
    <t>AUR-SE</t>
  </si>
  <si>
    <t>AQER-SE</t>
  </si>
  <si>
    <t>LOLB-DK</t>
  </si>
  <si>
    <t>BLIN-SE</t>
  </si>
  <si>
    <t>TNDR-DK</t>
  </si>
  <si>
    <t>SENE.A-SE</t>
  </si>
  <si>
    <t>ELOS.B-SE</t>
  </si>
  <si>
    <t>AMCA-SE</t>
  </si>
  <si>
    <t>POFLS.B-DK</t>
  </si>
  <si>
    <t>POKAP-DK</t>
  </si>
  <si>
    <t>GIAB.XX1-SE</t>
  </si>
  <si>
    <t>TOPO-DK</t>
  </si>
  <si>
    <t>NEF.B-SE</t>
  </si>
  <si>
    <t>ACOM-SE</t>
  </si>
  <si>
    <t>TRIC-SE</t>
  </si>
  <si>
    <t>INVK.B-SE</t>
  </si>
  <si>
    <t>NSP.B-SE</t>
  </si>
  <si>
    <t>RCLN.B-SE</t>
  </si>
  <si>
    <t>HEMX-SE</t>
  </si>
  <si>
    <t>INDT-SE</t>
  </si>
  <si>
    <t>MCOR-SE</t>
  </si>
  <si>
    <t>EKTA.B-SE</t>
  </si>
  <si>
    <t>TRTI-SE</t>
  </si>
  <si>
    <t>HARB.B-DK</t>
  </si>
  <si>
    <t>ORX-SE</t>
  </si>
  <si>
    <t>GAMB.A-SE</t>
  </si>
  <si>
    <t>TRAD-SE</t>
  </si>
  <si>
    <t>GENO-SE</t>
  </si>
  <si>
    <t>LDEX-SE</t>
  </si>
  <si>
    <t>ICA-SE</t>
  </si>
  <si>
    <t>ZEAL-DK</t>
  </si>
  <si>
    <t>KAP-DK</t>
  </si>
  <si>
    <t>BETT-SE</t>
  </si>
  <si>
    <t>CAST-SE</t>
  </si>
  <si>
    <t>CBRAIN-DK</t>
  </si>
  <si>
    <t>SECO.B-SE</t>
  </si>
  <si>
    <t>VKG-SE</t>
  </si>
  <si>
    <t>GANT-SE</t>
  </si>
  <si>
    <t>EBH-DK</t>
  </si>
  <si>
    <t>NCAS.B-SE</t>
  </si>
  <si>
    <t>ELON-SE</t>
  </si>
  <si>
    <t>HUSQ.B-SE</t>
  </si>
  <si>
    <t>OPUS-SE</t>
  </si>
  <si>
    <t>PROT-SE</t>
  </si>
  <si>
    <t>KLED-SE</t>
  </si>
  <si>
    <t>SVED.B-SE</t>
  </si>
  <si>
    <t>RATO.B-SE</t>
  </si>
  <si>
    <t>CATE-SE</t>
  </si>
  <si>
    <t>DIOS-SE</t>
  </si>
  <si>
    <t>QMED-SE</t>
  </si>
  <si>
    <t>BTS.B-SE</t>
  </si>
  <si>
    <t>RURI.B-SE</t>
  </si>
  <si>
    <t>AMAG-DK</t>
  </si>
  <si>
    <t>NORDJB-DK</t>
  </si>
  <si>
    <t>FLY.B-SE</t>
  </si>
  <si>
    <t>JM-SE</t>
  </si>
  <si>
    <t>SIG-DK</t>
  </si>
  <si>
    <t>SPNO-DK</t>
  </si>
  <si>
    <t>DORO-SE</t>
  </si>
  <si>
    <t>JC-SE</t>
  </si>
  <si>
    <t>IPL-SE</t>
  </si>
  <si>
    <t>WALLS-DK</t>
  </si>
  <si>
    <t>VBG.B-SE</t>
  </si>
  <si>
    <t>NLAB-SE</t>
  </si>
  <si>
    <t>CUR-DK</t>
  </si>
  <si>
    <t>FPPAR-DK</t>
  </si>
  <si>
    <t>FPOPT-DK</t>
  </si>
  <si>
    <t>SWOL.B-SE</t>
  </si>
  <si>
    <t>HAV.B-SE</t>
  </si>
  <si>
    <t>TP-SE</t>
  </si>
  <si>
    <t>SSAB.B-SE</t>
  </si>
  <si>
    <t>SBS-DK</t>
  </si>
  <si>
    <t>TRAC.B-SE</t>
  </si>
  <si>
    <t>WIRTEK-DK</t>
  </si>
  <si>
    <t>DRIL-SE</t>
  </si>
  <si>
    <t>KEY.XX1-SE</t>
  </si>
  <si>
    <t>SOBI-SE</t>
  </si>
  <si>
    <t>SDIR.B-SE</t>
  </si>
  <si>
    <t>NISC.B-SE</t>
  </si>
  <si>
    <t>MELK-SE</t>
  </si>
  <si>
    <t>BOCON.B-DK</t>
  </si>
  <si>
    <t>FPLIM-DK</t>
  </si>
  <si>
    <t>MONDO-DK</t>
  </si>
  <si>
    <t>PETRO-SE</t>
  </si>
  <si>
    <t>CLAM-SE</t>
  </si>
  <si>
    <t>STYLE-DK</t>
  </si>
  <si>
    <t>G5EN-SE</t>
  </si>
  <si>
    <t>ATLA-DK</t>
  </si>
  <si>
    <t>DIN-SE</t>
  </si>
  <si>
    <t>KEH-SE</t>
  </si>
  <si>
    <t>JUTBK-DK</t>
  </si>
  <si>
    <t>ROSK-DK</t>
  </si>
  <si>
    <t>FPMER-DK</t>
  </si>
  <si>
    <t>VELO-DK</t>
  </si>
  <si>
    <t>GHUS.B-SE</t>
  </si>
  <si>
    <t>DACK.B-SE</t>
  </si>
  <si>
    <t>HOPR-SE</t>
  </si>
  <si>
    <t>CAPN-SE</t>
  </si>
  <si>
    <t>GYM-SE</t>
  </si>
  <si>
    <t>DGAMES-DK</t>
  </si>
  <si>
    <t>LUBKER-DK</t>
  </si>
  <si>
    <t>NANO-DK</t>
  </si>
  <si>
    <t>BOSTAD.B-DK</t>
  </si>
  <si>
    <t>RADH-SE</t>
  </si>
  <si>
    <t>FFARMS-DK</t>
  </si>
  <si>
    <t>ZEPTO-DK</t>
  </si>
  <si>
    <t>LIAB-SE</t>
  </si>
  <si>
    <t>CHEMM-DK</t>
  </si>
  <si>
    <t>ELCG-DK</t>
  </si>
  <si>
    <t>NETCGH-DK</t>
  </si>
  <si>
    <t>UTG-SE</t>
  </si>
  <si>
    <t>HOCA-SE</t>
  </si>
  <si>
    <t>GB-DK</t>
  </si>
  <si>
    <t>PVE-SE</t>
  </si>
  <si>
    <t>ALOK.B-SE</t>
  </si>
  <si>
    <t>SPEAS-DK</t>
  </si>
  <si>
    <t>NNH-SE</t>
  </si>
  <si>
    <t>SKF.B-SE</t>
  </si>
  <si>
    <t>VOLV.B-SE</t>
  </si>
  <si>
    <t>NBOOST-DK</t>
  </si>
  <si>
    <t>DANV-DK</t>
  </si>
  <si>
    <t>SCV.B-SE</t>
  </si>
  <si>
    <t>ENALYZ-DK</t>
  </si>
  <si>
    <t>MTRS.XX1-SE</t>
  </si>
  <si>
    <t>DIBA-DK</t>
  </si>
  <si>
    <t>ATRE-SE</t>
  </si>
  <si>
    <t>FJORD-DK</t>
  </si>
  <si>
    <t>FORST-DK</t>
  </si>
  <si>
    <t>WKEY-DK</t>
  </si>
  <si>
    <t>MERM-DK</t>
  </si>
  <si>
    <t>ESOFT-DK</t>
  </si>
  <si>
    <t>NAXS-SE</t>
  </si>
  <si>
    <t>BIOT-SE</t>
  </si>
  <si>
    <t>SAND-SE</t>
  </si>
  <si>
    <t>INDU.A-SE</t>
  </si>
  <si>
    <t>SCA.B-SE</t>
  </si>
  <si>
    <t>BORE-SE</t>
  </si>
  <si>
    <t>NEXU-SE</t>
  </si>
  <si>
    <t>MEDA.A-SE</t>
  </si>
  <si>
    <t>TOTA-DK</t>
  </si>
  <si>
    <t>DAG-SE</t>
  </si>
  <si>
    <t>DMAB.B-SE</t>
  </si>
  <si>
    <t>DNORD-DK</t>
  </si>
  <si>
    <t>MEAB.B-SE</t>
  </si>
  <si>
    <t>DKTI-DK</t>
  </si>
  <si>
    <t>ACAP.B-SE</t>
  </si>
  <si>
    <t>BANKTR-DK</t>
  </si>
  <si>
    <t>DSV-DK</t>
  </si>
  <si>
    <t>GVKO.B-SE</t>
  </si>
  <si>
    <t>ACAN.B-SE</t>
  </si>
  <si>
    <t>EXQ-DK</t>
  </si>
  <si>
    <t>CRAD.B-SE</t>
  </si>
  <si>
    <t>BRO.B-SE</t>
  </si>
  <si>
    <t>NORDIC-DK</t>
  </si>
  <si>
    <t>BOLIGA-DK</t>
  </si>
  <si>
    <t>AERO.B-SE</t>
  </si>
  <si>
    <t>FOBANK-DK</t>
  </si>
  <si>
    <t>AARHUS-DK</t>
  </si>
  <si>
    <t>HOFF-SE</t>
  </si>
  <si>
    <t>PIND.B-SE</t>
  </si>
  <si>
    <t>BERLIV.B-DK</t>
  </si>
  <si>
    <t>FO.EIK-DK</t>
  </si>
  <si>
    <t>MEKO-SE</t>
  </si>
  <si>
    <t>GERHSP-DK</t>
  </si>
  <si>
    <t>DELTAQ-DK</t>
  </si>
  <si>
    <t>SPALOL-DK</t>
  </si>
  <si>
    <t>HNSA-SE</t>
  </si>
  <si>
    <t>CPHCAP.ST-DK</t>
  </si>
  <si>
    <t>WPAY-SE</t>
  </si>
  <si>
    <t>AVEG.B-SE</t>
  </si>
  <si>
    <t>AGIS-SE</t>
  </si>
  <si>
    <t>HVETBO-DK</t>
  </si>
  <si>
    <t>VICP.A-SE</t>
  </si>
  <si>
    <t>ERRIA-DK</t>
  </si>
  <si>
    <t>TMCOM-DK</t>
  </si>
  <si>
    <t>TRIFOR.XX1-DK</t>
  </si>
  <si>
    <t>THEM-SE</t>
  </si>
  <si>
    <t>FEI-DK</t>
  </si>
  <si>
    <t>FEII-DK</t>
  </si>
  <si>
    <t>EWRK-SE</t>
  </si>
  <si>
    <t>CLHO-SE</t>
  </si>
  <si>
    <t>SEZI-SE</t>
  </si>
  <si>
    <t>DGC-SE</t>
  </si>
  <si>
    <t>PRIMOF-DK</t>
  </si>
  <si>
    <t>ABLI-SE</t>
  </si>
  <si>
    <t>GHP-SE</t>
  </si>
  <si>
    <t>ACROUD-SE</t>
  </si>
  <si>
    <t>CAPE-SE</t>
  </si>
  <si>
    <t>KDV.B-SE</t>
  </si>
  <si>
    <t>CLA.B-SE</t>
  </si>
  <si>
    <t>KOPY-SE</t>
  </si>
  <si>
    <t>SCANP.B-DK</t>
  </si>
  <si>
    <t>DIST-SE</t>
  </si>
  <si>
    <t>DIGN-SE</t>
  </si>
  <si>
    <t>AQUA-DK</t>
  </si>
  <si>
    <t>IZAFE.B-SE</t>
  </si>
  <si>
    <t>EPIS.B-SE</t>
  </si>
  <si>
    <t>COIC-SE</t>
  </si>
  <si>
    <t>EMBLA-DK</t>
  </si>
  <si>
    <t>EXINI-SE</t>
  </si>
  <si>
    <t>REJL.B-SE</t>
  </si>
  <si>
    <t>CCC.XX1-SE</t>
  </si>
  <si>
    <t>IDLDX-SE</t>
  </si>
  <si>
    <t>AVT.B-SE</t>
  </si>
  <si>
    <t>PNDORA-DK</t>
  </si>
  <si>
    <t>SIVE-SE</t>
  </si>
  <si>
    <t>EGTX-SE</t>
  </si>
  <si>
    <t>DAB-DK</t>
  </si>
  <si>
    <t>SRAB-SE</t>
  </si>
  <si>
    <t>TRMO-SE</t>
  </si>
  <si>
    <t>ZETA-SE</t>
  </si>
  <si>
    <t>BULTEN-SE</t>
  </si>
  <si>
    <t>AGRA-SE</t>
  </si>
  <si>
    <t>GENI-SE</t>
  </si>
  <si>
    <t>ARISE-SE</t>
  </si>
  <si>
    <t>CIMBER-DK</t>
  </si>
  <si>
    <t>CHR-DK</t>
  </si>
  <si>
    <t>ENZY-SE</t>
  </si>
  <si>
    <t>BMAX-SE</t>
  </si>
  <si>
    <t>ISCO-SE</t>
  </si>
  <si>
    <t>NBZ-SE</t>
  </si>
  <si>
    <t>SPNFI-DK</t>
  </si>
  <si>
    <t>BRIG-SE</t>
  </si>
  <si>
    <t>ZZ.B-SE</t>
  </si>
  <si>
    <t>DEDI-SE</t>
  </si>
  <si>
    <t>LIDDS-SE</t>
  </si>
  <si>
    <t>NSIS.B-DK</t>
  </si>
  <si>
    <t>EGE.B-DK</t>
  </si>
  <si>
    <t>DMYD.B-SE</t>
  </si>
  <si>
    <t>VIG-SE</t>
  </si>
  <si>
    <t>RLS-SE</t>
  </si>
  <si>
    <t>XVIVO-SE</t>
  </si>
  <si>
    <t>COLO.B-DK</t>
  </si>
  <si>
    <t>CZON.B-SE</t>
  </si>
  <si>
    <t>RBLN.B-DK</t>
  </si>
  <si>
    <t>TRI-SE</t>
  </si>
  <si>
    <t>SPOR-SE</t>
  </si>
  <si>
    <t>SPAGO-SE</t>
  </si>
  <si>
    <t>NUNA-DK</t>
  </si>
  <si>
    <t>PAR-SE</t>
  </si>
  <si>
    <t>TOP-DK</t>
  </si>
  <si>
    <t>RUSF-SE</t>
  </si>
  <si>
    <t>TEL2.B-SE</t>
  </si>
  <si>
    <t>NEOBO-SE</t>
  </si>
  <si>
    <t>NEXAM-SE</t>
  </si>
  <si>
    <t>SAGA.B-SE</t>
  </si>
  <si>
    <t>SIM-DK</t>
  </si>
  <si>
    <t>BINERO-SE</t>
  </si>
  <si>
    <t>MATAS-DK</t>
  </si>
  <si>
    <t>KENH-SE</t>
  </si>
  <si>
    <t>AXIC.A-SE</t>
  </si>
  <si>
    <t>SALT.B-SE</t>
  </si>
  <si>
    <t>CLAV-SE</t>
  </si>
  <si>
    <t>GOLD-SE</t>
  </si>
  <si>
    <t>OVZON-SE</t>
  </si>
  <si>
    <t>ENRO-SE</t>
  </si>
  <si>
    <t>NITRO-SE</t>
  </si>
  <si>
    <t>NETS-DK</t>
  </si>
  <si>
    <t>TIV-DK</t>
  </si>
  <si>
    <t>RPLAN-SE</t>
  </si>
  <si>
    <t>NEPA-SE</t>
  </si>
  <si>
    <t>SIMRIS.B-SE</t>
  </si>
  <si>
    <t>HOTEL-SE</t>
  </si>
  <si>
    <t>ADDERA-SE</t>
  </si>
  <si>
    <t>ACARIX-SE</t>
  </si>
  <si>
    <t>ALELIO-SE</t>
  </si>
  <si>
    <t>BHG-SE</t>
  </si>
  <si>
    <t>OGUN.B-SE</t>
  </si>
  <si>
    <t>PDX-SE</t>
  </si>
  <si>
    <t>CYXO-SE</t>
  </si>
  <si>
    <t>GAPW.B-SE</t>
  </si>
  <si>
    <t>TOBIN-SE</t>
  </si>
  <si>
    <t>ASAP-SE</t>
  </si>
  <si>
    <t>SERT-SE</t>
  </si>
  <si>
    <t>AHSL-SE</t>
  </si>
  <si>
    <t>NUE-SE</t>
  </si>
  <si>
    <t>MAXF-SE</t>
  </si>
  <si>
    <t>RESURS-SE</t>
  </si>
  <si>
    <t>ENG-SE</t>
  </si>
  <si>
    <t>SBB.B-SE</t>
  </si>
  <si>
    <t>MAHA.A-SE</t>
  </si>
  <si>
    <t>ALLR-SE</t>
  </si>
  <si>
    <t>FAG-SE</t>
  </si>
  <si>
    <t>XSPRAY-SE</t>
  </si>
  <si>
    <t>BIOVIC.B-SE</t>
  </si>
  <si>
    <t>SDIP.B-SE</t>
  </si>
  <si>
    <t>ENERS-SE</t>
  </si>
  <si>
    <t>VIT.B-SE</t>
  </si>
  <si>
    <t>SYNACT-SE</t>
  </si>
  <si>
    <t>AMBU.B-DK</t>
  </si>
  <si>
    <t>SCOL-SE</t>
  </si>
  <si>
    <t>MOXI-SE</t>
  </si>
  <si>
    <t>B3-SE</t>
  </si>
  <si>
    <t>AAB-DK</t>
  </si>
  <si>
    <t>SSM-SE</t>
  </si>
  <si>
    <t>ATIC-SE</t>
  </si>
  <si>
    <t>CMOTEC.B-SE</t>
  </si>
  <si>
    <t>BEF-SE</t>
  </si>
  <si>
    <t>SEYE-SE</t>
  </si>
  <si>
    <t>EDGE-SE</t>
  </si>
  <si>
    <t>BOTX-SE</t>
  </si>
  <si>
    <t>CALTX-SE</t>
  </si>
  <si>
    <t>SEAF-SE</t>
  </si>
  <si>
    <t>ACAD-SE</t>
  </si>
  <si>
    <t>HOLM.B-SE</t>
  </si>
  <si>
    <t>GPX-SE</t>
  </si>
  <si>
    <t>SAFETY.B-SE</t>
  </si>
  <si>
    <t>FREEM-SE</t>
  </si>
  <si>
    <t>MAXENT.B-SE</t>
  </si>
  <si>
    <t>ICO-SE</t>
  </si>
  <si>
    <t>BIOS-SE</t>
  </si>
  <si>
    <t>BILI.A-SE</t>
  </si>
  <si>
    <t>BIOA.B-SE</t>
  </si>
  <si>
    <t>RO-SE</t>
  </si>
  <si>
    <t>BEIA.B-SE</t>
  </si>
  <si>
    <t>MATRA-SE</t>
  </si>
  <si>
    <t>AYIMA.B-SE</t>
  </si>
  <si>
    <t>ISOFOL-SE</t>
  </si>
  <si>
    <t>NXTCL-SE</t>
  </si>
  <si>
    <t>PAX-SE</t>
  </si>
  <si>
    <t>URBIT-SE</t>
  </si>
  <si>
    <t>VSSAB.B-SE</t>
  </si>
  <si>
    <t>META-SE</t>
  </si>
  <si>
    <t>DIVIO.B-SE</t>
  </si>
  <si>
    <t>ARJO.B-SE</t>
  </si>
  <si>
    <t>GREEN-SE</t>
  </si>
  <si>
    <t>ESSITY.B-SE</t>
  </si>
  <si>
    <t>RILBA-DK</t>
  </si>
  <si>
    <t>KAHL-SE</t>
  </si>
  <si>
    <t>DEVP.B-SE</t>
  </si>
  <si>
    <t>ASPIRE-SE</t>
  </si>
  <si>
    <t>MIPS-SE</t>
  </si>
  <si>
    <t>AAK-SE</t>
  </si>
  <si>
    <t>GREENM-DK</t>
  </si>
  <si>
    <t>FLEXQ-SE</t>
  </si>
  <si>
    <t>RAIL-SE</t>
  </si>
  <si>
    <t>ALLIGO.B-SE</t>
  </si>
  <si>
    <t>TERRNT.B-SE</t>
  </si>
  <si>
    <t>BONEX-SE</t>
  </si>
  <si>
    <t>DONE-SE</t>
  </si>
  <si>
    <t>2CUREX-SE</t>
  </si>
  <si>
    <t>CISH-SE</t>
  </si>
  <si>
    <t>NETM.B-SE</t>
  </si>
  <si>
    <t>AGTIRA.B-SE</t>
  </si>
  <si>
    <t>GLOBAL-SE</t>
  </si>
  <si>
    <t>S2M-SE</t>
  </si>
  <si>
    <t>BIM-SE</t>
  </si>
  <si>
    <t>BALCO-SE</t>
  </si>
  <si>
    <t>MAGI-SE</t>
  </si>
  <si>
    <t>FNM-SE</t>
  </si>
  <si>
    <t>ATVEXA.B-SE</t>
  </si>
  <si>
    <t>NYF-SE</t>
  </si>
  <si>
    <t>ACCON-SE</t>
  </si>
  <si>
    <t>LYKO.A-SE</t>
  </si>
  <si>
    <t>EG7-SE</t>
  </si>
  <si>
    <t>FABG-SE</t>
  </si>
  <si>
    <t>TCM-DK</t>
  </si>
  <si>
    <t>IRRAS-SE</t>
  </si>
  <si>
    <t>IRIS-SE</t>
  </si>
  <si>
    <t>LIVI-SE</t>
  </si>
  <si>
    <t>INFREA-SE</t>
  </si>
  <si>
    <t>NMAN-SE</t>
  </si>
  <si>
    <t>RAKE-SE</t>
  </si>
  <si>
    <t>NETC-DK</t>
  </si>
  <si>
    <t>ITECH-SE</t>
  </si>
  <si>
    <t>MRG-SE</t>
  </si>
  <si>
    <t>VIRO-DK</t>
  </si>
  <si>
    <t>BETCO-SE</t>
  </si>
  <si>
    <t>IRLAB.A-SE</t>
  </si>
  <si>
    <t>PENG.B-SE</t>
  </si>
  <si>
    <t>VITR-SE</t>
  </si>
  <si>
    <t>DICOT-SE</t>
  </si>
  <si>
    <t>BUILD-SE</t>
  </si>
  <si>
    <t>BOUL-SE</t>
  </si>
  <si>
    <t>EQL-SE</t>
  </si>
  <si>
    <t>MIDS-SE</t>
  </si>
  <si>
    <t>SPG-DK</t>
  </si>
  <si>
    <t>NIO-SE</t>
  </si>
  <si>
    <t>DJS-DK</t>
  </si>
  <si>
    <t>FED-DK</t>
  </si>
  <si>
    <t>KARE-SE</t>
  </si>
  <si>
    <t>MYFC-SE</t>
  </si>
  <si>
    <t>DRLCO-DK</t>
  </si>
  <si>
    <t>ZICC-SE</t>
  </si>
  <si>
    <t>UPSALE-SE</t>
  </si>
  <si>
    <t>SKIS.B-SE</t>
  </si>
  <si>
    <t>NTG-DK</t>
  </si>
  <si>
    <t>CAG-SE</t>
  </si>
  <si>
    <t>PLAZ.B-SE</t>
  </si>
  <si>
    <t>LIME-SE</t>
  </si>
  <si>
    <t>INCOAX-SE</t>
  </si>
  <si>
    <t>ACE-SE</t>
  </si>
  <si>
    <t>SNTC-SE</t>
  </si>
  <si>
    <t>JETPAK-SE</t>
  </si>
  <si>
    <t>FYNBK-DK</t>
  </si>
  <si>
    <t>POLY-SE</t>
  </si>
  <si>
    <t>TOURN-SE</t>
  </si>
  <si>
    <t>HEM.B-SE</t>
  </si>
  <si>
    <t>VPLAY.B-SE</t>
  </si>
  <si>
    <t>PEG-DK</t>
  </si>
  <si>
    <t>STRAX-SE</t>
  </si>
  <si>
    <t>FERRO-SE</t>
  </si>
  <si>
    <t>ARCM-SE</t>
  </si>
  <si>
    <t>TRIBO.B-SE</t>
  </si>
  <si>
    <t>EQT-SE</t>
  </si>
  <si>
    <t>TROAX-SE</t>
  </si>
  <si>
    <t>KAR-SE</t>
  </si>
  <si>
    <t>LEVEL-SE</t>
  </si>
  <si>
    <t>OSSD-SE</t>
  </si>
  <si>
    <t>STWK-SE</t>
  </si>
  <si>
    <t>SIGN.B-SE</t>
  </si>
  <si>
    <t>ROV-DK</t>
  </si>
  <si>
    <t>SLP.B-SE</t>
  </si>
  <si>
    <t>FLUO-SE</t>
  </si>
  <si>
    <t>KONSOL-DK</t>
  </si>
  <si>
    <t>JOMA-SE</t>
  </si>
  <si>
    <t>HIQ-SE</t>
  </si>
  <si>
    <t>G2M-SE</t>
  </si>
  <si>
    <t>ORT.B-SE</t>
  </si>
  <si>
    <t>AZA-SE</t>
  </si>
  <si>
    <t>MNTC-SE</t>
  </si>
  <si>
    <t>EVO-SE</t>
  </si>
  <si>
    <t>VERT.B-SE</t>
  </si>
  <si>
    <t>LIPI-SE</t>
  </si>
  <si>
    <t>PTRK-SE</t>
  </si>
  <si>
    <t>ADAPT-SE</t>
  </si>
  <si>
    <t>KEBNI.B-SE</t>
  </si>
  <si>
    <t>K2A.B-SE</t>
  </si>
  <si>
    <t>INZILE-SE</t>
  </si>
  <si>
    <t>AKEL.D-SE</t>
  </si>
  <si>
    <t>SANION-SE</t>
  </si>
  <si>
    <t>ISS-DK</t>
  </si>
  <si>
    <t>MASHUP-SE</t>
  </si>
  <si>
    <t>MQ-SE</t>
  </si>
  <si>
    <t>QAIR-SE</t>
  </si>
  <si>
    <t>BICO-SE</t>
  </si>
  <si>
    <t>DUG-SE</t>
  </si>
  <si>
    <t>YOYO-DK</t>
  </si>
  <si>
    <t>BESQAB-SE</t>
  </si>
  <si>
    <t>SINCH-SE</t>
  </si>
  <si>
    <t>HEXI-SE</t>
  </si>
  <si>
    <t>NORION-SE</t>
  </si>
  <si>
    <t>SOZAP-SE</t>
  </si>
  <si>
    <t>BRAIN-SE</t>
  </si>
  <si>
    <t>OP-SE</t>
  </si>
  <si>
    <t>FPAR.A-SE</t>
  </si>
  <si>
    <t>24STOR-SE</t>
  </si>
  <si>
    <t>EPRO.B-SE</t>
  </si>
  <si>
    <t>OW-DK</t>
  </si>
  <si>
    <t>NET.B-SE</t>
  </si>
  <si>
    <t>QCORE-SE</t>
  </si>
  <si>
    <t>PIERCE-SE</t>
  </si>
  <si>
    <t>BINV-SE</t>
  </si>
  <si>
    <t>DSNO-SE</t>
  </si>
  <si>
    <t>NOVKAN-SE</t>
  </si>
  <si>
    <t>CANDLE.B-SE</t>
  </si>
  <si>
    <t>KAPIAB-SE</t>
  </si>
  <si>
    <t>SYSR-SE</t>
  </si>
  <si>
    <t>RFAST-SE</t>
  </si>
  <si>
    <t>IDOGEN-SE</t>
  </si>
  <si>
    <t>BRICK.B-SE</t>
  </si>
  <si>
    <t>COALA-SE</t>
  </si>
  <si>
    <t>NEWBRY-SE</t>
  </si>
  <si>
    <t>CEDER-SE</t>
  </si>
  <si>
    <t>LIFCO.B-SE</t>
  </si>
  <si>
    <t>DONKEY-DK</t>
  </si>
  <si>
    <t>ADVBOX-SE</t>
  </si>
  <si>
    <t>RECI.B-SE</t>
  </si>
  <si>
    <t>TRIFOR-DK</t>
  </si>
  <si>
    <t>GPG-SE</t>
  </si>
  <si>
    <t>MAGLE-SE</t>
  </si>
  <si>
    <t>KLARA.B-SE</t>
  </si>
  <si>
    <t>MOVINN-DK</t>
  </si>
  <si>
    <t>STABL-SE</t>
  </si>
  <si>
    <t>GIAB-SE</t>
  </si>
  <si>
    <t>THUNDR-SE</t>
  </si>
  <si>
    <t>WALL.B-SE</t>
  </si>
  <si>
    <t>ANOD.B-SE</t>
  </si>
  <si>
    <t>HEBA.B-SE</t>
  </si>
  <si>
    <t>ATCO.A-SE</t>
  </si>
  <si>
    <t>OBSE-SE</t>
  </si>
  <si>
    <t>NOBA-SE</t>
  </si>
  <si>
    <t>SKMO-SE</t>
  </si>
  <si>
    <t>IDUN.B-SE</t>
  </si>
  <si>
    <t>EMBELL-SE</t>
  </si>
  <si>
    <t>BOKUS-SE</t>
  </si>
  <si>
    <t>EMB-SE</t>
  </si>
  <si>
    <t>BRILL-SE</t>
  </si>
  <si>
    <t>MODEL-SE</t>
  </si>
  <si>
    <t>AOJ.B-DK</t>
  </si>
  <si>
    <t>AGROUP-SE</t>
  </si>
  <si>
    <t>VO2-SE</t>
  </si>
  <si>
    <t>BBROOM-SE</t>
  </si>
  <si>
    <t>STUDBO-SE</t>
  </si>
  <si>
    <t>SDOS-SE</t>
  </si>
  <si>
    <t>AGES.B-SE</t>
  </si>
  <si>
    <t>ADDT.B-SE</t>
  </si>
  <si>
    <t>SWEC.B-SE</t>
  </si>
  <si>
    <t>SES-SE</t>
  </si>
  <si>
    <t>ARPL-SE</t>
  </si>
  <si>
    <t>HUSCO-DK</t>
  </si>
  <si>
    <t>CIRCHE-SE</t>
  </si>
  <si>
    <t>GREAT-SE</t>
  </si>
  <si>
    <t>OPTI-SE</t>
  </si>
  <si>
    <t>OKEAC-DK</t>
  </si>
  <si>
    <t>DVYSR-SE</t>
  </si>
  <si>
    <t>FREJA-SE</t>
  </si>
  <si>
    <t>MILDEF-SE</t>
  </si>
  <si>
    <t>BAWAT-SE</t>
  </si>
  <si>
    <t>QLIRO-SE</t>
  </si>
  <si>
    <t>GIGA-SE</t>
  </si>
  <si>
    <t>STOR.B-SE</t>
  </si>
  <si>
    <t>SLEEP-SE</t>
  </si>
  <si>
    <t>CDMIL-SE</t>
  </si>
  <si>
    <t>GREENH-DK</t>
  </si>
  <si>
    <t>CINT-SE</t>
  </si>
  <si>
    <t>IMP.A-SE</t>
  </si>
  <si>
    <t>EMPLI-SE</t>
  </si>
  <si>
    <t>WTW.A-SE</t>
  </si>
  <si>
    <t>USWE-SE</t>
  </si>
  <si>
    <t>INISS.B-SE</t>
  </si>
  <si>
    <t>HTRO-SE</t>
  </si>
  <si>
    <t>XANO.B-SE</t>
  </si>
  <si>
    <t>CARA-SE</t>
  </si>
  <si>
    <t>PRFO-SE</t>
  </si>
  <si>
    <t>IAR.B-SE</t>
  </si>
  <si>
    <t>YIELD-SE</t>
  </si>
  <si>
    <t>CHECK-SE</t>
  </si>
  <si>
    <t>VEFAB-SE</t>
  </si>
  <si>
    <t>MOV-SE</t>
  </si>
  <si>
    <t>SAPIAB-SE</t>
  </si>
  <si>
    <t>SFAST-SE</t>
  </si>
  <si>
    <t>FASTAT-SE</t>
  </si>
  <si>
    <t>PROGEN-SE</t>
  </si>
  <si>
    <t>SF-SE</t>
  </si>
  <si>
    <t>NYTTO-SE</t>
  </si>
  <si>
    <t>NWG-SE</t>
  </si>
  <si>
    <t>TRUE.B-SE</t>
  </si>
  <si>
    <t>NORB.B-SE</t>
  </si>
  <si>
    <t>CTEK-SE</t>
  </si>
  <si>
    <t>BRAINP-DK</t>
  </si>
  <si>
    <t>RVRC-SE</t>
  </si>
  <si>
    <t>WPTG.B-SE</t>
  </si>
  <si>
    <t>VESTUM-SE</t>
  </si>
  <si>
    <t>OX2-SE</t>
  </si>
  <si>
    <t>LINKFI-SE</t>
  </si>
  <si>
    <t>TAGM.B-SE</t>
  </si>
  <si>
    <t>EPI.A-SE</t>
  </si>
  <si>
    <t>FRACTL-SE</t>
  </si>
  <si>
    <t>NPAPER-SE</t>
  </si>
  <si>
    <t>BRAVE-SE</t>
  </si>
  <si>
    <t>NILAR-SE</t>
  </si>
  <si>
    <t>LYGRD-SE</t>
  </si>
  <si>
    <t>L2S-SE</t>
  </si>
  <si>
    <t>HOVE-DK</t>
  </si>
  <si>
    <t>CRED.A-SE</t>
  </si>
  <si>
    <t>FLOWS-SE</t>
  </si>
  <si>
    <t>BUY-SE</t>
  </si>
  <si>
    <t>PILA-SE</t>
  </si>
  <si>
    <t>BIOEX-SE</t>
  </si>
  <si>
    <t>MODTX-SE</t>
  </si>
  <si>
    <t>STENO-DK</t>
  </si>
  <si>
    <t>YUBICO-SE</t>
  </si>
  <si>
    <t>CHEF-SE</t>
  </si>
  <si>
    <t>SUS-SE</t>
  </si>
  <si>
    <t>VIVA-SE</t>
  </si>
  <si>
    <t>TENEO-SE</t>
  </si>
  <si>
    <t>AAC-SE</t>
  </si>
  <si>
    <t>JDAN-DK</t>
  </si>
  <si>
    <t>BRG.B-SE</t>
  </si>
  <si>
    <t>HLUN.B-DK</t>
  </si>
  <si>
    <t>LEDIBOND-DK</t>
  </si>
  <si>
    <t>OEM.B-SE</t>
  </si>
  <si>
    <t>TRIAN.B-SE</t>
  </si>
  <si>
    <t>MEDHLP-SE</t>
  </si>
  <si>
    <t>NIVI.B-SE</t>
  </si>
  <si>
    <t>WBGR.B-SE</t>
  </si>
  <si>
    <t>KAMBI-SE</t>
  </si>
  <si>
    <t>ME-SE</t>
  </si>
  <si>
    <t>LNFI-SE</t>
  </si>
  <si>
    <t>ALLEI-SE</t>
  </si>
  <si>
    <t>DELARK-SE</t>
  </si>
  <si>
    <t>FOI.B-SE</t>
  </si>
  <si>
    <t>STAR.B-SE</t>
  </si>
  <si>
    <t>VNV-SE</t>
  </si>
  <si>
    <t>NELLY-SE</t>
  </si>
  <si>
    <t>NEOLA-SE</t>
  </si>
  <si>
    <t>FAGA-SE</t>
  </si>
  <si>
    <t>INVE.B-SE</t>
  </si>
  <si>
    <t>LOOMIS-SE</t>
  </si>
  <si>
    <t>ONCOZ-SE</t>
  </si>
  <si>
    <t>PHARM-SE</t>
  </si>
  <si>
    <t>BOAT-SE</t>
  </si>
  <si>
    <t>ALIF.B-SE</t>
  </si>
  <si>
    <t>PLEX-SE</t>
  </si>
  <si>
    <t>GCOR-SE</t>
  </si>
  <si>
    <t>NRDF-DK</t>
  </si>
  <si>
    <t>LXB-SE</t>
  </si>
  <si>
    <t>BETS.B-SE</t>
  </si>
  <si>
    <t>LAGR.B-SE</t>
  </si>
  <si>
    <t>READ-SE</t>
  </si>
  <si>
    <t>LPGO-SE</t>
  </si>
  <si>
    <t>ALBERT-SE</t>
  </si>
  <si>
    <t>CS-SE</t>
  </si>
  <si>
    <t>NOLA.B-SE</t>
  </si>
  <si>
    <t>PACT-SE</t>
  </si>
  <si>
    <t>BIOGAS-SE</t>
  </si>
  <si>
    <t>QLOSR.B-SE</t>
  </si>
  <si>
    <t>AVENT.B-SE</t>
  </si>
  <si>
    <t>MOBA-SE</t>
  </si>
  <si>
    <t>PENNEO-DK</t>
  </si>
  <si>
    <t>TITA.B-SE</t>
  </si>
  <si>
    <t>GUBRA-DK</t>
  </si>
  <si>
    <t>LINC-SE</t>
  </si>
  <si>
    <t>MAVEN-SE</t>
  </si>
  <si>
    <t>PSCAND-SE</t>
  </si>
  <si>
    <t>INT-SE</t>
  </si>
  <si>
    <t>LCLEAN-SE</t>
  </si>
  <si>
    <t>ACAST-SE</t>
  </si>
  <si>
    <t>PAGERO-SE</t>
  </si>
  <si>
    <t>CASE-SE</t>
  </si>
  <si>
    <t>PADEL-SE</t>
  </si>
  <si>
    <t>HEM-SE</t>
  </si>
  <si>
    <t>FMM.B-SE</t>
  </si>
  <si>
    <t>KFAST.B-SE</t>
  </si>
  <si>
    <t>LARK-SE</t>
  </si>
  <si>
    <t>OFFHUS-SE</t>
  </si>
  <si>
    <t>SIGNUP-SE</t>
  </si>
  <si>
    <t>UIE-DK</t>
  </si>
  <si>
    <t>AAA-SE</t>
  </si>
  <si>
    <t>DYVOX-SE</t>
  </si>
  <si>
    <t>BFG-SE</t>
  </si>
  <si>
    <t>HAYPP-SE</t>
  </si>
  <si>
    <t>VWS-DK</t>
  </si>
  <si>
    <t>NETEL-SE</t>
  </si>
  <si>
    <t>AQP-DK</t>
  </si>
  <si>
    <t>GARO-SE</t>
  </si>
  <si>
    <t>CHRO-SE</t>
  </si>
  <si>
    <t>CALVIK-SE</t>
  </si>
  <si>
    <t>TELLUS-SE</t>
  </si>
  <si>
    <t>EXS-SE</t>
  </si>
  <si>
    <t>AFRY-SE</t>
  </si>
  <si>
    <t>NIBE.B-SE</t>
  </si>
  <si>
    <t>ACUVI-SE</t>
  </si>
  <si>
    <t>COMH-SE</t>
  </si>
  <si>
    <t>BESQ-SE</t>
  </si>
  <si>
    <t>MTG.B-SE</t>
  </si>
  <si>
    <t>RUG-SE</t>
  </si>
  <si>
    <t>ENGCON.B-SE</t>
  </si>
  <si>
    <t>ESGR.B-SE</t>
  </si>
  <si>
    <t>CDON-SE</t>
  </si>
  <si>
    <t>DEAR-SE</t>
  </si>
  <si>
    <t>RENEW-SE</t>
  </si>
  <si>
    <t>SAVE-SE</t>
  </si>
  <si>
    <t>SFL-SE</t>
  </si>
  <si>
    <t>DLAB-SE</t>
  </si>
  <si>
    <t>DEV-SE</t>
  </si>
  <si>
    <t>REFINE-SE</t>
  </si>
  <si>
    <t>SVOL.B-SE</t>
  </si>
  <si>
    <t>VISC-SE</t>
  </si>
  <si>
    <t>TRAIN.B-SE</t>
  </si>
  <si>
    <t>ALM-SE</t>
  </si>
  <si>
    <t>HELIO-SE</t>
  </si>
  <si>
    <t>HANZA-SE</t>
  </si>
  <si>
    <t>ANNE.B-SE</t>
  </si>
  <si>
    <t>QUIA-SE</t>
  </si>
  <si>
    <t>SPARK-DK</t>
  </si>
  <si>
    <t>BACTI.B-SE</t>
  </si>
  <si>
    <t>CX-SE</t>
  </si>
  <si>
    <t>ALK.B-DK</t>
  </si>
  <si>
    <t>SCST-SE</t>
  </si>
  <si>
    <t>PREC-SE</t>
  </si>
  <si>
    <t>AMNI-SE</t>
  </si>
  <si>
    <t>VIMIAN-SE</t>
  </si>
  <si>
    <t>ACRI.A-SE</t>
  </si>
  <si>
    <t>FUUD-SE</t>
  </si>
  <si>
    <t>ENVAR-SE</t>
  </si>
  <si>
    <t>EMIL.B-SE</t>
  </si>
  <si>
    <t>ATIN-SE</t>
  </si>
  <si>
    <t>GOGRID-SE</t>
  </si>
  <si>
    <t>SECARE-SE</t>
  </si>
  <si>
    <t>FG-SE</t>
  </si>
  <si>
    <t>SEDANA-SE</t>
  </si>
  <si>
    <t>IMMU-SE</t>
  </si>
  <si>
    <t>TH1NG-SE</t>
  </si>
  <si>
    <t>FLUI-SE</t>
  </si>
  <si>
    <t>VUXEN-SE</t>
  </si>
  <si>
    <t>VER-SE</t>
  </si>
  <si>
    <t>TETY-SE</t>
  </si>
  <si>
    <t>ELIC-SE</t>
  </si>
  <si>
    <t>ITAB-SE</t>
  </si>
  <si>
    <t>TGAMES-DK</t>
  </si>
  <si>
    <t>NCAB-SE</t>
  </si>
  <si>
    <t>SMSMED-DK</t>
  </si>
  <si>
    <t>HEXA.B-SE</t>
  </si>
  <si>
    <t>BRIGHT-SE</t>
  </si>
  <si>
    <t>SWMA-SE</t>
  </si>
  <si>
    <t>ADTR-SE</t>
  </si>
  <si>
    <t>PCOM.B-SE</t>
  </si>
  <si>
    <t>LIPUM-SE</t>
  </si>
  <si>
    <t>BEIJ.B-SE</t>
  </si>
  <si>
    <t>MBOLIC-SE</t>
  </si>
  <si>
    <t>SFAB-SE</t>
  </si>
  <si>
    <t>SYNSAM-SE</t>
  </si>
  <si>
    <t>HEART-SE</t>
  </si>
  <si>
    <t>MMGR.B-SE</t>
  </si>
  <si>
    <t>MOB-SE</t>
  </si>
  <si>
    <t>CARE-SE</t>
  </si>
  <si>
    <t>NEOD-SE</t>
  </si>
  <si>
    <t>FNOX-SE</t>
  </si>
  <si>
    <t>XPC-SE</t>
  </si>
  <si>
    <t>NOVO.B-DK</t>
  </si>
  <si>
    <t>MESTRO-SE</t>
  </si>
  <si>
    <t>W5-SE</t>
  </si>
  <si>
    <t>CHARGE-SE</t>
  </si>
  <si>
    <t>FIRST.B-SE</t>
  </si>
  <si>
    <t>RIZZO.B-SE</t>
  </si>
  <si>
    <t>SMCRT-SE</t>
  </si>
  <si>
    <t>ELUX.B-SE</t>
  </si>
  <si>
    <t>NORVA-SE</t>
  </si>
  <si>
    <t>4C-SE</t>
  </si>
  <si>
    <t>BUSER-SE</t>
  </si>
  <si>
    <t>FLERIE-SE</t>
  </si>
  <si>
    <t>ALPCOT.B-SE</t>
  </si>
  <si>
    <t>RELE-DK</t>
  </si>
  <si>
    <t>KARNEL.B-SE</t>
  </si>
  <si>
    <t>LUMEN-SE</t>
  </si>
  <si>
    <t>FASTPC-DK</t>
  </si>
  <si>
    <t>CINIS-SE</t>
  </si>
  <si>
    <t>GUARD-SE</t>
  </si>
  <si>
    <t>LOGI.A-SE</t>
  </si>
  <si>
    <t>RESQ-SE</t>
  </si>
  <si>
    <t>ONEF-SE</t>
  </si>
  <si>
    <t>OBAB-SE</t>
  </si>
  <si>
    <t>CE-SE</t>
  </si>
  <si>
    <t>CIRCLE.B-SE</t>
  </si>
  <si>
    <t>BEAMMW.B-SE</t>
  </si>
  <si>
    <t>WIHL-SE</t>
  </si>
  <si>
    <t>BALD.B-SE</t>
  </si>
  <si>
    <t>SIVI-SE</t>
  </si>
  <si>
    <t>SIBEK-SE</t>
  </si>
  <si>
    <t>SKOLON-SE</t>
  </si>
  <si>
    <t>INSTAL-SE</t>
  </si>
  <si>
    <t>DDM-SE</t>
  </si>
  <si>
    <t>ARCTIC-SE</t>
  </si>
  <si>
    <t>BIOG.B-SE</t>
  </si>
  <si>
    <t>SVITZR-DK</t>
  </si>
  <si>
    <t>SAAB.B-SE</t>
  </si>
  <si>
    <t>GRANGX-SE</t>
  </si>
  <si>
    <t>TWW-SE</t>
  </si>
  <si>
    <t>BOL-SE</t>
  </si>
  <si>
    <t>KBC-SE</t>
  </si>
  <si>
    <t>MVIR-SE</t>
  </si>
  <si>
    <t>INTEA.B-SE</t>
  </si>
  <si>
    <t>GBK-SE</t>
  </si>
  <si>
    <t>CLIME.B-SE</t>
  </si>
  <si>
    <t>NYAB-SE</t>
  </si>
  <si>
    <t>NREST-SE</t>
  </si>
  <si>
    <t>RIGHTB-SE</t>
  </si>
  <si>
    <t>MOMENT-SE</t>
  </si>
  <si>
    <t>SGG-SE</t>
  </si>
  <si>
    <t>ABSO-SE</t>
  </si>
  <si>
    <t>ITAL-SE</t>
  </si>
  <si>
    <t>NEWA.B-SE</t>
  </si>
  <si>
    <t>ADVE-SE</t>
  </si>
  <si>
    <t>OBOYA.B-SE</t>
  </si>
  <si>
    <t>ATORX-SE</t>
  </si>
  <si>
    <t>WRV-SE</t>
  </si>
  <si>
    <t>INWI-SE</t>
  </si>
  <si>
    <t>HOYLU-SE</t>
  </si>
  <si>
    <t>AERO-SE</t>
  </si>
  <si>
    <t>SILEON-SE</t>
  </si>
  <si>
    <t>XBRANE-SE</t>
  </si>
  <si>
    <t>OODA-SE</t>
  </si>
  <si>
    <t>CMH-SE</t>
  </si>
  <si>
    <t>SECT.B-SE</t>
  </si>
  <si>
    <t>NFGAB-SE</t>
  </si>
  <si>
    <t>CLEM-SE</t>
  </si>
  <si>
    <t>CLS.B-SE</t>
  </si>
  <si>
    <t>KINV.B-SE</t>
  </si>
  <si>
    <t>GRNG-SE</t>
  </si>
  <si>
    <t>ROCK.B-DK</t>
  </si>
  <si>
    <t>SNX-SE</t>
  </si>
  <si>
    <t>SFTR-SE</t>
  </si>
  <si>
    <t>BORG-SE</t>
  </si>
  <si>
    <t>STRAP-DK</t>
  </si>
  <si>
    <t>IS-SE</t>
  </si>
  <si>
    <t>BERNER.B-SE</t>
  </si>
  <si>
    <t>APOTEA-SE</t>
  </si>
  <si>
    <t>ARCT-SE</t>
  </si>
  <si>
    <t>VOLCAR.B-SE</t>
  </si>
  <si>
    <t>PLUN-SE</t>
  </si>
  <si>
    <t>SPOTR-SE</t>
  </si>
  <si>
    <t>SAXG-SE</t>
  </si>
  <si>
    <t>QSYS-SE</t>
  </si>
  <si>
    <t>QLIFE-SE</t>
  </si>
  <si>
    <t>PERP.B-SE</t>
  </si>
  <si>
    <t>QBEN-SE</t>
  </si>
  <si>
    <t>PMDS-SE</t>
  </si>
  <si>
    <t>ARENIT-SE</t>
  </si>
  <si>
    <t>PRISMA-SE</t>
  </si>
  <si>
    <t>EAST-SE</t>
  </si>
  <si>
    <t>ANNX-SE</t>
  </si>
  <si>
    <t>RUSTA-SE</t>
  </si>
  <si>
    <t>AJA.B-SE</t>
  </si>
  <si>
    <t>AQ-SE</t>
  </si>
  <si>
    <t>KJELL-SE</t>
  </si>
  <si>
    <t>SVEAF-SE</t>
  </si>
  <si>
    <t>FRAG-SE</t>
  </si>
  <si>
    <t>SPRINT-SE</t>
  </si>
  <si>
    <t>HUMBLE-SE</t>
  </si>
  <si>
    <t>ENITY-SE</t>
  </si>
  <si>
    <t>ARCOMA-SE</t>
  </si>
  <si>
    <t>REDW-SE</t>
  </si>
  <si>
    <t>NOBI-SE</t>
  </si>
  <si>
    <t>GIG-SE</t>
  </si>
  <si>
    <t>MANTEX-SE</t>
  </si>
  <si>
    <t>THULE-SE</t>
  </si>
  <si>
    <t>ASMDEE.B-SE</t>
  </si>
  <si>
    <t>MORROW-SE</t>
  </si>
  <si>
    <t>CCC-SE</t>
  </si>
  <si>
    <t>HDW.B-SE</t>
  </si>
  <si>
    <t>AUTO-SE</t>
  </si>
  <si>
    <t>WSG-SE</t>
  </si>
  <si>
    <t>WYLD-SE</t>
  </si>
  <si>
    <t>CINPHA-SE</t>
  </si>
  <si>
    <t>LEA-SE</t>
  </si>
  <si>
    <t>TERNOR-SE</t>
  </si>
  <si>
    <t>NP3-SE</t>
  </si>
  <si>
    <t>QBIM-SE</t>
  </si>
  <si>
    <t>QLINEA-SE</t>
  </si>
  <si>
    <t>EXPRS2-SE</t>
  </si>
  <si>
    <t>ASKER-SE</t>
  </si>
  <si>
    <t>PCELL-SE</t>
  </si>
  <si>
    <t>EMBRAC.B-SE</t>
  </si>
  <si>
    <t>BUFAB-SE</t>
  </si>
  <si>
    <t>STEF.B-SE</t>
  </si>
  <si>
    <t>KLOV.A-SE</t>
  </si>
  <si>
    <t>AVARDA-SE</t>
  </si>
  <si>
    <t>CI-SE</t>
  </si>
  <si>
    <t>MYCR-SE</t>
  </si>
  <si>
    <t>ATRLJ.B-SE</t>
  </si>
  <si>
    <t>FING.B-SE</t>
  </si>
  <si>
    <t>ROKO.B-SE</t>
  </si>
  <si>
    <t>HACK-SE</t>
  </si>
  <si>
    <t>TBDY-SE</t>
  </si>
  <si>
    <t>CLINE.B-SE</t>
  </si>
  <si>
    <t>NEWTON-SE</t>
  </si>
  <si>
    <t>COFFEE.B-SE</t>
  </si>
  <si>
    <t>DUST-SE</t>
  </si>
  <si>
    <t>HOFI-SE</t>
  </si>
  <si>
    <t>CANTA-SE</t>
  </si>
  <si>
    <t>AXFO-SE</t>
  </si>
  <si>
    <t>VSURE-SE</t>
  </si>
  <si>
    <t>BIOSGN-SE</t>
  </si>
  <si>
    <t>ELTEL-SE</t>
  </si>
  <si>
    <t>ORGC-SE</t>
  </si>
  <si>
    <t>NNIT-DK</t>
  </si>
  <si>
    <t>GULD-SE</t>
  </si>
  <si>
    <t>TRANS-SE</t>
  </si>
  <si>
    <t>ARFA-SE</t>
  </si>
  <si>
    <t>NANEXA-SE</t>
  </si>
  <si>
    <t>SPEONE-SE</t>
  </si>
  <si>
    <t>TOBII-SE</t>
  </si>
  <si>
    <t>INSP-SE</t>
  </si>
  <si>
    <t>NOSA-SE</t>
  </si>
  <si>
    <t>RBREW-DK</t>
  </si>
  <si>
    <t>HPOL.B-SE</t>
  </si>
  <si>
    <t>TRYG-DK</t>
  </si>
  <si>
    <t>SHB.A-SE</t>
  </si>
  <si>
    <t>HEMF-SE</t>
  </si>
  <si>
    <t>ORI-SE</t>
  </si>
  <si>
    <t>AINO-SE</t>
  </si>
  <si>
    <t>ALZ-SE</t>
  </si>
  <si>
    <t>CTEC-SE</t>
  </si>
  <si>
    <t>PAAL.B-DK</t>
  </si>
  <si>
    <t>WAYS-SE</t>
  </si>
  <si>
    <t>ENEA-SE</t>
  </si>
  <si>
    <t>ASSA.B-SE</t>
  </si>
  <si>
    <t>HEGR-SE</t>
  </si>
  <si>
    <t>LITI-SE</t>
  </si>
  <si>
    <t>TOL-SE</t>
  </si>
  <si>
    <t>CYB1-SE</t>
  </si>
  <si>
    <t>MCOV.B-SE</t>
  </si>
  <si>
    <t>WTX-SE</t>
  </si>
  <si>
    <t>ORES-SE</t>
  </si>
  <si>
    <t>CLBIO-SE</t>
  </si>
  <si>
    <t>SCIB-SE</t>
  </si>
  <si>
    <t>SPEC-SE</t>
  </si>
  <si>
    <t>SOLT-SE</t>
  </si>
  <si>
    <t>TORM.A-DK</t>
  </si>
  <si>
    <t>DFDS-DK</t>
  </si>
  <si>
    <t>DOM-SE</t>
  </si>
  <si>
    <t>SHOT-SE</t>
  </si>
  <si>
    <t>KIND-SE</t>
  </si>
  <si>
    <t>BONAS-SE</t>
  </si>
  <si>
    <t>ORSTED-DK</t>
  </si>
  <si>
    <t>SOLNA-SE</t>
  </si>
  <si>
    <t>CAPIO-SE</t>
  </si>
  <si>
    <t>VIMAB-SE</t>
  </si>
  <si>
    <t>TRENT-SE</t>
  </si>
  <si>
    <t>GOMX-SE</t>
  </si>
  <si>
    <t>TSEC-SE</t>
  </si>
  <si>
    <t>OXE-SE</t>
  </si>
  <si>
    <t>GABA-SE</t>
  </si>
  <si>
    <t>CORE.A-SE</t>
  </si>
  <si>
    <t>K33-SE</t>
  </si>
  <si>
    <t>CINN-SE</t>
  </si>
  <si>
    <t>FRAM.B-SE</t>
  </si>
  <si>
    <t>BAHN.B-SE</t>
  </si>
  <si>
    <t>CAMX-SE</t>
  </si>
  <si>
    <t>AZELIO-SE</t>
  </si>
  <si>
    <t>CIBUS-SE</t>
  </si>
  <si>
    <t>VICO-SE</t>
  </si>
  <si>
    <t>KLAR-SE</t>
  </si>
  <si>
    <t>ALZCUR-SE</t>
  </si>
  <si>
    <t>SJF-DK</t>
  </si>
  <si>
    <t>BRIN.B-SE</t>
  </si>
  <si>
    <t>CFISH-SE</t>
  </si>
  <si>
    <t>ANOT-SE</t>
  </si>
  <si>
    <t>CHER.B-SE</t>
  </si>
  <si>
    <t>AMBEA-SE</t>
  </si>
  <si>
    <t>SONE-SE</t>
  </si>
  <si>
    <t>UNIBAP-SE</t>
  </si>
  <si>
    <t>INIT-SE</t>
  </si>
  <si>
    <t>IBT.B-SE</t>
  </si>
  <si>
    <t>STORY.B-SE</t>
  </si>
  <si>
    <t>LEO-SE</t>
  </si>
  <si>
    <t>ALLG.B-SE</t>
  </si>
  <si>
    <t>KARO-SE</t>
  </si>
  <si>
    <t>BYGGP-SE</t>
  </si>
  <si>
    <t>NIL.B-SE</t>
  </si>
  <si>
    <t>NOBINA-SE</t>
  </si>
  <si>
    <t>IMMNOV-SE</t>
  </si>
  <si>
    <t>NICA-SE</t>
  </si>
  <si>
    <t>CRNO.B-SE</t>
  </si>
  <si>
    <t>ISR-SE</t>
  </si>
  <si>
    <t>COOR-SE</t>
  </si>
  <si>
    <t>STG-DK</t>
  </si>
  <si>
    <t>HUM-SE</t>
  </si>
  <si>
    <t>XINT-SE</t>
  </si>
  <si>
    <t>BEGR-SE</t>
  </si>
  <si>
    <t>EOLU.B-SE</t>
  </si>
  <si>
    <t>ALCA-SE</t>
  </si>
  <si>
    <t>TMG-SE</t>
  </si>
  <si>
    <t>MINEST-SE</t>
  </si>
  <si>
    <t>CTM-SE</t>
  </si>
  <si>
    <t>SRNKE.B-SE</t>
  </si>
  <si>
    <t>MAG-SE</t>
  </si>
  <si>
    <t>VOLO-SE</t>
  </si>
  <si>
    <t>ACOU-SE</t>
  </si>
  <si>
    <t>DEMANT-DK</t>
  </si>
  <si>
    <t>TALK-SE</t>
  </si>
  <si>
    <t>NLFSK-DK</t>
  </si>
  <si>
    <t>AGRO-SE</t>
  </si>
  <si>
    <t>KAKEL-SE</t>
  </si>
  <si>
    <t>MTRS-SE</t>
  </si>
  <si>
    <t>STRLNG-SE</t>
  </si>
  <si>
    <t>PNDX.B-SE</t>
  </si>
  <si>
    <t>HOVD-SE</t>
  </si>
  <si>
    <t>ALIG-SE</t>
  </si>
  <si>
    <t>NDX-SE</t>
  </si>
  <si>
    <t>MCAP-SE</t>
  </si>
  <si>
    <t>BRAV-SE</t>
  </si>
  <si>
    <t>CBA-SE</t>
  </si>
  <si>
    <t>FLEXM-SE</t>
  </si>
  <si>
    <t>ATT-SE</t>
  </si>
  <si>
    <t>NOMI-SE</t>
  </si>
  <si>
    <t>BOOZT-SE</t>
  </si>
  <si>
    <t>HMS-SE</t>
  </si>
  <si>
    <t>TRMD.A-DK</t>
  </si>
  <si>
    <t>INTEG.B-SE</t>
  </si>
  <si>
    <t>LATO.B-SE</t>
  </si>
  <si>
    <t>POLYG-SE</t>
  </si>
  <si>
    <t>SENZA-SE</t>
  </si>
  <si>
    <t>SECI-SE</t>
  </si>
  <si>
    <t>XMR-SE</t>
  </si>
  <si>
    <t>BONAV.B-SE</t>
  </si>
  <si>
    <t>ONCO-SE</t>
  </si>
  <si>
    <t>IVACC-SE</t>
  </si>
  <si>
    <t>SECS-SE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</si>
</sst>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0"/>
      <color theme="1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  <xf numFmtId="14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071A9-36F0-45EB-9162-D4EA1FA8FEE1}">
  <sheetPr>
    <outlinePr summaryBelow="0" summaryRight="0"/>
    <pageSetUpPr fitToPage="1"/>
  </sheetPr>
  <dimension ref="A1:P1844"/>
  <sheetViews>
    <sheetView tabSelected="1" workbookViewId="0">
      <pane xSplit="2" ySplit="1" topLeftCell="C2" activePane="bottomRight" state="frozen"/>
      <selection pane="topRight" activeCell="C1" sqref="C1"/>
      <selection pane="bottomLeft" activeCell="A6" sqref="A6"/>
      <selection pane="bottomRight" activeCell="T15" sqref="T15"/>
    </sheetView>
  </sheetViews>
  <sheetFormatPr defaultColWidth="9.140625" defaultRowHeight="15" customHeight="1" x14ac:dyDescent="0.2"/>
  <cols>
    <col min="1" max="1" width="9" bestFit="1" customWidth="1"/>
    <col min="2" max="2" width="55.85546875" bestFit="1" customWidth="1"/>
    <col min="3" max="3" width="24.85546875" bestFit="1" customWidth="1"/>
    <col min="4" max="4" width="8.140625" bestFit="1" customWidth="1"/>
    <col min="5" max="5" width="9.85546875" bestFit="1" customWidth="1"/>
    <col min="6" max="7" width="12.42578125" bestFit="1" customWidth="1"/>
    <col min="8" max="8" width="9.28515625" bestFit="1" customWidth="1"/>
    <col min="9" max="9" width="12.85546875" bestFit="1" customWidth="1"/>
    <col min="10" max="10" width="35.140625" bestFit="1" customWidth="1"/>
    <col min="11" max="11" width="14.42578125" bestFit="1" customWidth="1"/>
    <col min="12" max="12" width="11.5703125" bestFit="1" customWidth="1"/>
    <col min="13" max="13" width="17.5703125" bestFit="1" customWidth="1"/>
    <col min="14" max="14" width="16.85546875" bestFit="1" customWidth="1"/>
    <col min="20" max="20" width="8.140625" bestFit="1" customWidth="1"/>
  </cols>
  <sheetData>
    <row r="1" spans="1:16" ht="24" x14ac:dyDescent="0.2">
      <c r="A1" s="3" t="s">
        <v>5407</v>
      </c>
      <c r="B1" s="3" t="s">
        <v>5408</v>
      </c>
      <c r="C1" s="3" t="s">
        <v>5409</v>
      </c>
      <c r="D1" s="3" t="s">
        <v>5410</v>
      </c>
      <c r="E1" s="3" t="s">
        <v>5411</v>
      </c>
      <c r="F1" s="3" t="s">
        <v>5412</v>
      </c>
      <c r="G1" s="4" t="s">
        <v>5413</v>
      </c>
      <c r="H1" s="3" t="s">
        <v>5414</v>
      </c>
      <c r="I1" s="4" t="s">
        <v>5415</v>
      </c>
      <c r="J1" s="3" t="s">
        <v>5416</v>
      </c>
      <c r="K1" s="3" t="s">
        <v>5417</v>
      </c>
      <c r="L1" s="4" t="s">
        <v>5418</v>
      </c>
      <c r="M1" t="s">
        <v>5419</v>
      </c>
      <c r="N1" t="s">
        <v>5420</v>
      </c>
      <c r="O1" t="s">
        <v>5421</v>
      </c>
      <c r="P1" s="3" t="s">
        <v>5422</v>
      </c>
    </row>
    <row r="2" spans="1:16" ht="15" customHeight="1" x14ac:dyDescent="0.2">
      <c r="A2" s="1" t="s">
        <v>0</v>
      </c>
      <c r="B2" s="1" t="s">
        <v>1</v>
      </c>
      <c r="C2" s="1" t="s">
        <v>2</v>
      </c>
      <c r="D2" s="1" t="s">
        <v>3</v>
      </c>
      <c r="E2" s="5">
        <v>31049</v>
      </c>
      <c r="F2" s="5">
        <v>38667</v>
      </c>
      <c r="G2" s="2"/>
      <c r="H2" s="1" t="s">
        <v>4</v>
      </c>
      <c r="I2" s="2"/>
      <c r="J2" s="1" t="s">
        <v>5</v>
      </c>
      <c r="K2" s="1" t="s">
        <v>6</v>
      </c>
      <c r="L2" s="2"/>
      <c r="M2" t="str">
        <f>IF(OR(G2="",L2=""),"",G2*L2)</f>
        <v/>
      </c>
      <c r="N2" t="str">
        <f>IF(M2="","",IF(H2="DKK",M2/7.45,IF(H2="SEK",M2/11.3,M2)))</f>
        <v/>
      </c>
      <c r="O2" t="str">
        <f>IF(AND(E2&lt;=DATE(2024,12,31),F2&gt;=DATE(2010,1,1),D2="SHARE",N2&gt;=100000),"BEHOLD","FJERN")</f>
        <v>FJERN</v>
      </c>
      <c r="P2" s="1" t="s">
        <v>5423</v>
      </c>
    </row>
    <row r="3" spans="1:16" ht="15" customHeight="1" x14ac:dyDescent="0.2">
      <c r="A3" s="1" t="s">
        <v>7</v>
      </c>
      <c r="B3" s="1" t="s">
        <v>8</v>
      </c>
      <c r="C3" s="1" t="s">
        <v>9</v>
      </c>
      <c r="D3" s="1" t="s">
        <v>3</v>
      </c>
      <c r="E3" s="5">
        <v>33444</v>
      </c>
      <c r="F3" s="5">
        <v>36515</v>
      </c>
      <c r="G3" s="2"/>
      <c r="H3" s="1" t="s">
        <v>10</v>
      </c>
      <c r="I3" s="2"/>
      <c r="J3" s="1" t="s">
        <v>11</v>
      </c>
      <c r="K3" s="1" t="s">
        <v>12</v>
      </c>
      <c r="L3" s="2"/>
      <c r="M3" t="str">
        <f t="shared" ref="M3:M66" si="0">IF(OR(G3="",L3=""),"",G3*L3)</f>
        <v/>
      </c>
      <c r="N3" t="str">
        <f t="shared" ref="N3:N66" si="1">IF(M3="","",IF(H3="DKK",M3/7.45,IF(H3="SEK",M3/11.3,M3)))</f>
        <v/>
      </c>
      <c r="O3" t="str">
        <f>IF(AND(E3&lt;=DATE(2024,12,31),F3&gt;=DATE(2010,1,1),D3="SHARE",N3&gt;=100000),"BEHOLD","FJERN")</f>
        <v>FJERN</v>
      </c>
      <c r="P3" s="1"/>
    </row>
    <row r="4" spans="1:16" ht="15" customHeight="1" x14ac:dyDescent="0.2">
      <c r="A4" s="1" t="s">
        <v>13</v>
      </c>
      <c r="B4" s="1" t="s">
        <v>14</v>
      </c>
      <c r="C4" s="1" t="s">
        <v>2</v>
      </c>
      <c r="D4" s="1" t="s">
        <v>3</v>
      </c>
      <c r="E4" s="5">
        <v>32895</v>
      </c>
      <c r="F4" s="5">
        <v>37032</v>
      </c>
      <c r="G4" s="2"/>
      <c r="H4" s="1" t="s">
        <v>4</v>
      </c>
      <c r="I4" s="2"/>
      <c r="J4" s="1" t="s">
        <v>15</v>
      </c>
      <c r="K4" s="1" t="s">
        <v>16</v>
      </c>
      <c r="L4" s="2"/>
      <c r="M4" t="str">
        <f t="shared" si="0"/>
        <v/>
      </c>
      <c r="N4" t="str">
        <f t="shared" si="1"/>
        <v/>
      </c>
      <c r="O4" t="str">
        <f t="shared" ref="O4:O66" si="2">IF(AND(E4&lt;=DATE(2024,12,31),F4&gt;=DATE(2010,1,1),D4="SHARE",N4&gt;=100000),"BEHOLD","FJERN")</f>
        <v>FJERN</v>
      </c>
      <c r="P4" s="1"/>
    </row>
    <row r="5" spans="1:16" ht="15" customHeight="1" x14ac:dyDescent="0.2">
      <c r="A5" s="1" t="s">
        <v>17</v>
      </c>
      <c r="B5" s="1" t="s">
        <v>18</v>
      </c>
      <c r="C5" s="1" t="s">
        <v>9</v>
      </c>
      <c r="D5" s="1" t="s">
        <v>3</v>
      </c>
      <c r="E5" s="5">
        <v>34642</v>
      </c>
      <c r="F5" s="5">
        <v>38842</v>
      </c>
      <c r="G5" s="2"/>
      <c r="H5" s="1" t="s">
        <v>10</v>
      </c>
      <c r="I5" s="2"/>
      <c r="J5" s="1" t="s">
        <v>19</v>
      </c>
      <c r="K5" s="1" t="s">
        <v>20</v>
      </c>
      <c r="L5" s="2"/>
      <c r="M5" t="str">
        <f t="shared" si="0"/>
        <v/>
      </c>
      <c r="N5" t="str">
        <f t="shared" si="1"/>
        <v/>
      </c>
      <c r="O5" t="str">
        <f t="shared" si="2"/>
        <v>FJERN</v>
      </c>
      <c r="P5" s="1" t="s">
        <v>5424</v>
      </c>
    </row>
    <row r="6" spans="1:16" ht="15" customHeight="1" x14ac:dyDescent="0.2">
      <c r="A6" s="1" t="s">
        <v>21</v>
      </c>
      <c r="B6" s="1" t="s">
        <v>22</v>
      </c>
      <c r="C6" s="1" t="s">
        <v>9</v>
      </c>
      <c r="D6" s="1" t="s">
        <v>3</v>
      </c>
      <c r="E6" s="5">
        <v>32764</v>
      </c>
      <c r="F6" s="5">
        <v>33402</v>
      </c>
      <c r="G6" s="2"/>
      <c r="H6" s="1" t="s">
        <v>10</v>
      </c>
      <c r="I6" s="2"/>
      <c r="J6" s="1" t="s">
        <v>23</v>
      </c>
      <c r="K6" s="1" t="s">
        <v>24</v>
      </c>
      <c r="L6" s="2"/>
      <c r="M6" t="str">
        <f t="shared" si="0"/>
        <v/>
      </c>
      <c r="N6" t="str">
        <f t="shared" si="1"/>
        <v/>
      </c>
      <c r="O6" t="str">
        <f t="shared" si="2"/>
        <v>FJERN</v>
      </c>
      <c r="P6" s="1"/>
    </row>
    <row r="7" spans="1:16" ht="15" customHeight="1" x14ac:dyDescent="0.2">
      <c r="A7" s="1" t="s">
        <v>25</v>
      </c>
      <c r="B7" s="1" t="s">
        <v>26</v>
      </c>
      <c r="C7" s="1" t="s">
        <v>9</v>
      </c>
      <c r="D7" s="1" t="s">
        <v>3</v>
      </c>
      <c r="E7" s="5">
        <v>31049</v>
      </c>
      <c r="F7" s="5">
        <v>33456</v>
      </c>
      <c r="G7" s="2"/>
      <c r="H7" s="1" t="s">
        <v>10</v>
      </c>
      <c r="I7" s="2"/>
      <c r="J7" s="1" t="s">
        <v>23</v>
      </c>
      <c r="K7" s="1" t="s">
        <v>27</v>
      </c>
      <c r="L7" s="2"/>
      <c r="M7" t="str">
        <f t="shared" si="0"/>
        <v/>
      </c>
      <c r="N7" t="str">
        <f t="shared" si="1"/>
        <v/>
      </c>
      <c r="O7" t="str">
        <f t="shared" si="2"/>
        <v>FJERN</v>
      </c>
      <c r="P7" s="1"/>
    </row>
    <row r="8" spans="1:16" ht="15" customHeight="1" x14ac:dyDescent="0.2">
      <c r="A8" s="1" t="s">
        <v>28</v>
      </c>
      <c r="B8" s="1" t="s">
        <v>29</v>
      </c>
      <c r="C8" s="1" t="s">
        <v>2</v>
      </c>
      <c r="D8" s="1" t="s">
        <v>3</v>
      </c>
      <c r="E8" s="5">
        <v>33841</v>
      </c>
      <c r="F8" s="5">
        <v>40694</v>
      </c>
      <c r="G8" s="2">
        <v>6.1575499999999996</v>
      </c>
      <c r="H8" s="1" t="s">
        <v>4</v>
      </c>
      <c r="I8" s="2"/>
      <c r="J8" s="1" t="s">
        <v>30</v>
      </c>
      <c r="K8" s="1" t="s">
        <v>31</v>
      </c>
      <c r="L8" s="2">
        <v>22376.880000000001</v>
      </c>
      <c r="M8">
        <f t="shared" si="0"/>
        <v>137786.75744399999</v>
      </c>
      <c r="N8">
        <f t="shared" si="1"/>
        <v>18494.866771006709</v>
      </c>
      <c r="O8" t="str">
        <f t="shared" si="2"/>
        <v>FJERN</v>
      </c>
      <c r="P8" s="1" t="s">
        <v>5425</v>
      </c>
    </row>
    <row r="9" spans="1:16" ht="15" customHeight="1" x14ac:dyDescent="0.2">
      <c r="A9" s="1" t="s">
        <v>32</v>
      </c>
      <c r="B9" s="1" t="s">
        <v>33</v>
      </c>
      <c r="C9" s="1" t="s">
        <v>9</v>
      </c>
      <c r="D9" s="1" t="s">
        <v>3</v>
      </c>
      <c r="E9" s="5">
        <v>39230</v>
      </c>
      <c r="F9" s="5">
        <v>46155</v>
      </c>
      <c r="G9" s="2">
        <v>143.53270000000001</v>
      </c>
      <c r="H9" s="1" t="s">
        <v>10</v>
      </c>
      <c r="I9" s="2">
        <v>3749.4631884</v>
      </c>
      <c r="J9" s="1" t="s">
        <v>34</v>
      </c>
      <c r="K9" s="1" t="s">
        <v>35</v>
      </c>
      <c r="L9" s="2">
        <v>45267.03</v>
      </c>
      <c r="M9">
        <f t="shared" si="0"/>
        <v>6497299.0368809998</v>
      </c>
      <c r="N9">
        <f>IF(M9="","",IF(H9="DKK",M9/7.45,IF(H9="SEK",M9/11.3,M9)))</f>
        <v>574982.21565318573</v>
      </c>
      <c r="O9" t="str">
        <f t="shared" si="2"/>
        <v>BEHOLD</v>
      </c>
      <c r="P9" s="1" t="s">
        <v>5426</v>
      </c>
    </row>
    <row r="10" spans="1:16" ht="15" customHeight="1" x14ac:dyDescent="0.2">
      <c r="A10" s="1" t="s">
        <v>36</v>
      </c>
      <c r="B10" s="1" t="s">
        <v>37</v>
      </c>
      <c r="C10" s="1" t="s">
        <v>9</v>
      </c>
      <c r="D10" s="1" t="s">
        <v>3</v>
      </c>
      <c r="E10" s="5">
        <v>32933</v>
      </c>
      <c r="F10" s="5">
        <v>37728</v>
      </c>
      <c r="G10" s="2"/>
      <c r="H10" s="1" t="s">
        <v>10</v>
      </c>
      <c r="I10" s="2"/>
      <c r="J10" s="1" t="s">
        <v>38</v>
      </c>
      <c r="K10" s="1" t="s">
        <v>39</v>
      </c>
      <c r="L10" s="2"/>
      <c r="M10" t="str">
        <f t="shared" si="0"/>
        <v/>
      </c>
      <c r="N10" t="str">
        <f t="shared" si="1"/>
        <v/>
      </c>
      <c r="O10" t="str">
        <f t="shared" si="2"/>
        <v>FJERN</v>
      </c>
      <c r="P10" s="1"/>
    </row>
    <row r="11" spans="1:16" ht="15" customHeight="1" x14ac:dyDescent="0.2">
      <c r="A11" s="1" t="s">
        <v>40</v>
      </c>
      <c r="B11" s="1" t="s">
        <v>41</v>
      </c>
      <c r="C11" s="1" t="s">
        <v>2</v>
      </c>
      <c r="D11" s="1" t="s">
        <v>3</v>
      </c>
      <c r="E11" s="5">
        <v>33483</v>
      </c>
      <c r="F11" s="5">
        <v>37174</v>
      </c>
      <c r="G11" s="2"/>
      <c r="H11" s="1" t="s">
        <v>4</v>
      </c>
      <c r="I11" s="2"/>
      <c r="J11" s="1" t="s">
        <v>5</v>
      </c>
      <c r="K11" s="1" t="s">
        <v>42</v>
      </c>
      <c r="L11" s="2"/>
      <c r="M11" t="str">
        <f t="shared" si="0"/>
        <v/>
      </c>
      <c r="N11" t="str">
        <f t="shared" si="1"/>
        <v/>
      </c>
      <c r="O11" t="str">
        <f t="shared" si="2"/>
        <v>FJERN</v>
      </c>
      <c r="P11" s="1"/>
    </row>
    <row r="12" spans="1:16" ht="15" customHeight="1" x14ac:dyDescent="0.2">
      <c r="A12" s="1" t="s">
        <v>43</v>
      </c>
      <c r="B12" s="1" t="s">
        <v>44</v>
      </c>
      <c r="C12" s="1" t="s">
        <v>2</v>
      </c>
      <c r="D12" s="1" t="s">
        <v>3</v>
      </c>
      <c r="E12" s="5">
        <v>33476</v>
      </c>
      <c r="F12" s="5">
        <v>37400</v>
      </c>
      <c r="G12" s="2"/>
      <c r="H12" s="1" t="s">
        <v>4</v>
      </c>
      <c r="I12" s="2"/>
      <c r="J12" s="1" t="s">
        <v>5</v>
      </c>
      <c r="K12" s="1" t="s">
        <v>45</v>
      </c>
      <c r="L12" s="2"/>
      <c r="M12" t="str">
        <f t="shared" si="0"/>
        <v/>
      </c>
      <c r="N12" t="str">
        <f t="shared" si="1"/>
        <v/>
      </c>
      <c r="O12" t="str">
        <f t="shared" si="2"/>
        <v>FJERN</v>
      </c>
      <c r="P12" s="1"/>
    </row>
    <row r="13" spans="1:16" ht="15" customHeight="1" x14ac:dyDescent="0.2">
      <c r="A13" s="1" t="s">
        <v>46</v>
      </c>
      <c r="B13" s="1" t="s">
        <v>47</v>
      </c>
      <c r="C13" s="1" t="s">
        <v>2</v>
      </c>
      <c r="D13" s="1" t="s">
        <v>3</v>
      </c>
      <c r="E13" s="5">
        <v>32099</v>
      </c>
      <c r="F13" s="5">
        <v>40109</v>
      </c>
      <c r="G13" s="2">
        <v>22.876200000000001</v>
      </c>
      <c r="H13" s="1" t="s">
        <v>4</v>
      </c>
      <c r="I13" s="2"/>
      <c r="J13" s="1" t="s">
        <v>15</v>
      </c>
      <c r="K13" s="1" t="s">
        <v>48</v>
      </c>
      <c r="L13" s="2">
        <v>1589.3869999999999</v>
      </c>
      <c r="M13">
        <f t="shared" si="0"/>
        <v>36359.134889399997</v>
      </c>
      <c r="N13">
        <f t="shared" si="1"/>
        <v>4880.4207905234898</v>
      </c>
      <c r="O13" t="str">
        <f t="shared" si="2"/>
        <v>FJERN</v>
      </c>
      <c r="P13" s="1" t="s">
        <v>5427</v>
      </c>
    </row>
    <row r="14" spans="1:16" ht="15" customHeight="1" x14ac:dyDescent="0.2">
      <c r="A14" s="1" t="s">
        <v>49</v>
      </c>
      <c r="B14" s="1" t="s">
        <v>50</v>
      </c>
      <c r="C14" s="1" t="s">
        <v>9</v>
      </c>
      <c r="D14" s="1" t="s">
        <v>3</v>
      </c>
      <c r="E14" s="5">
        <v>31218</v>
      </c>
      <c r="F14" s="5">
        <v>36636</v>
      </c>
      <c r="G14" s="2"/>
      <c r="H14" s="1" t="s">
        <v>10</v>
      </c>
      <c r="I14" s="2"/>
      <c r="J14" s="1" t="s">
        <v>51</v>
      </c>
      <c r="K14" s="1" t="s">
        <v>52</v>
      </c>
      <c r="L14" s="2"/>
      <c r="M14" t="str">
        <f t="shared" si="0"/>
        <v/>
      </c>
      <c r="N14" t="str">
        <f t="shared" si="1"/>
        <v/>
      </c>
      <c r="O14" t="str">
        <f t="shared" si="2"/>
        <v>FJERN</v>
      </c>
      <c r="P14" s="1"/>
    </row>
    <row r="15" spans="1:16" ht="15" customHeight="1" x14ac:dyDescent="0.2">
      <c r="A15" s="1" t="s">
        <v>53</v>
      </c>
      <c r="B15" s="1" t="s">
        <v>54</v>
      </c>
      <c r="C15" s="1" t="s">
        <v>9</v>
      </c>
      <c r="D15" s="1" t="s">
        <v>3</v>
      </c>
      <c r="E15" s="5">
        <v>32484</v>
      </c>
      <c r="F15" s="5">
        <v>34786</v>
      </c>
      <c r="G15" s="2"/>
      <c r="H15" s="1" t="s">
        <v>10</v>
      </c>
      <c r="I15" s="2"/>
      <c r="J15" s="1" t="s">
        <v>55</v>
      </c>
      <c r="K15" s="1" t="s">
        <v>56</v>
      </c>
      <c r="L15" s="2"/>
      <c r="M15" t="str">
        <f t="shared" si="0"/>
        <v/>
      </c>
      <c r="N15" t="str">
        <f t="shared" si="1"/>
        <v/>
      </c>
      <c r="O15" t="str">
        <f t="shared" si="2"/>
        <v>FJERN</v>
      </c>
      <c r="P15" s="1"/>
    </row>
    <row r="16" spans="1:16" ht="15" customHeight="1" x14ac:dyDescent="0.2">
      <c r="A16" s="1" t="s">
        <v>57</v>
      </c>
      <c r="B16" s="1" t="s">
        <v>58</v>
      </c>
      <c r="C16" s="1" t="s">
        <v>9</v>
      </c>
      <c r="D16" s="1" t="s">
        <v>3</v>
      </c>
      <c r="E16" s="5">
        <v>34824</v>
      </c>
      <c r="F16" s="5">
        <v>36606</v>
      </c>
      <c r="G16" s="2"/>
      <c r="H16" s="1" t="s">
        <v>10</v>
      </c>
      <c r="I16" s="2"/>
      <c r="J16" s="1" t="s">
        <v>23</v>
      </c>
      <c r="K16" s="1"/>
      <c r="L16" s="2"/>
      <c r="M16" t="str">
        <f t="shared" si="0"/>
        <v/>
      </c>
      <c r="N16" t="str">
        <f t="shared" si="1"/>
        <v/>
      </c>
      <c r="O16" t="str">
        <f t="shared" si="2"/>
        <v>FJERN</v>
      </c>
      <c r="P16" s="1"/>
    </row>
    <row r="17" spans="1:16" ht="15" customHeight="1" x14ac:dyDescent="0.2">
      <c r="A17" s="1" t="s">
        <v>59</v>
      </c>
      <c r="B17" s="1" t="s">
        <v>60</v>
      </c>
      <c r="C17" s="1" t="s">
        <v>2</v>
      </c>
      <c r="D17" s="1" t="s">
        <v>3</v>
      </c>
      <c r="E17" s="5">
        <v>34659</v>
      </c>
      <c r="F17" s="5">
        <v>37449</v>
      </c>
      <c r="G17" s="2"/>
      <c r="H17" s="1" t="s">
        <v>4</v>
      </c>
      <c r="I17" s="2"/>
      <c r="J17" s="1" t="s">
        <v>61</v>
      </c>
      <c r="K17" s="1"/>
      <c r="L17" s="2"/>
      <c r="M17" t="str">
        <f t="shared" si="0"/>
        <v/>
      </c>
      <c r="N17" t="str">
        <f t="shared" si="1"/>
        <v/>
      </c>
      <c r="O17" t="str">
        <f t="shared" si="2"/>
        <v>FJERN</v>
      </c>
      <c r="P17" s="1"/>
    </row>
    <row r="18" spans="1:16" ht="15" customHeight="1" x14ac:dyDescent="0.2">
      <c r="A18" s="1" t="s">
        <v>62</v>
      </c>
      <c r="B18" s="1" t="s">
        <v>63</v>
      </c>
      <c r="C18" s="1" t="s">
        <v>9</v>
      </c>
      <c r="D18" s="1" t="s">
        <v>3</v>
      </c>
      <c r="E18" s="5">
        <v>35866</v>
      </c>
      <c r="F18" s="5">
        <v>44414</v>
      </c>
      <c r="G18" s="2">
        <v>2.133721</v>
      </c>
      <c r="H18" s="1" t="s">
        <v>10</v>
      </c>
      <c r="I18" s="2"/>
      <c r="J18" s="1" t="s">
        <v>64</v>
      </c>
      <c r="K18" s="1" t="s">
        <v>65</v>
      </c>
      <c r="L18" s="2">
        <v>91331.54</v>
      </c>
      <c r="M18">
        <f t="shared" si="0"/>
        <v>194876.02486034</v>
      </c>
      <c r="N18">
        <f t="shared" si="1"/>
        <v>17245.665916844246</v>
      </c>
      <c r="O18" t="str">
        <f t="shared" si="2"/>
        <v>FJERN</v>
      </c>
      <c r="P18" s="1" t="s">
        <v>5428</v>
      </c>
    </row>
    <row r="19" spans="1:16" ht="15" customHeight="1" x14ac:dyDescent="0.2">
      <c r="A19" s="1" t="s">
        <v>66</v>
      </c>
      <c r="B19" s="1" t="s">
        <v>67</v>
      </c>
      <c r="C19" s="1" t="s">
        <v>9</v>
      </c>
      <c r="D19" s="1" t="s">
        <v>3</v>
      </c>
      <c r="E19" s="5">
        <v>32570</v>
      </c>
      <c r="F19" s="5">
        <v>36570</v>
      </c>
      <c r="G19" s="2"/>
      <c r="H19" s="1" t="s">
        <v>10</v>
      </c>
      <c r="I19" s="2"/>
      <c r="J19" s="1" t="s">
        <v>11</v>
      </c>
      <c r="K19" s="1"/>
      <c r="L19" s="2"/>
      <c r="M19" t="str">
        <f t="shared" si="0"/>
        <v/>
      </c>
      <c r="N19" t="str">
        <f t="shared" si="1"/>
        <v/>
      </c>
      <c r="O19" t="str">
        <f t="shared" si="2"/>
        <v>FJERN</v>
      </c>
      <c r="P19" s="1"/>
    </row>
    <row r="20" spans="1:16" ht="15" customHeight="1" x14ac:dyDescent="0.2">
      <c r="A20" s="1" t="s">
        <v>68</v>
      </c>
      <c r="B20" s="1" t="s">
        <v>69</v>
      </c>
      <c r="C20" s="1" t="s">
        <v>9</v>
      </c>
      <c r="D20" s="1" t="s">
        <v>3</v>
      </c>
      <c r="E20" s="5">
        <v>34432</v>
      </c>
      <c r="F20" s="5">
        <v>37281</v>
      </c>
      <c r="G20" s="2"/>
      <c r="H20" s="1" t="s">
        <v>10</v>
      </c>
      <c r="I20" s="2"/>
      <c r="J20" s="1" t="s">
        <v>19</v>
      </c>
      <c r="K20" s="1" t="s">
        <v>70</v>
      </c>
      <c r="L20" s="2"/>
      <c r="M20" t="str">
        <f t="shared" si="0"/>
        <v/>
      </c>
      <c r="N20" t="str">
        <f t="shared" si="1"/>
        <v/>
      </c>
      <c r="O20" t="str">
        <f t="shared" si="2"/>
        <v>FJERN</v>
      </c>
      <c r="P20" s="1" t="s">
        <v>5429</v>
      </c>
    </row>
    <row r="21" spans="1:16" ht="15" customHeight="1" x14ac:dyDescent="0.2">
      <c r="A21" s="1" t="s">
        <v>71</v>
      </c>
      <c r="B21" s="1" t="s">
        <v>72</v>
      </c>
      <c r="C21" s="1" t="s">
        <v>9</v>
      </c>
      <c r="D21" s="1" t="s">
        <v>3</v>
      </c>
      <c r="E21" s="5">
        <v>31049</v>
      </c>
      <c r="F21" s="5">
        <v>33743</v>
      </c>
      <c r="G21" s="2"/>
      <c r="H21" s="1" t="s">
        <v>10</v>
      </c>
      <c r="I21" s="2"/>
      <c r="J21" s="1" t="s">
        <v>61</v>
      </c>
      <c r="K21" s="1" t="s">
        <v>73</v>
      </c>
      <c r="L21" s="2"/>
      <c r="M21" t="str">
        <f t="shared" si="0"/>
        <v/>
      </c>
      <c r="N21" t="str">
        <f t="shared" si="1"/>
        <v/>
      </c>
      <c r="O21" t="str">
        <f t="shared" si="2"/>
        <v>FJERN</v>
      </c>
      <c r="P21" s="1"/>
    </row>
    <row r="22" spans="1:16" ht="15" customHeight="1" x14ac:dyDescent="0.2">
      <c r="A22" s="1" t="s">
        <v>74</v>
      </c>
      <c r="B22" s="1" t="s">
        <v>75</v>
      </c>
      <c r="C22" s="1" t="s">
        <v>9</v>
      </c>
      <c r="D22" s="1" t="s">
        <v>3</v>
      </c>
      <c r="E22" s="5">
        <v>34143</v>
      </c>
      <c r="F22" s="5">
        <v>37021</v>
      </c>
      <c r="G22" s="2"/>
      <c r="H22" s="1" t="s">
        <v>10</v>
      </c>
      <c r="I22" s="2"/>
      <c r="J22" s="1" t="s">
        <v>76</v>
      </c>
      <c r="K22" s="1" t="s">
        <v>77</v>
      </c>
      <c r="L22" s="2"/>
      <c r="M22" t="str">
        <f t="shared" si="0"/>
        <v/>
      </c>
      <c r="N22" t="str">
        <f t="shared" si="1"/>
        <v/>
      </c>
      <c r="O22" t="str">
        <f t="shared" si="2"/>
        <v>FJERN</v>
      </c>
      <c r="P22" s="1" t="s">
        <v>5430</v>
      </c>
    </row>
    <row r="23" spans="1:16" ht="15" customHeight="1" x14ac:dyDescent="0.2">
      <c r="A23" s="1" t="s">
        <v>78</v>
      </c>
      <c r="B23" s="1" t="s">
        <v>79</v>
      </c>
      <c r="C23" s="1" t="s">
        <v>9</v>
      </c>
      <c r="D23" s="1" t="s">
        <v>3</v>
      </c>
      <c r="E23" s="5">
        <v>31933</v>
      </c>
      <c r="F23" s="5">
        <v>33773</v>
      </c>
      <c r="G23" s="2"/>
      <c r="H23" s="1" t="s">
        <v>10</v>
      </c>
      <c r="I23" s="2"/>
      <c r="J23" s="1" t="s">
        <v>23</v>
      </c>
      <c r="K23" s="1" t="s">
        <v>80</v>
      </c>
      <c r="L23" s="2"/>
      <c r="M23" t="str">
        <f t="shared" si="0"/>
        <v/>
      </c>
      <c r="N23" t="str">
        <f t="shared" si="1"/>
        <v/>
      </c>
      <c r="O23" t="str">
        <f t="shared" si="2"/>
        <v>FJERN</v>
      </c>
      <c r="P23" s="1"/>
    </row>
    <row r="24" spans="1:16" ht="15" customHeight="1" x14ac:dyDescent="0.2">
      <c r="A24" s="1" t="s">
        <v>81</v>
      </c>
      <c r="B24" s="1" t="s">
        <v>82</v>
      </c>
      <c r="C24" s="1" t="s">
        <v>9</v>
      </c>
      <c r="D24" s="1" t="s">
        <v>3</v>
      </c>
      <c r="E24" s="5">
        <v>32776</v>
      </c>
      <c r="F24" s="5">
        <v>35510</v>
      </c>
      <c r="G24" s="2"/>
      <c r="H24" s="1" t="s">
        <v>10</v>
      </c>
      <c r="I24" s="2"/>
      <c r="J24" s="1" t="s">
        <v>83</v>
      </c>
      <c r="K24" s="1"/>
      <c r="L24" s="2"/>
      <c r="M24" t="str">
        <f t="shared" si="0"/>
        <v/>
      </c>
      <c r="N24" t="str">
        <f t="shared" si="1"/>
        <v/>
      </c>
      <c r="O24" t="str">
        <f t="shared" si="2"/>
        <v>FJERN</v>
      </c>
      <c r="P24" s="1"/>
    </row>
    <row r="25" spans="1:16" ht="15" customHeight="1" x14ac:dyDescent="0.2">
      <c r="A25" s="1" t="s">
        <v>84</v>
      </c>
      <c r="B25" s="1" t="s">
        <v>85</v>
      </c>
      <c r="C25" s="1" t="s">
        <v>9</v>
      </c>
      <c r="D25" s="1" t="s">
        <v>3</v>
      </c>
      <c r="E25" s="5">
        <v>32562</v>
      </c>
      <c r="F25" s="5">
        <v>36944</v>
      </c>
      <c r="G25" s="2"/>
      <c r="H25" s="1" t="s">
        <v>10</v>
      </c>
      <c r="I25" s="2"/>
      <c r="J25" s="1" t="s">
        <v>86</v>
      </c>
      <c r="K25" s="1" t="s">
        <v>87</v>
      </c>
      <c r="L25" s="2"/>
      <c r="M25" t="str">
        <f t="shared" si="0"/>
        <v/>
      </c>
      <c r="N25" t="str">
        <f t="shared" si="1"/>
        <v/>
      </c>
      <c r="O25" t="str">
        <f t="shared" si="2"/>
        <v>FJERN</v>
      </c>
      <c r="P25" s="1" t="s">
        <v>5431</v>
      </c>
    </row>
    <row r="26" spans="1:16" ht="15" customHeight="1" x14ac:dyDescent="0.2">
      <c r="A26" s="1" t="s">
        <v>88</v>
      </c>
      <c r="B26" s="1" t="s">
        <v>89</v>
      </c>
      <c r="C26" s="1" t="s">
        <v>9</v>
      </c>
      <c r="D26" s="1" t="s">
        <v>3</v>
      </c>
      <c r="E26" s="5">
        <v>32471</v>
      </c>
      <c r="F26" s="5">
        <v>33708</v>
      </c>
      <c r="G26" s="2"/>
      <c r="H26" s="1" t="s">
        <v>10</v>
      </c>
      <c r="I26" s="2"/>
      <c r="J26" s="1" t="s">
        <v>23</v>
      </c>
      <c r="K26" s="1"/>
      <c r="L26" s="2"/>
      <c r="M26" t="str">
        <f t="shared" si="0"/>
        <v/>
      </c>
      <c r="N26" t="str">
        <f t="shared" si="1"/>
        <v/>
      </c>
      <c r="O26" t="str">
        <f t="shared" si="2"/>
        <v>FJERN</v>
      </c>
      <c r="P26" s="1"/>
    </row>
    <row r="27" spans="1:16" ht="15" customHeight="1" x14ac:dyDescent="0.2">
      <c r="A27" s="1" t="s">
        <v>90</v>
      </c>
      <c r="B27" s="1" t="s">
        <v>91</v>
      </c>
      <c r="C27" s="1" t="s">
        <v>2</v>
      </c>
      <c r="D27" s="1" t="s">
        <v>3</v>
      </c>
      <c r="E27" s="5">
        <v>32877</v>
      </c>
      <c r="F27" s="5">
        <v>41638</v>
      </c>
      <c r="G27" s="2">
        <v>415.74439999999998</v>
      </c>
      <c r="H27" s="1" t="s">
        <v>4</v>
      </c>
      <c r="I27" s="2"/>
      <c r="J27" s="1" t="s">
        <v>15</v>
      </c>
      <c r="K27" s="1" t="s">
        <v>92</v>
      </c>
      <c r="L27" s="2">
        <v>41.55274</v>
      </c>
      <c r="M27">
        <f t="shared" si="0"/>
        <v>17275.318959656001</v>
      </c>
      <c r="N27">
        <f t="shared" si="1"/>
        <v>2318.8347596853691</v>
      </c>
      <c r="O27" t="str">
        <f t="shared" si="2"/>
        <v>FJERN</v>
      </c>
      <c r="P27" s="1" t="s">
        <v>5432</v>
      </c>
    </row>
    <row r="28" spans="1:16" ht="15" customHeight="1" x14ac:dyDescent="0.2">
      <c r="A28" s="1" t="s">
        <v>93</v>
      </c>
      <c r="B28" s="1" t="s">
        <v>94</v>
      </c>
      <c r="C28" s="1" t="s">
        <v>9</v>
      </c>
      <c r="D28" s="1" t="s">
        <v>3</v>
      </c>
      <c r="E28" s="5">
        <v>36717</v>
      </c>
      <c r="F28" s="5">
        <v>37918</v>
      </c>
      <c r="G28" s="2"/>
      <c r="H28" s="1" t="s">
        <v>10</v>
      </c>
      <c r="I28" s="2"/>
      <c r="J28" s="1"/>
      <c r="K28" s="1"/>
      <c r="L28" s="2"/>
      <c r="M28" t="str">
        <f t="shared" si="0"/>
        <v/>
      </c>
      <c r="N28" t="str">
        <f t="shared" si="1"/>
        <v/>
      </c>
      <c r="O28" t="str">
        <f t="shared" si="2"/>
        <v>FJERN</v>
      </c>
      <c r="P28" s="1"/>
    </row>
    <row r="29" spans="1:16" ht="15" customHeight="1" x14ac:dyDescent="0.2">
      <c r="A29" s="1" t="s">
        <v>95</v>
      </c>
      <c r="B29" s="1" t="s">
        <v>96</v>
      </c>
      <c r="C29" s="1" t="s">
        <v>9</v>
      </c>
      <c r="D29" s="1" t="s">
        <v>3</v>
      </c>
      <c r="E29" s="5">
        <v>32006</v>
      </c>
      <c r="F29" s="5">
        <v>46155</v>
      </c>
      <c r="G29" s="2">
        <v>115.63379999999999</v>
      </c>
      <c r="H29" s="1" t="s">
        <v>10</v>
      </c>
      <c r="I29" s="2">
        <v>7756.5931700000001</v>
      </c>
      <c r="J29" s="1" t="s">
        <v>11</v>
      </c>
      <c r="K29" s="1" t="s">
        <v>97</v>
      </c>
      <c r="L29" s="2">
        <v>32724.43</v>
      </c>
      <c r="M29">
        <f t="shared" si="0"/>
        <v>3784050.193734</v>
      </c>
      <c r="N29">
        <f t="shared" si="1"/>
        <v>334871.69856053096</v>
      </c>
      <c r="O29" t="str">
        <f t="shared" si="2"/>
        <v>BEHOLD</v>
      </c>
      <c r="P29" s="1" t="s">
        <v>5433</v>
      </c>
    </row>
    <row r="30" spans="1:16" ht="15" customHeight="1" x14ac:dyDescent="0.2">
      <c r="A30" s="1" t="s">
        <v>98</v>
      </c>
      <c r="B30" s="1" t="s">
        <v>99</v>
      </c>
      <c r="C30" s="1" t="s">
        <v>9</v>
      </c>
      <c r="D30" s="1" t="s">
        <v>3</v>
      </c>
      <c r="E30" s="5">
        <v>32070</v>
      </c>
      <c r="F30" s="5">
        <v>33780</v>
      </c>
      <c r="G30" s="2"/>
      <c r="H30" s="1" t="s">
        <v>10</v>
      </c>
      <c r="I30" s="2"/>
      <c r="J30" s="1" t="s">
        <v>11</v>
      </c>
      <c r="K30" s="1"/>
      <c r="L30" s="2"/>
      <c r="M30" t="str">
        <f t="shared" si="0"/>
        <v/>
      </c>
      <c r="N30" t="str">
        <f t="shared" si="1"/>
        <v/>
      </c>
      <c r="O30" t="str">
        <f t="shared" si="2"/>
        <v>FJERN</v>
      </c>
      <c r="P30" s="1"/>
    </row>
    <row r="31" spans="1:16" ht="15" customHeight="1" x14ac:dyDescent="0.2">
      <c r="A31" s="1" t="s">
        <v>100</v>
      </c>
      <c r="B31" s="1" t="s">
        <v>101</v>
      </c>
      <c r="C31" s="1" t="s">
        <v>9</v>
      </c>
      <c r="D31" s="1" t="s">
        <v>3</v>
      </c>
      <c r="E31" s="5">
        <v>32006</v>
      </c>
      <c r="F31" s="5">
        <v>33779</v>
      </c>
      <c r="G31" s="2"/>
      <c r="H31" s="1" t="s">
        <v>10</v>
      </c>
      <c r="I31" s="2"/>
      <c r="J31" s="1" t="s">
        <v>11</v>
      </c>
      <c r="K31" s="1"/>
      <c r="L31" s="2"/>
      <c r="M31" t="str">
        <f t="shared" si="0"/>
        <v/>
      </c>
      <c r="N31" t="str">
        <f t="shared" si="1"/>
        <v/>
      </c>
      <c r="O31" t="str">
        <f t="shared" si="2"/>
        <v>FJERN</v>
      </c>
      <c r="P31" s="1"/>
    </row>
    <row r="32" spans="1:16" ht="15" customHeight="1" x14ac:dyDescent="0.2">
      <c r="A32" s="1" t="s">
        <v>102</v>
      </c>
      <c r="B32" s="1" t="s">
        <v>103</v>
      </c>
      <c r="C32" s="1" t="s">
        <v>9</v>
      </c>
      <c r="D32" s="1" t="s">
        <v>3</v>
      </c>
      <c r="E32" s="5">
        <v>32478</v>
      </c>
      <c r="F32" s="5">
        <v>36280</v>
      </c>
      <c r="G32" s="2"/>
      <c r="H32" s="1" t="s">
        <v>10</v>
      </c>
      <c r="I32" s="2"/>
      <c r="J32" s="1" t="s">
        <v>11</v>
      </c>
      <c r="K32" s="1"/>
      <c r="L32" s="2"/>
      <c r="M32" t="str">
        <f t="shared" si="0"/>
        <v/>
      </c>
      <c r="N32" t="str">
        <f t="shared" si="1"/>
        <v/>
      </c>
      <c r="O32" t="str">
        <f t="shared" si="2"/>
        <v>FJERN</v>
      </c>
      <c r="P32" s="1"/>
    </row>
    <row r="33" spans="1:16" ht="15" customHeight="1" x14ac:dyDescent="0.2">
      <c r="A33" s="1" t="s">
        <v>104</v>
      </c>
      <c r="B33" s="1" t="s">
        <v>105</v>
      </c>
      <c r="C33" s="1" t="s">
        <v>9</v>
      </c>
      <c r="D33" s="1" t="s">
        <v>3</v>
      </c>
      <c r="E33" s="5">
        <v>32638</v>
      </c>
      <c r="F33" s="5">
        <v>36280</v>
      </c>
      <c r="G33" s="2"/>
      <c r="H33" s="1" t="s">
        <v>10</v>
      </c>
      <c r="I33" s="2"/>
      <c r="J33" s="1" t="s">
        <v>11</v>
      </c>
      <c r="K33" s="1" t="s">
        <v>106</v>
      </c>
      <c r="L33" s="2"/>
      <c r="M33" t="str">
        <f t="shared" si="0"/>
        <v/>
      </c>
      <c r="N33" t="str">
        <f t="shared" si="1"/>
        <v/>
      </c>
      <c r="O33" t="str">
        <f t="shared" si="2"/>
        <v>FJERN</v>
      </c>
      <c r="P33" s="1"/>
    </row>
    <row r="34" spans="1:16" ht="15" customHeight="1" x14ac:dyDescent="0.2">
      <c r="A34" s="1" t="s">
        <v>107</v>
      </c>
      <c r="B34" s="1" t="s">
        <v>108</v>
      </c>
      <c r="C34" s="1" t="s">
        <v>9</v>
      </c>
      <c r="D34" s="1" t="s">
        <v>3</v>
      </c>
      <c r="E34" s="5">
        <v>32969</v>
      </c>
      <c r="F34" s="5">
        <v>36350</v>
      </c>
      <c r="G34" s="2"/>
      <c r="H34" s="1" t="s">
        <v>10</v>
      </c>
      <c r="I34" s="2"/>
      <c r="J34" s="1" t="s">
        <v>11</v>
      </c>
      <c r="K34" s="1" t="s">
        <v>109</v>
      </c>
      <c r="L34" s="2"/>
      <c r="M34" t="str">
        <f t="shared" si="0"/>
        <v/>
      </c>
      <c r="N34" t="str">
        <f t="shared" si="1"/>
        <v/>
      </c>
      <c r="O34" t="str">
        <f t="shared" si="2"/>
        <v>FJERN</v>
      </c>
      <c r="P34" s="1"/>
    </row>
    <row r="35" spans="1:16" ht="15" customHeight="1" x14ac:dyDescent="0.2">
      <c r="A35" s="1" t="s">
        <v>110</v>
      </c>
      <c r="B35" s="1" t="s">
        <v>111</v>
      </c>
      <c r="C35" s="1" t="s">
        <v>2</v>
      </c>
      <c r="D35" s="1" t="s">
        <v>3</v>
      </c>
      <c r="E35" s="5">
        <v>33199</v>
      </c>
      <c r="F35" s="5">
        <v>46150</v>
      </c>
      <c r="G35" s="2">
        <v>2666.81</v>
      </c>
      <c r="H35" s="1" t="s">
        <v>4</v>
      </c>
      <c r="I35" s="2">
        <v>202.20400000000001</v>
      </c>
      <c r="J35" s="1" t="s">
        <v>11</v>
      </c>
      <c r="K35" s="1" t="s">
        <v>112</v>
      </c>
      <c r="L35" s="2">
        <v>3.3077549999999998</v>
      </c>
      <c r="M35">
        <f t="shared" si="0"/>
        <v>8821.1541115499986</v>
      </c>
      <c r="N35">
        <f t="shared" si="1"/>
        <v>1184.0475317516775</v>
      </c>
      <c r="O35" t="str">
        <f t="shared" si="2"/>
        <v>FJERN</v>
      </c>
      <c r="P35" s="1" t="s">
        <v>5434</v>
      </c>
    </row>
    <row r="36" spans="1:16" ht="15" customHeight="1" x14ac:dyDescent="0.2">
      <c r="A36" s="1" t="s">
        <v>113</v>
      </c>
      <c r="B36" s="1" t="s">
        <v>114</v>
      </c>
      <c r="C36" s="1" t="s">
        <v>9</v>
      </c>
      <c r="D36" s="1" t="s">
        <v>3</v>
      </c>
      <c r="E36" s="5">
        <v>33569</v>
      </c>
      <c r="F36" s="5">
        <v>40813</v>
      </c>
      <c r="G36" s="2">
        <v>23.379549999999998</v>
      </c>
      <c r="H36" s="1" t="s">
        <v>10</v>
      </c>
      <c r="I36" s="2"/>
      <c r="J36" s="1" t="s">
        <v>115</v>
      </c>
      <c r="K36" s="1" t="s">
        <v>116</v>
      </c>
      <c r="L36" s="2">
        <v>6783.4949999999999</v>
      </c>
      <c r="M36">
        <f t="shared" si="0"/>
        <v>158595.06052725</v>
      </c>
      <c r="N36">
        <f t="shared" si="1"/>
        <v>14034.961108606194</v>
      </c>
      <c r="O36" t="str">
        <f t="shared" si="2"/>
        <v>FJERN</v>
      </c>
      <c r="P36" s="1" t="s">
        <v>5435</v>
      </c>
    </row>
    <row r="37" spans="1:16" ht="15" customHeight="1" x14ac:dyDescent="0.2">
      <c r="A37" s="1" t="s">
        <v>117</v>
      </c>
      <c r="B37" s="1" t="s">
        <v>118</v>
      </c>
      <c r="C37" s="1" t="s">
        <v>9</v>
      </c>
      <c r="D37" s="1" t="s">
        <v>3</v>
      </c>
      <c r="E37" s="5">
        <v>32217</v>
      </c>
      <c r="F37" s="5">
        <v>40484</v>
      </c>
      <c r="G37" s="2">
        <v>3.2417790000000002</v>
      </c>
      <c r="H37" s="1" t="s">
        <v>10</v>
      </c>
      <c r="I37" s="2"/>
      <c r="J37" s="1" t="s">
        <v>19</v>
      </c>
      <c r="K37" s="1" t="s">
        <v>119</v>
      </c>
      <c r="L37" s="2">
        <v>14465.54</v>
      </c>
      <c r="M37">
        <f t="shared" si="0"/>
        <v>46894.083795660008</v>
      </c>
      <c r="N37">
        <f t="shared" si="1"/>
        <v>4149.9189199699122</v>
      </c>
      <c r="O37" t="str">
        <f t="shared" si="2"/>
        <v>FJERN</v>
      </c>
      <c r="P37" s="1" t="s">
        <v>5436</v>
      </c>
    </row>
    <row r="38" spans="1:16" ht="15" customHeight="1" x14ac:dyDescent="0.2">
      <c r="A38" s="1" t="s">
        <v>120</v>
      </c>
      <c r="B38" s="1" t="s">
        <v>121</v>
      </c>
      <c r="C38" s="1" t="s">
        <v>9</v>
      </c>
      <c r="D38" s="1" t="s">
        <v>3</v>
      </c>
      <c r="E38" s="5">
        <v>33591</v>
      </c>
      <c r="F38" s="5">
        <v>46155</v>
      </c>
      <c r="G38" s="2">
        <v>3.8099460000000001</v>
      </c>
      <c r="H38" s="1" t="s">
        <v>10</v>
      </c>
      <c r="I38" s="2">
        <v>140.662568628</v>
      </c>
      <c r="J38" s="1" t="s">
        <v>122</v>
      </c>
      <c r="K38" s="1" t="s">
        <v>123</v>
      </c>
      <c r="L38" s="2">
        <v>128915.8</v>
      </c>
      <c r="M38">
        <f t="shared" si="0"/>
        <v>491162.23654680001</v>
      </c>
      <c r="N38">
        <f t="shared" si="1"/>
        <v>43465.684650159288</v>
      </c>
      <c r="O38" t="str">
        <f t="shared" si="2"/>
        <v>FJERN</v>
      </c>
      <c r="P38" s="1" t="s">
        <v>5437</v>
      </c>
    </row>
    <row r="39" spans="1:16" ht="15" customHeight="1" x14ac:dyDescent="0.2">
      <c r="A39" s="1" t="s">
        <v>124</v>
      </c>
      <c r="B39" s="1" t="s">
        <v>125</v>
      </c>
      <c r="C39" s="1" t="s">
        <v>9</v>
      </c>
      <c r="D39" s="1" t="s">
        <v>3</v>
      </c>
      <c r="E39" s="5">
        <v>33591</v>
      </c>
      <c r="F39" s="5">
        <v>33968</v>
      </c>
      <c r="G39" s="2"/>
      <c r="H39" s="1" t="s">
        <v>10</v>
      </c>
      <c r="I39" s="2"/>
      <c r="J39" s="1" t="s">
        <v>122</v>
      </c>
      <c r="K39" s="1" t="s">
        <v>126</v>
      </c>
      <c r="L39" s="2"/>
      <c r="M39" t="str">
        <f t="shared" si="0"/>
        <v/>
      </c>
      <c r="N39" t="str">
        <f t="shared" si="1"/>
        <v/>
      </c>
      <c r="O39" t="str">
        <f t="shared" si="2"/>
        <v>FJERN</v>
      </c>
      <c r="P39" s="1"/>
    </row>
    <row r="40" spans="1:16" ht="15" customHeight="1" x14ac:dyDescent="0.2">
      <c r="A40" s="1" t="s">
        <v>127</v>
      </c>
      <c r="B40" s="1" t="s">
        <v>128</v>
      </c>
      <c r="C40" s="1" t="s">
        <v>9</v>
      </c>
      <c r="D40" s="1" t="s">
        <v>3</v>
      </c>
      <c r="E40" s="5">
        <v>34296</v>
      </c>
      <c r="F40" s="5">
        <v>34691</v>
      </c>
      <c r="G40" s="2"/>
      <c r="H40" s="1" t="s">
        <v>10</v>
      </c>
      <c r="I40" s="2"/>
      <c r="J40" s="1" t="s">
        <v>5</v>
      </c>
      <c r="K40" s="1"/>
      <c r="L40" s="2"/>
      <c r="M40" t="str">
        <f t="shared" si="0"/>
        <v/>
      </c>
      <c r="N40" t="str">
        <f t="shared" si="1"/>
        <v/>
      </c>
      <c r="O40" t="str">
        <f t="shared" si="2"/>
        <v>FJERN</v>
      </c>
      <c r="P40" s="1"/>
    </row>
    <row r="41" spans="1:16" ht="15" customHeight="1" x14ac:dyDescent="0.2">
      <c r="A41" s="1" t="s">
        <v>129</v>
      </c>
      <c r="B41" s="1" t="s">
        <v>130</v>
      </c>
      <c r="C41" s="1" t="s">
        <v>9</v>
      </c>
      <c r="D41" s="1" t="s">
        <v>3</v>
      </c>
      <c r="E41" s="5">
        <v>34296</v>
      </c>
      <c r="F41" s="5">
        <v>34691</v>
      </c>
      <c r="G41" s="2"/>
      <c r="H41" s="1" t="s">
        <v>10</v>
      </c>
      <c r="I41" s="2"/>
      <c r="J41" s="1" t="s">
        <v>5</v>
      </c>
      <c r="K41" s="1"/>
      <c r="L41" s="2"/>
      <c r="M41" t="str">
        <f t="shared" si="0"/>
        <v/>
      </c>
      <c r="N41" t="str">
        <f t="shared" si="1"/>
        <v/>
      </c>
      <c r="O41" t="str">
        <f t="shared" si="2"/>
        <v>FJERN</v>
      </c>
      <c r="P41" s="1"/>
    </row>
    <row r="42" spans="1:16" ht="15" customHeight="1" x14ac:dyDescent="0.2">
      <c r="A42" s="1" t="s">
        <v>131</v>
      </c>
      <c r="B42" s="1" t="s">
        <v>132</v>
      </c>
      <c r="C42" s="1" t="s">
        <v>9</v>
      </c>
      <c r="D42" s="1" t="s">
        <v>3</v>
      </c>
      <c r="E42" s="5">
        <v>34467</v>
      </c>
      <c r="F42" s="5">
        <v>46155</v>
      </c>
      <c r="G42" s="2">
        <v>40.200560000000003</v>
      </c>
      <c r="H42" s="1" t="s">
        <v>10</v>
      </c>
      <c r="I42" s="2">
        <v>559.36530340000002</v>
      </c>
      <c r="J42" s="1" t="s">
        <v>38</v>
      </c>
      <c r="K42" s="1" t="s">
        <v>133</v>
      </c>
      <c r="L42" s="2">
        <v>9431.741</v>
      </c>
      <c r="M42">
        <f t="shared" si="0"/>
        <v>379161.26997496001</v>
      </c>
      <c r="N42">
        <f t="shared" si="1"/>
        <v>33554.094688049554</v>
      </c>
      <c r="O42" t="str">
        <f t="shared" si="2"/>
        <v>FJERN</v>
      </c>
      <c r="P42" s="1" t="s">
        <v>5438</v>
      </c>
    </row>
    <row r="43" spans="1:16" ht="15" customHeight="1" x14ac:dyDescent="0.2">
      <c r="A43" s="1" t="s">
        <v>134</v>
      </c>
      <c r="B43" s="1" t="s">
        <v>135</v>
      </c>
      <c r="C43" s="1" t="s">
        <v>9</v>
      </c>
      <c r="D43" s="1" t="s">
        <v>3</v>
      </c>
      <c r="E43" s="5">
        <v>34243</v>
      </c>
      <c r="F43" s="5">
        <v>46155</v>
      </c>
      <c r="G43" s="2">
        <v>142.8253</v>
      </c>
      <c r="H43" s="1" t="s">
        <v>10</v>
      </c>
      <c r="I43" s="2">
        <v>18311.398559199999</v>
      </c>
      <c r="J43" s="1" t="s">
        <v>76</v>
      </c>
      <c r="K43" s="1" t="s">
        <v>136</v>
      </c>
      <c r="L43" s="2">
        <v>109728.4</v>
      </c>
      <c r="M43">
        <f t="shared" si="0"/>
        <v>15671991.648519998</v>
      </c>
      <c r="N43">
        <f t="shared" si="1"/>
        <v>1386901.9157982299</v>
      </c>
      <c r="O43" t="str">
        <f t="shared" si="2"/>
        <v>BEHOLD</v>
      </c>
      <c r="P43" s="1" t="s">
        <v>5439</v>
      </c>
    </row>
    <row r="44" spans="1:16" ht="15" customHeight="1" x14ac:dyDescent="0.2">
      <c r="A44" s="1" t="s">
        <v>137</v>
      </c>
      <c r="B44" s="1" t="s">
        <v>138</v>
      </c>
      <c r="C44" s="1" t="s">
        <v>2</v>
      </c>
      <c r="D44" s="1" t="s">
        <v>3</v>
      </c>
      <c r="E44" s="5">
        <v>34435</v>
      </c>
      <c r="F44" s="5">
        <v>46155</v>
      </c>
      <c r="G44" s="2">
        <v>4236.3360000000002</v>
      </c>
      <c r="H44" s="1" t="s">
        <v>4</v>
      </c>
      <c r="I44" s="2">
        <v>53837.760199999997</v>
      </c>
      <c r="J44" s="1" t="s">
        <v>11</v>
      </c>
      <c r="K44" s="1" t="s">
        <v>139</v>
      </c>
      <c r="L44" s="2">
        <v>234.2559</v>
      </c>
      <c r="M44">
        <f t="shared" si="0"/>
        <v>992386.70238240005</v>
      </c>
      <c r="N44">
        <f t="shared" si="1"/>
        <v>133206.26877616107</v>
      </c>
      <c r="O44" t="str">
        <f t="shared" si="2"/>
        <v>BEHOLD</v>
      </c>
      <c r="P44" s="1" t="s">
        <v>5440</v>
      </c>
    </row>
    <row r="45" spans="1:16" ht="15" customHeight="1" x14ac:dyDescent="0.2">
      <c r="A45" s="1" t="s">
        <v>140</v>
      </c>
      <c r="B45" s="1" t="s">
        <v>141</v>
      </c>
      <c r="C45" s="1" t="s">
        <v>2</v>
      </c>
      <c r="D45" s="1" t="s">
        <v>3</v>
      </c>
      <c r="E45" s="5">
        <v>33065</v>
      </c>
      <c r="F45" s="5">
        <v>34876</v>
      </c>
      <c r="G45" s="2"/>
      <c r="H45" s="1" t="s">
        <v>4</v>
      </c>
      <c r="I45" s="2"/>
      <c r="J45" s="1" t="s">
        <v>11</v>
      </c>
      <c r="K45" s="1" t="s">
        <v>142</v>
      </c>
      <c r="L45" s="2"/>
      <c r="M45" t="str">
        <f t="shared" si="0"/>
        <v/>
      </c>
      <c r="N45" t="str">
        <f t="shared" si="1"/>
        <v/>
      </c>
      <c r="O45" t="str">
        <f t="shared" si="2"/>
        <v>FJERN</v>
      </c>
      <c r="P45" s="1"/>
    </row>
    <row r="46" spans="1:16" ht="15" customHeight="1" x14ac:dyDescent="0.2">
      <c r="A46" s="1" t="s">
        <v>143</v>
      </c>
      <c r="B46" s="1" t="s">
        <v>144</v>
      </c>
      <c r="C46" s="1" t="s">
        <v>2</v>
      </c>
      <c r="D46" s="1" t="s">
        <v>3</v>
      </c>
      <c r="E46" s="5">
        <v>34222</v>
      </c>
      <c r="F46" s="5">
        <v>34877</v>
      </c>
      <c r="G46" s="2"/>
      <c r="H46" s="1" t="s">
        <v>4</v>
      </c>
      <c r="I46" s="2"/>
      <c r="J46" s="1" t="s">
        <v>11</v>
      </c>
      <c r="K46" s="1"/>
      <c r="L46" s="2"/>
      <c r="M46" t="str">
        <f t="shared" si="0"/>
        <v/>
      </c>
      <c r="N46" t="str">
        <f t="shared" si="1"/>
        <v/>
      </c>
      <c r="O46" t="str">
        <f t="shared" si="2"/>
        <v>FJERN</v>
      </c>
      <c r="P46" s="1"/>
    </row>
    <row r="47" spans="1:16" ht="15" customHeight="1" x14ac:dyDescent="0.2">
      <c r="A47" s="1" t="s">
        <v>145</v>
      </c>
      <c r="B47" s="1" t="s">
        <v>146</v>
      </c>
      <c r="C47" s="1" t="s">
        <v>2</v>
      </c>
      <c r="D47" s="1" t="s">
        <v>3</v>
      </c>
      <c r="E47" s="5">
        <v>32231</v>
      </c>
      <c r="F47" s="5">
        <v>40710</v>
      </c>
      <c r="G47" s="2">
        <v>407.67860000000002</v>
      </c>
      <c r="H47" s="1" t="s">
        <v>4</v>
      </c>
      <c r="I47" s="2"/>
      <c r="J47" s="1" t="s">
        <v>5</v>
      </c>
      <c r="K47" s="1" t="s">
        <v>147</v>
      </c>
      <c r="L47" s="2">
        <v>269636.09999999998</v>
      </c>
      <c r="M47">
        <f t="shared" si="0"/>
        <v>109924867.75746</v>
      </c>
      <c r="N47">
        <f t="shared" si="1"/>
        <v>14755015.806370469</v>
      </c>
      <c r="O47" t="str">
        <f t="shared" si="2"/>
        <v>BEHOLD</v>
      </c>
      <c r="P47" s="1" t="s">
        <v>5441</v>
      </c>
    </row>
    <row r="48" spans="1:16" ht="15" customHeight="1" x14ac:dyDescent="0.2">
      <c r="A48" s="1" t="s">
        <v>148</v>
      </c>
      <c r="B48" s="1" t="s">
        <v>149</v>
      </c>
      <c r="C48" s="1" t="s">
        <v>2</v>
      </c>
      <c r="D48" s="1" t="s">
        <v>3</v>
      </c>
      <c r="E48" s="5">
        <v>31063</v>
      </c>
      <c r="F48" s="5">
        <v>46155</v>
      </c>
      <c r="G48" s="2">
        <v>26.335450000000002</v>
      </c>
      <c r="H48" s="1" t="s">
        <v>4</v>
      </c>
      <c r="I48" s="2">
        <v>1891.159492</v>
      </c>
      <c r="J48" s="1" t="s">
        <v>38</v>
      </c>
      <c r="K48" s="1" t="s">
        <v>150</v>
      </c>
      <c r="L48" s="2">
        <v>248411</v>
      </c>
      <c r="M48">
        <f t="shared" si="0"/>
        <v>6542015.4699500008</v>
      </c>
      <c r="N48">
        <f t="shared" si="1"/>
        <v>878122.8818724833</v>
      </c>
      <c r="O48" t="str">
        <f t="shared" si="2"/>
        <v>BEHOLD</v>
      </c>
      <c r="P48" s="1" t="s">
        <v>5442</v>
      </c>
    </row>
    <row r="49" spans="1:16" ht="15" customHeight="1" x14ac:dyDescent="0.2">
      <c r="A49" s="1" t="s">
        <v>151</v>
      </c>
      <c r="B49" s="1" t="s">
        <v>152</v>
      </c>
      <c r="C49" s="1" t="s">
        <v>9</v>
      </c>
      <c r="D49" s="1" t="s">
        <v>3</v>
      </c>
      <c r="E49" s="5">
        <v>36676</v>
      </c>
      <c r="F49" s="5">
        <v>37945</v>
      </c>
      <c r="G49" s="2"/>
      <c r="H49" s="1" t="s">
        <v>10</v>
      </c>
      <c r="I49" s="2"/>
      <c r="J49" s="1" t="s">
        <v>55</v>
      </c>
      <c r="K49" s="1" t="s">
        <v>153</v>
      </c>
      <c r="L49" s="2"/>
      <c r="M49" t="str">
        <f t="shared" si="0"/>
        <v/>
      </c>
      <c r="N49" t="str">
        <f t="shared" si="1"/>
        <v/>
      </c>
      <c r="O49" t="str">
        <f t="shared" si="2"/>
        <v>FJERN</v>
      </c>
      <c r="P49" s="1" t="s">
        <v>5443</v>
      </c>
    </row>
    <row r="50" spans="1:16" ht="15" customHeight="1" x14ac:dyDescent="0.2">
      <c r="A50" s="1" t="s">
        <v>154</v>
      </c>
      <c r="B50" s="1" t="s">
        <v>155</v>
      </c>
      <c r="C50" s="1" t="s">
        <v>2</v>
      </c>
      <c r="D50" s="1" t="s">
        <v>3</v>
      </c>
      <c r="E50" s="5">
        <v>32646</v>
      </c>
      <c r="F50" s="5">
        <v>36126</v>
      </c>
      <c r="G50" s="2"/>
      <c r="H50" s="1" t="s">
        <v>4</v>
      </c>
      <c r="I50" s="2"/>
      <c r="J50" s="1" t="s">
        <v>86</v>
      </c>
      <c r="K50" s="1"/>
      <c r="L50" s="2"/>
      <c r="M50" t="str">
        <f t="shared" si="0"/>
        <v/>
      </c>
      <c r="N50" t="str">
        <f t="shared" si="1"/>
        <v/>
      </c>
      <c r="O50" t="str">
        <f t="shared" si="2"/>
        <v>FJERN</v>
      </c>
      <c r="P50" s="1"/>
    </row>
    <row r="51" spans="1:16" ht="15" customHeight="1" x14ac:dyDescent="0.2">
      <c r="A51" s="1" t="s">
        <v>156</v>
      </c>
      <c r="B51" s="1" t="s">
        <v>157</v>
      </c>
      <c r="C51" s="1" t="s">
        <v>2</v>
      </c>
      <c r="D51" s="1" t="s">
        <v>3</v>
      </c>
      <c r="E51" s="5">
        <v>32875</v>
      </c>
      <c r="F51" s="5">
        <v>46155</v>
      </c>
      <c r="G51" s="2">
        <v>705.55349999999999</v>
      </c>
      <c r="H51" s="1" t="s">
        <v>4</v>
      </c>
      <c r="I51" s="2">
        <v>110390.117526521</v>
      </c>
      <c r="J51" s="1" t="s">
        <v>5</v>
      </c>
      <c r="K51" s="1" t="s">
        <v>158</v>
      </c>
      <c r="L51" s="2">
        <v>335478.8</v>
      </c>
      <c r="M51">
        <f t="shared" si="0"/>
        <v>236698241.5158</v>
      </c>
      <c r="N51">
        <f t="shared" si="1"/>
        <v>31771576.042389262</v>
      </c>
      <c r="O51" t="str">
        <f t="shared" si="2"/>
        <v>BEHOLD</v>
      </c>
      <c r="P51" s="1" t="s">
        <v>5444</v>
      </c>
    </row>
    <row r="52" spans="1:16" ht="15" customHeight="1" x14ac:dyDescent="0.2">
      <c r="A52" s="1" t="s">
        <v>159</v>
      </c>
      <c r="B52" s="1" t="s">
        <v>160</v>
      </c>
      <c r="C52" s="1" t="s">
        <v>9</v>
      </c>
      <c r="D52" s="1" t="s">
        <v>3</v>
      </c>
      <c r="E52" s="5">
        <v>31847</v>
      </c>
      <c r="F52" s="5">
        <v>33968</v>
      </c>
      <c r="G52" s="2"/>
      <c r="H52" s="1" t="s">
        <v>10</v>
      </c>
      <c r="I52" s="2"/>
      <c r="J52" s="1" t="s">
        <v>76</v>
      </c>
      <c r="K52" s="1" t="s">
        <v>161</v>
      </c>
      <c r="L52" s="2"/>
      <c r="M52" t="str">
        <f t="shared" si="0"/>
        <v/>
      </c>
      <c r="N52" t="str">
        <f t="shared" si="1"/>
        <v/>
      </c>
      <c r="O52" t="str">
        <f t="shared" si="2"/>
        <v>FJERN</v>
      </c>
      <c r="P52" s="1"/>
    </row>
    <row r="53" spans="1:16" ht="15" customHeight="1" x14ac:dyDescent="0.2">
      <c r="A53" s="1" t="s">
        <v>162</v>
      </c>
      <c r="B53" s="1" t="s">
        <v>163</v>
      </c>
      <c r="C53" s="1" t="s">
        <v>9</v>
      </c>
      <c r="D53" s="1" t="s">
        <v>3</v>
      </c>
      <c r="E53" s="5">
        <v>31847</v>
      </c>
      <c r="F53" s="5">
        <v>34508</v>
      </c>
      <c r="G53" s="2"/>
      <c r="H53" s="1" t="s">
        <v>10</v>
      </c>
      <c r="I53" s="2"/>
      <c r="J53" s="1" t="s">
        <v>76</v>
      </c>
      <c r="K53" s="1" t="s">
        <v>164</v>
      </c>
      <c r="L53" s="2"/>
      <c r="M53" t="str">
        <f t="shared" si="0"/>
        <v/>
      </c>
      <c r="N53" t="str">
        <f t="shared" si="1"/>
        <v/>
      </c>
      <c r="O53" t="str">
        <f t="shared" si="2"/>
        <v>FJERN</v>
      </c>
      <c r="P53" s="1"/>
    </row>
    <row r="54" spans="1:16" ht="15" customHeight="1" x14ac:dyDescent="0.2">
      <c r="A54" s="1" t="s">
        <v>165</v>
      </c>
      <c r="B54" s="1" t="s">
        <v>166</v>
      </c>
      <c r="C54" s="1" t="s">
        <v>9</v>
      </c>
      <c r="D54" s="1" t="s">
        <v>3</v>
      </c>
      <c r="E54" s="5">
        <v>34523</v>
      </c>
      <c r="F54" s="5">
        <v>36703</v>
      </c>
      <c r="G54" s="2"/>
      <c r="H54" s="1" t="s">
        <v>10</v>
      </c>
      <c r="I54" s="2"/>
      <c r="J54" s="1" t="s">
        <v>167</v>
      </c>
      <c r="K54" s="1"/>
      <c r="L54" s="2"/>
      <c r="M54" t="str">
        <f t="shared" si="0"/>
        <v/>
      </c>
      <c r="N54" t="str">
        <f t="shared" si="1"/>
        <v/>
      </c>
      <c r="O54" t="str">
        <f t="shared" si="2"/>
        <v>FJERN</v>
      </c>
      <c r="P54" s="1" t="s">
        <v>5445</v>
      </c>
    </row>
    <row r="55" spans="1:16" ht="15" customHeight="1" x14ac:dyDescent="0.2">
      <c r="A55" s="1" t="s">
        <v>168</v>
      </c>
      <c r="B55" s="1" t="s">
        <v>169</v>
      </c>
      <c r="C55" s="1" t="s">
        <v>9</v>
      </c>
      <c r="D55" s="1" t="s">
        <v>3</v>
      </c>
      <c r="E55" s="5">
        <v>34144</v>
      </c>
      <c r="F55" s="5">
        <v>36602</v>
      </c>
      <c r="G55" s="2"/>
      <c r="H55" s="1" t="s">
        <v>10</v>
      </c>
      <c r="I55" s="2"/>
      <c r="J55" s="1" t="s">
        <v>23</v>
      </c>
      <c r="K55" s="1" t="s">
        <v>170</v>
      </c>
      <c r="L55" s="2"/>
      <c r="M55" t="str">
        <f t="shared" si="0"/>
        <v/>
      </c>
      <c r="N55" t="str">
        <f t="shared" si="1"/>
        <v/>
      </c>
      <c r="O55" t="str">
        <f t="shared" si="2"/>
        <v>FJERN</v>
      </c>
      <c r="P55" s="1"/>
    </row>
    <row r="56" spans="1:16" ht="15" customHeight="1" x14ac:dyDescent="0.2">
      <c r="A56" s="1" t="s">
        <v>171</v>
      </c>
      <c r="B56" s="1" t="s">
        <v>172</v>
      </c>
      <c r="C56" s="1" t="s">
        <v>9</v>
      </c>
      <c r="D56" s="1" t="s">
        <v>3</v>
      </c>
      <c r="E56" s="5">
        <v>33546</v>
      </c>
      <c r="F56" s="5">
        <v>37827</v>
      </c>
      <c r="G56" s="2"/>
      <c r="H56" s="1" t="s">
        <v>10</v>
      </c>
      <c r="I56" s="2"/>
      <c r="J56" s="1" t="s">
        <v>61</v>
      </c>
      <c r="K56" s="1" t="s">
        <v>173</v>
      </c>
      <c r="L56" s="2"/>
      <c r="M56" t="str">
        <f t="shared" si="0"/>
        <v/>
      </c>
      <c r="N56" t="str">
        <f t="shared" si="1"/>
        <v/>
      </c>
      <c r="O56" t="str">
        <f t="shared" si="2"/>
        <v>FJERN</v>
      </c>
      <c r="P56" s="1"/>
    </row>
    <row r="57" spans="1:16" ht="15" customHeight="1" x14ac:dyDescent="0.2">
      <c r="A57" s="1" t="s">
        <v>174</v>
      </c>
      <c r="B57" s="1" t="s">
        <v>175</v>
      </c>
      <c r="C57" s="1" t="s">
        <v>9</v>
      </c>
      <c r="D57" s="1" t="s">
        <v>3</v>
      </c>
      <c r="E57" s="5">
        <v>33190</v>
      </c>
      <c r="F57" s="5">
        <v>34393</v>
      </c>
      <c r="G57" s="2"/>
      <c r="H57" s="1" t="s">
        <v>10</v>
      </c>
      <c r="I57" s="2"/>
      <c r="J57" s="1" t="s">
        <v>176</v>
      </c>
      <c r="K57" s="1"/>
      <c r="L57" s="2"/>
      <c r="M57" t="str">
        <f t="shared" si="0"/>
        <v/>
      </c>
      <c r="N57" t="str">
        <f t="shared" si="1"/>
        <v/>
      </c>
      <c r="O57" t="str">
        <f t="shared" si="2"/>
        <v>FJERN</v>
      </c>
      <c r="P57" s="1"/>
    </row>
    <row r="58" spans="1:16" ht="15" customHeight="1" x14ac:dyDescent="0.2">
      <c r="A58" s="1" t="s">
        <v>177</v>
      </c>
      <c r="B58" s="1" t="s">
        <v>178</v>
      </c>
      <c r="C58" s="1" t="s">
        <v>9</v>
      </c>
      <c r="D58" s="1" t="s">
        <v>3</v>
      </c>
      <c r="E58" s="5">
        <v>31049</v>
      </c>
      <c r="F58" s="5">
        <v>33968</v>
      </c>
      <c r="G58" s="2"/>
      <c r="H58" s="1" t="s">
        <v>10</v>
      </c>
      <c r="I58" s="2"/>
      <c r="J58" s="1" t="s">
        <v>11</v>
      </c>
      <c r="K58" s="1"/>
      <c r="L58" s="2"/>
      <c r="M58" t="str">
        <f t="shared" si="0"/>
        <v/>
      </c>
      <c r="N58" t="str">
        <f t="shared" si="1"/>
        <v/>
      </c>
      <c r="O58" t="str">
        <f t="shared" si="2"/>
        <v>FJERN</v>
      </c>
      <c r="P58" s="1"/>
    </row>
    <row r="59" spans="1:16" ht="15" customHeight="1" x14ac:dyDescent="0.2">
      <c r="A59" s="1" t="s">
        <v>179</v>
      </c>
      <c r="B59" s="1" t="s">
        <v>180</v>
      </c>
      <c r="C59" s="1" t="s">
        <v>2</v>
      </c>
      <c r="D59" s="1" t="s">
        <v>3</v>
      </c>
      <c r="E59" s="5">
        <v>33351</v>
      </c>
      <c r="F59" s="5">
        <v>46153</v>
      </c>
      <c r="G59" s="2">
        <v>9.6787030000000005</v>
      </c>
      <c r="H59" s="1" t="s">
        <v>4</v>
      </c>
      <c r="I59" s="2">
        <v>724.46684159999995</v>
      </c>
      <c r="J59" s="1" t="s">
        <v>61</v>
      </c>
      <c r="K59" s="1" t="s">
        <v>181</v>
      </c>
      <c r="L59" s="2">
        <v>10979.87</v>
      </c>
      <c r="M59">
        <f t="shared" si="0"/>
        <v>106270.90070861002</v>
      </c>
      <c r="N59">
        <f t="shared" si="1"/>
        <v>14264.550430685907</v>
      </c>
      <c r="O59" t="str">
        <f t="shared" si="2"/>
        <v>FJERN</v>
      </c>
      <c r="P59" s="1" t="s">
        <v>5446</v>
      </c>
    </row>
    <row r="60" spans="1:16" ht="15" customHeight="1" x14ac:dyDescent="0.2">
      <c r="A60" s="1" t="s">
        <v>182</v>
      </c>
      <c r="B60" s="1" t="s">
        <v>183</v>
      </c>
      <c r="C60" s="1" t="s">
        <v>2</v>
      </c>
      <c r="D60" s="1" t="s">
        <v>3</v>
      </c>
      <c r="E60" s="5">
        <v>35037</v>
      </c>
      <c r="F60" s="5">
        <v>36425</v>
      </c>
      <c r="G60" s="2"/>
      <c r="H60" s="1" t="s">
        <v>4</v>
      </c>
      <c r="I60" s="2"/>
      <c r="J60" s="1" t="s">
        <v>184</v>
      </c>
      <c r="K60" s="1"/>
      <c r="L60" s="2"/>
      <c r="M60" t="str">
        <f t="shared" si="0"/>
        <v/>
      </c>
      <c r="N60" t="str">
        <f t="shared" si="1"/>
        <v/>
      </c>
      <c r="O60" t="str">
        <f t="shared" si="2"/>
        <v>FJERN</v>
      </c>
      <c r="P60" s="1"/>
    </row>
    <row r="61" spans="1:16" ht="15" customHeight="1" x14ac:dyDescent="0.2">
      <c r="A61" s="1" t="s">
        <v>185</v>
      </c>
      <c r="B61" s="1" t="s">
        <v>186</v>
      </c>
      <c r="C61" s="1" t="s">
        <v>2</v>
      </c>
      <c r="D61" s="1" t="s">
        <v>3</v>
      </c>
      <c r="E61" s="5">
        <v>32231</v>
      </c>
      <c r="F61" s="5">
        <v>36693</v>
      </c>
      <c r="G61" s="2"/>
      <c r="H61" s="1" t="s">
        <v>4</v>
      </c>
      <c r="I61" s="2"/>
      <c r="J61" s="1" t="s">
        <v>11</v>
      </c>
      <c r="K61" s="1"/>
      <c r="L61" s="2"/>
      <c r="M61" t="str">
        <f t="shared" si="0"/>
        <v/>
      </c>
      <c r="N61" t="str">
        <f t="shared" si="1"/>
        <v/>
      </c>
      <c r="O61" t="str">
        <f t="shared" si="2"/>
        <v>FJERN</v>
      </c>
      <c r="P61" s="1"/>
    </row>
    <row r="62" spans="1:16" ht="15" customHeight="1" x14ac:dyDescent="0.2">
      <c r="A62" s="1" t="s">
        <v>187</v>
      </c>
      <c r="B62" s="1" t="s">
        <v>188</v>
      </c>
      <c r="C62" s="1" t="s">
        <v>9</v>
      </c>
      <c r="D62" s="1" t="s">
        <v>3</v>
      </c>
      <c r="E62" s="5">
        <v>34757</v>
      </c>
      <c r="F62" s="5">
        <v>40654</v>
      </c>
      <c r="G62" s="2">
        <v>243.4632</v>
      </c>
      <c r="H62" s="1" t="s">
        <v>10</v>
      </c>
      <c r="I62" s="2"/>
      <c r="J62" s="1" t="s">
        <v>11</v>
      </c>
      <c r="K62" s="1" t="s">
        <v>189</v>
      </c>
      <c r="L62" s="2">
        <v>30688.97</v>
      </c>
      <c r="M62">
        <f t="shared" si="0"/>
        <v>7471634.8409040002</v>
      </c>
      <c r="N62">
        <f t="shared" si="1"/>
        <v>661206.62308884959</v>
      </c>
      <c r="O62" t="str">
        <f t="shared" si="2"/>
        <v>BEHOLD</v>
      </c>
      <c r="P62" s="1" t="s">
        <v>5447</v>
      </c>
    </row>
    <row r="63" spans="1:16" ht="15" customHeight="1" x14ac:dyDescent="0.2">
      <c r="A63" s="1" t="s">
        <v>190</v>
      </c>
      <c r="B63" s="1" t="s">
        <v>191</v>
      </c>
      <c r="C63" s="1" t="s">
        <v>2</v>
      </c>
      <c r="D63" s="1" t="s">
        <v>3</v>
      </c>
      <c r="E63" s="5">
        <v>32231</v>
      </c>
      <c r="F63" s="5">
        <v>35972</v>
      </c>
      <c r="G63" s="2"/>
      <c r="H63" s="1" t="s">
        <v>4</v>
      </c>
      <c r="I63" s="2"/>
      <c r="J63" s="1" t="s">
        <v>51</v>
      </c>
      <c r="K63" s="1"/>
      <c r="L63" s="2"/>
      <c r="M63" t="str">
        <f t="shared" si="0"/>
        <v/>
      </c>
      <c r="N63" t="str">
        <f t="shared" si="1"/>
        <v/>
      </c>
      <c r="O63" t="str">
        <f t="shared" si="2"/>
        <v>FJERN</v>
      </c>
      <c r="P63" s="1"/>
    </row>
    <row r="64" spans="1:16" ht="15" customHeight="1" x14ac:dyDescent="0.2">
      <c r="A64" s="1" t="s">
        <v>192</v>
      </c>
      <c r="B64" s="1" t="s">
        <v>193</v>
      </c>
      <c r="C64" s="1" t="s">
        <v>9</v>
      </c>
      <c r="D64" s="1" t="s">
        <v>3</v>
      </c>
      <c r="E64" s="5">
        <v>35032</v>
      </c>
      <c r="F64" s="5">
        <v>36720</v>
      </c>
      <c r="G64" s="2"/>
      <c r="H64" s="1" t="s">
        <v>10</v>
      </c>
      <c r="I64" s="2"/>
      <c r="J64" s="1" t="s">
        <v>23</v>
      </c>
      <c r="K64" s="1" t="s">
        <v>194</v>
      </c>
      <c r="L64" s="2"/>
      <c r="M64" t="str">
        <f t="shared" si="0"/>
        <v/>
      </c>
      <c r="N64" t="str">
        <f t="shared" si="1"/>
        <v/>
      </c>
      <c r="O64" t="str">
        <f t="shared" si="2"/>
        <v>FJERN</v>
      </c>
      <c r="P64" s="1"/>
    </row>
    <row r="65" spans="1:16" ht="15" customHeight="1" x14ac:dyDescent="0.2">
      <c r="A65" s="1" t="s">
        <v>195</v>
      </c>
      <c r="B65" s="1" t="s">
        <v>196</v>
      </c>
      <c r="C65" s="1" t="s">
        <v>2</v>
      </c>
      <c r="D65" s="1" t="s">
        <v>3</v>
      </c>
      <c r="E65" s="5">
        <v>34901</v>
      </c>
      <c r="F65" s="5">
        <v>35236</v>
      </c>
      <c r="G65" s="2"/>
      <c r="H65" s="1" t="s">
        <v>4</v>
      </c>
      <c r="I65" s="2"/>
      <c r="J65" s="1" t="s">
        <v>197</v>
      </c>
      <c r="K65" s="1" t="s">
        <v>198</v>
      </c>
      <c r="L65" s="2"/>
      <c r="M65" t="str">
        <f t="shared" si="0"/>
        <v/>
      </c>
      <c r="N65" t="str">
        <f t="shared" si="1"/>
        <v/>
      </c>
      <c r="O65" t="str">
        <f t="shared" si="2"/>
        <v>FJERN</v>
      </c>
      <c r="P65" s="1"/>
    </row>
    <row r="66" spans="1:16" ht="15" customHeight="1" x14ac:dyDescent="0.2">
      <c r="A66" s="1" t="s">
        <v>199</v>
      </c>
      <c r="B66" s="1" t="s">
        <v>200</v>
      </c>
      <c r="C66" s="1" t="s">
        <v>9</v>
      </c>
      <c r="D66" s="1" t="s">
        <v>3</v>
      </c>
      <c r="E66" s="5">
        <v>33149</v>
      </c>
      <c r="F66" s="5">
        <v>45328</v>
      </c>
      <c r="G66" s="2">
        <v>12.565340000000001</v>
      </c>
      <c r="H66" s="1" t="s">
        <v>10</v>
      </c>
      <c r="I66" s="2"/>
      <c r="J66" s="1" t="s">
        <v>201</v>
      </c>
      <c r="K66" s="1" t="s">
        <v>202</v>
      </c>
      <c r="L66" s="2">
        <v>45823.08</v>
      </c>
      <c r="M66">
        <f t="shared" si="0"/>
        <v>575782.58004720008</v>
      </c>
      <c r="N66">
        <f t="shared" si="1"/>
        <v>50954.210623646024</v>
      </c>
      <c r="O66" t="str">
        <f t="shared" si="2"/>
        <v>FJERN</v>
      </c>
      <c r="P66" s="1" t="s">
        <v>5448</v>
      </c>
    </row>
    <row r="67" spans="1:16" ht="15" customHeight="1" x14ac:dyDescent="0.2">
      <c r="A67" s="1" t="s">
        <v>203</v>
      </c>
      <c r="B67" s="1" t="s">
        <v>204</v>
      </c>
      <c r="C67" s="1" t="s">
        <v>9</v>
      </c>
      <c r="D67" s="1" t="s">
        <v>3</v>
      </c>
      <c r="E67" s="5">
        <v>33591</v>
      </c>
      <c r="F67" s="5">
        <v>33623</v>
      </c>
      <c r="G67" s="2"/>
      <c r="H67" s="1" t="s">
        <v>10</v>
      </c>
      <c r="I67" s="2"/>
      <c r="J67" s="1" t="s">
        <v>11</v>
      </c>
      <c r="K67" s="1"/>
      <c r="L67" s="2"/>
      <c r="M67" t="str">
        <f t="shared" ref="M67:M130" si="3">IF(OR(G67="",L67=""),"",G67*L67)</f>
        <v/>
      </c>
      <c r="N67" t="str">
        <f t="shared" ref="N67:N130" si="4">IF(M67="","",IF(H67="DKK",M67/7.45,IF(H67="SEK",M67/11.3,M67)))</f>
        <v/>
      </c>
      <c r="O67" t="str">
        <f t="shared" ref="O67:O130" si="5">IF(AND(E67&lt;=DATE(2024,12,31),F67&gt;=DATE(2010,1,1),D67="SHARE",N67&gt;=100000),"BEHOLD","FJERN")</f>
        <v>FJERN</v>
      </c>
      <c r="P67" s="1"/>
    </row>
    <row r="68" spans="1:16" ht="15" customHeight="1" x14ac:dyDescent="0.2">
      <c r="A68" s="1" t="s">
        <v>205</v>
      </c>
      <c r="B68" s="1" t="s">
        <v>206</v>
      </c>
      <c r="C68" s="1" t="s">
        <v>2</v>
      </c>
      <c r="D68" s="1" t="s">
        <v>3</v>
      </c>
      <c r="E68" s="5">
        <v>32105</v>
      </c>
      <c r="F68" s="5">
        <v>37069</v>
      </c>
      <c r="G68" s="2"/>
      <c r="H68" s="1" t="s">
        <v>4</v>
      </c>
      <c r="I68" s="2"/>
      <c r="J68" s="1" t="s">
        <v>83</v>
      </c>
      <c r="K68" s="1" t="s">
        <v>207</v>
      </c>
      <c r="L68" s="2"/>
      <c r="M68" t="str">
        <f t="shared" si="3"/>
        <v/>
      </c>
      <c r="N68" t="str">
        <f t="shared" si="4"/>
        <v/>
      </c>
      <c r="O68" t="str">
        <f t="shared" si="5"/>
        <v>FJERN</v>
      </c>
      <c r="P68" s="1"/>
    </row>
    <row r="69" spans="1:16" ht="15" customHeight="1" x14ac:dyDescent="0.2">
      <c r="A69" s="1" t="s">
        <v>208</v>
      </c>
      <c r="B69" s="1" t="s">
        <v>209</v>
      </c>
      <c r="C69" s="1" t="s">
        <v>2</v>
      </c>
      <c r="D69" s="1" t="s">
        <v>3</v>
      </c>
      <c r="E69" s="5">
        <v>33801</v>
      </c>
      <c r="F69" s="5">
        <v>36812</v>
      </c>
      <c r="G69" s="2"/>
      <c r="H69" s="1" t="s">
        <v>4</v>
      </c>
      <c r="I69" s="2"/>
      <c r="J69" s="1" t="s">
        <v>23</v>
      </c>
      <c r="K69" s="1" t="s">
        <v>210</v>
      </c>
      <c r="L69" s="2"/>
      <c r="M69" t="str">
        <f t="shared" si="3"/>
        <v/>
      </c>
      <c r="N69" t="str">
        <f t="shared" si="4"/>
        <v/>
      </c>
      <c r="O69" t="str">
        <f t="shared" si="5"/>
        <v>FJERN</v>
      </c>
      <c r="P69" s="1"/>
    </row>
    <row r="70" spans="1:16" ht="15" customHeight="1" x14ac:dyDescent="0.2">
      <c r="A70" s="1" t="s">
        <v>211</v>
      </c>
      <c r="B70" s="1" t="s">
        <v>212</v>
      </c>
      <c r="C70" s="1" t="s">
        <v>2</v>
      </c>
      <c r="D70" s="1" t="s">
        <v>3</v>
      </c>
      <c r="E70" s="5">
        <v>33793</v>
      </c>
      <c r="F70" s="5">
        <v>35297</v>
      </c>
      <c r="G70" s="2"/>
      <c r="H70" s="1" t="s">
        <v>4</v>
      </c>
      <c r="I70" s="2"/>
      <c r="J70" s="1" t="s">
        <v>5</v>
      </c>
      <c r="K70" s="1" t="s">
        <v>213</v>
      </c>
      <c r="L70" s="2"/>
      <c r="M70" t="str">
        <f t="shared" si="3"/>
        <v/>
      </c>
      <c r="N70" t="str">
        <f t="shared" si="4"/>
        <v/>
      </c>
      <c r="O70" t="str">
        <f t="shared" si="5"/>
        <v>FJERN</v>
      </c>
      <c r="P70" s="1"/>
    </row>
    <row r="71" spans="1:16" ht="15" customHeight="1" x14ac:dyDescent="0.2">
      <c r="A71" s="1" t="s">
        <v>214</v>
      </c>
      <c r="B71" s="1" t="s">
        <v>215</v>
      </c>
      <c r="C71" s="1" t="s">
        <v>2</v>
      </c>
      <c r="D71" s="1" t="s">
        <v>3</v>
      </c>
      <c r="E71" s="5">
        <v>33262</v>
      </c>
      <c r="F71" s="5">
        <v>35380</v>
      </c>
      <c r="G71" s="2"/>
      <c r="H71" s="1" t="s">
        <v>4</v>
      </c>
      <c r="I71" s="2"/>
      <c r="J71" s="1" t="s">
        <v>5</v>
      </c>
      <c r="K71" s="1" t="s">
        <v>216</v>
      </c>
      <c r="L71" s="2"/>
      <c r="M71" t="str">
        <f t="shared" si="3"/>
        <v/>
      </c>
      <c r="N71" t="str">
        <f t="shared" si="4"/>
        <v/>
      </c>
      <c r="O71" t="str">
        <f t="shared" si="5"/>
        <v>FJERN</v>
      </c>
      <c r="P71" s="1"/>
    </row>
    <row r="72" spans="1:16" ht="15" customHeight="1" x14ac:dyDescent="0.2">
      <c r="A72" s="1" t="s">
        <v>217</v>
      </c>
      <c r="B72" s="1" t="s">
        <v>218</v>
      </c>
      <c r="C72" s="1" t="s">
        <v>2</v>
      </c>
      <c r="D72" s="1" t="s">
        <v>3</v>
      </c>
      <c r="E72" s="5">
        <v>32231</v>
      </c>
      <c r="F72" s="5">
        <v>37785</v>
      </c>
      <c r="G72" s="2"/>
      <c r="H72" s="1" t="s">
        <v>4</v>
      </c>
      <c r="I72" s="2"/>
      <c r="J72" s="1" t="s">
        <v>11</v>
      </c>
      <c r="K72" s="1" t="s">
        <v>219</v>
      </c>
      <c r="L72" s="2"/>
      <c r="M72" t="str">
        <f t="shared" si="3"/>
        <v/>
      </c>
      <c r="N72" t="str">
        <f t="shared" si="4"/>
        <v/>
      </c>
      <c r="O72" t="str">
        <f t="shared" si="5"/>
        <v>FJERN</v>
      </c>
      <c r="P72" s="1"/>
    </row>
    <row r="73" spans="1:16" ht="15" customHeight="1" x14ac:dyDescent="0.2">
      <c r="A73" s="1" t="s">
        <v>220</v>
      </c>
      <c r="B73" s="1" t="s">
        <v>221</v>
      </c>
      <c r="C73" s="1" t="s">
        <v>2</v>
      </c>
      <c r="D73" s="1" t="s">
        <v>3</v>
      </c>
      <c r="E73" s="5">
        <v>32106</v>
      </c>
      <c r="F73" s="5">
        <v>33928</v>
      </c>
      <c r="G73" s="2"/>
      <c r="H73" s="1" t="s">
        <v>4</v>
      </c>
      <c r="I73" s="2"/>
      <c r="J73" s="1" t="s">
        <v>222</v>
      </c>
      <c r="K73" s="1" t="s">
        <v>223</v>
      </c>
      <c r="L73" s="2"/>
      <c r="M73" t="str">
        <f t="shared" si="3"/>
        <v/>
      </c>
      <c r="N73" t="str">
        <f t="shared" si="4"/>
        <v/>
      </c>
      <c r="O73" t="str">
        <f t="shared" si="5"/>
        <v>FJERN</v>
      </c>
      <c r="P73" s="1"/>
    </row>
    <row r="74" spans="1:16" ht="15" customHeight="1" x14ac:dyDescent="0.2">
      <c r="A74" s="1" t="s">
        <v>224</v>
      </c>
      <c r="B74" s="1" t="s">
        <v>225</v>
      </c>
      <c r="C74" s="1" t="s">
        <v>2</v>
      </c>
      <c r="D74" s="1" t="s">
        <v>3</v>
      </c>
      <c r="E74" s="5">
        <v>32231</v>
      </c>
      <c r="F74" s="5">
        <v>46155</v>
      </c>
      <c r="G74" s="2">
        <v>8610.884</v>
      </c>
      <c r="H74" s="1" t="s">
        <v>4</v>
      </c>
      <c r="I74" s="2">
        <v>214730.20895999999</v>
      </c>
      <c r="J74" s="1" t="s">
        <v>11</v>
      </c>
      <c r="K74" s="1" t="s">
        <v>226</v>
      </c>
      <c r="L74" s="2">
        <v>30036.35</v>
      </c>
      <c r="M74">
        <f t="shared" si="3"/>
        <v>258639525.63339999</v>
      </c>
      <c r="N74">
        <f t="shared" si="4"/>
        <v>34716714.850120805</v>
      </c>
      <c r="O74" t="str">
        <f t="shared" si="5"/>
        <v>BEHOLD</v>
      </c>
      <c r="P74" s="1" t="s">
        <v>5449</v>
      </c>
    </row>
    <row r="75" spans="1:16" ht="15" customHeight="1" x14ac:dyDescent="0.2">
      <c r="A75" s="1" t="s">
        <v>227</v>
      </c>
      <c r="B75" s="1" t="s">
        <v>228</v>
      </c>
      <c r="C75" s="1" t="s">
        <v>2</v>
      </c>
      <c r="D75" s="1" t="s">
        <v>3</v>
      </c>
      <c r="E75" s="5">
        <v>34263</v>
      </c>
      <c r="F75" s="5">
        <v>34263</v>
      </c>
      <c r="G75" s="2"/>
      <c r="H75" s="1" t="s">
        <v>4</v>
      </c>
      <c r="I75" s="2"/>
      <c r="J75" s="1" t="s">
        <v>115</v>
      </c>
      <c r="K75" s="1"/>
      <c r="L75" s="2"/>
      <c r="M75" t="str">
        <f t="shared" si="3"/>
        <v/>
      </c>
      <c r="N75" t="str">
        <f t="shared" si="4"/>
        <v/>
      </c>
      <c r="O75" t="str">
        <f t="shared" si="5"/>
        <v>FJERN</v>
      </c>
      <c r="P75" s="1"/>
    </row>
    <row r="76" spans="1:16" ht="15" customHeight="1" x14ac:dyDescent="0.2">
      <c r="A76" s="1" t="s">
        <v>229</v>
      </c>
      <c r="B76" s="1" t="s">
        <v>230</v>
      </c>
      <c r="C76" s="1" t="s">
        <v>2</v>
      </c>
      <c r="D76" s="1" t="s">
        <v>3</v>
      </c>
      <c r="E76" s="5">
        <v>32231</v>
      </c>
      <c r="F76" s="5">
        <v>32679</v>
      </c>
      <c r="G76" s="2"/>
      <c r="H76" s="1" t="s">
        <v>4</v>
      </c>
      <c r="I76" s="2"/>
      <c r="J76" s="1" t="s">
        <v>5</v>
      </c>
      <c r="K76" s="1"/>
      <c r="L76" s="2"/>
      <c r="M76" t="str">
        <f t="shared" si="3"/>
        <v/>
      </c>
      <c r="N76" t="str">
        <f t="shared" si="4"/>
        <v/>
      </c>
      <c r="O76" t="str">
        <f t="shared" si="5"/>
        <v>FJERN</v>
      </c>
      <c r="P76" s="1"/>
    </row>
    <row r="77" spans="1:16" ht="15" customHeight="1" x14ac:dyDescent="0.2">
      <c r="A77" s="1" t="s">
        <v>231</v>
      </c>
      <c r="B77" s="1" t="s">
        <v>232</v>
      </c>
      <c r="C77" s="1" t="s">
        <v>2</v>
      </c>
      <c r="D77" s="1" t="s">
        <v>3</v>
      </c>
      <c r="E77" s="5">
        <v>32133</v>
      </c>
      <c r="F77" s="5">
        <v>38366</v>
      </c>
      <c r="G77" s="2"/>
      <c r="H77" s="1" t="s">
        <v>4</v>
      </c>
      <c r="I77" s="2"/>
      <c r="J77" s="1" t="s">
        <v>76</v>
      </c>
      <c r="K77" s="1" t="s">
        <v>233</v>
      </c>
      <c r="L77" s="2"/>
      <c r="M77" t="str">
        <f t="shared" si="3"/>
        <v/>
      </c>
      <c r="N77" t="str">
        <f t="shared" si="4"/>
        <v/>
      </c>
      <c r="O77" t="str">
        <f t="shared" si="5"/>
        <v>FJERN</v>
      </c>
      <c r="P77" s="1" t="s">
        <v>5450</v>
      </c>
    </row>
    <row r="78" spans="1:16" ht="15" customHeight="1" x14ac:dyDescent="0.2">
      <c r="A78" s="1" t="s">
        <v>234</v>
      </c>
      <c r="B78" s="1" t="s">
        <v>235</v>
      </c>
      <c r="C78" s="1" t="s">
        <v>2</v>
      </c>
      <c r="D78" s="1" t="s">
        <v>3</v>
      </c>
      <c r="E78" s="5">
        <v>32107</v>
      </c>
      <c r="F78" s="5">
        <v>37071</v>
      </c>
      <c r="G78" s="2"/>
      <c r="H78" s="1" t="s">
        <v>4</v>
      </c>
      <c r="I78" s="2"/>
      <c r="J78" s="1" t="s">
        <v>236</v>
      </c>
      <c r="K78" s="1"/>
      <c r="L78" s="2"/>
      <c r="M78" t="str">
        <f t="shared" si="3"/>
        <v/>
      </c>
      <c r="N78" t="str">
        <f t="shared" si="4"/>
        <v/>
      </c>
      <c r="O78" t="str">
        <f t="shared" si="5"/>
        <v>FJERN</v>
      </c>
      <c r="P78" s="1"/>
    </row>
    <row r="79" spans="1:16" ht="15" customHeight="1" x14ac:dyDescent="0.2">
      <c r="A79" s="1" t="s">
        <v>237</v>
      </c>
      <c r="B79" s="1" t="s">
        <v>238</v>
      </c>
      <c r="C79" s="1" t="s">
        <v>2</v>
      </c>
      <c r="D79" s="1" t="s">
        <v>3</v>
      </c>
      <c r="E79" s="5">
        <v>32231</v>
      </c>
      <c r="F79" s="5">
        <v>36018</v>
      </c>
      <c r="G79" s="2"/>
      <c r="H79" s="1" t="s">
        <v>4</v>
      </c>
      <c r="I79" s="2"/>
      <c r="J79" s="1" t="s">
        <v>83</v>
      </c>
      <c r="K79" s="1"/>
      <c r="L79" s="2"/>
      <c r="M79" t="str">
        <f t="shared" si="3"/>
        <v/>
      </c>
      <c r="N79" t="str">
        <f t="shared" si="4"/>
        <v/>
      </c>
      <c r="O79" t="str">
        <f t="shared" si="5"/>
        <v>FJERN</v>
      </c>
      <c r="P79" s="1"/>
    </row>
    <row r="80" spans="1:16" ht="15" customHeight="1" x14ac:dyDescent="0.2">
      <c r="A80" s="1" t="s">
        <v>239</v>
      </c>
      <c r="B80" s="1" t="s">
        <v>240</v>
      </c>
      <c r="C80" s="1" t="s">
        <v>2</v>
      </c>
      <c r="D80" s="1" t="s">
        <v>3</v>
      </c>
      <c r="E80" s="5">
        <v>31049</v>
      </c>
      <c r="F80" s="5">
        <v>32679</v>
      </c>
      <c r="G80" s="2"/>
      <c r="H80" s="1" t="s">
        <v>4</v>
      </c>
      <c r="I80" s="2"/>
      <c r="J80" s="1" t="s">
        <v>5</v>
      </c>
      <c r="K80" s="1"/>
      <c r="L80" s="2"/>
      <c r="M80" t="str">
        <f t="shared" si="3"/>
        <v/>
      </c>
      <c r="N80" t="str">
        <f t="shared" si="4"/>
        <v/>
      </c>
      <c r="O80" t="str">
        <f t="shared" si="5"/>
        <v>FJERN</v>
      </c>
      <c r="P80" s="1"/>
    </row>
    <row r="81" spans="1:16" ht="15" customHeight="1" x14ac:dyDescent="0.2">
      <c r="A81" s="1" t="s">
        <v>241</v>
      </c>
      <c r="B81" s="1" t="s">
        <v>242</v>
      </c>
      <c r="C81" s="1" t="s">
        <v>2</v>
      </c>
      <c r="D81" s="1" t="s">
        <v>3</v>
      </c>
      <c r="E81" s="5">
        <v>32197</v>
      </c>
      <c r="F81" s="5">
        <v>34775</v>
      </c>
      <c r="G81" s="2"/>
      <c r="H81" s="1" t="s">
        <v>4</v>
      </c>
      <c r="I81" s="2"/>
      <c r="J81" s="1" t="s">
        <v>236</v>
      </c>
      <c r="K81" s="1" t="s">
        <v>243</v>
      </c>
      <c r="L81" s="2"/>
      <c r="M81" t="str">
        <f t="shared" si="3"/>
        <v/>
      </c>
      <c r="N81" t="str">
        <f t="shared" si="4"/>
        <v/>
      </c>
      <c r="O81" t="str">
        <f t="shared" si="5"/>
        <v>FJERN</v>
      </c>
      <c r="P81" s="1"/>
    </row>
    <row r="82" spans="1:16" ht="15" customHeight="1" x14ac:dyDescent="0.2">
      <c r="A82" s="1" t="s">
        <v>244</v>
      </c>
      <c r="B82" s="1" t="s">
        <v>245</v>
      </c>
      <c r="C82" s="1" t="s">
        <v>2</v>
      </c>
      <c r="D82" s="1" t="s">
        <v>3</v>
      </c>
      <c r="E82" s="5">
        <v>32106</v>
      </c>
      <c r="F82" s="5">
        <v>35341</v>
      </c>
      <c r="G82" s="2"/>
      <c r="H82" s="1" t="s">
        <v>4</v>
      </c>
      <c r="I82" s="2"/>
      <c r="J82" s="1" t="s">
        <v>23</v>
      </c>
      <c r="K82" s="1" t="s">
        <v>246</v>
      </c>
      <c r="L82" s="2"/>
      <c r="M82" t="str">
        <f t="shared" si="3"/>
        <v/>
      </c>
      <c r="N82" t="str">
        <f t="shared" si="4"/>
        <v/>
      </c>
      <c r="O82" t="str">
        <f t="shared" si="5"/>
        <v>FJERN</v>
      </c>
      <c r="P82" s="1"/>
    </row>
    <row r="83" spans="1:16" ht="15" customHeight="1" x14ac:dyDescent="0.2">
      <c r="A83" s="1" t="s">
        <v>247</v>
      </c>
      <c r="B83" s="1" t="s">
        <v>248</v>
      </c>
      <c r="C83" s="1" t="s">
        <v>2</v>
      </c>
      <c r="D83" s="1" t="s">
        <v>3</v>
      </c>
      <c r="E83" s="5">
        <v>32106</v>
      </c>
      <c r="F83" s="5">
        <v>46155</v>
      </c>
      <c r="G83" s="2">
        <v>223.92339999999999</v>
      </c>
      <c r="H83" s="1" t="s">
        <v>4</v>
      </c>
      <c r="I83" s="2"/>
      <c r="J83" s="1" t="s">
        <v>38</v>
      </c>
      <c r="K83" s="1" t="s">
        <v>249</v>
      </c>
      <c r="L83" s="2">
        <v>140.0188</v>
      </c>
      <c r="M83">
        <f t="shared" si="3"/>
        <v>31353.485759919997</v>
      </c>
      <c r="N83">
        <f t="shared" si="4"/>
        <v>4208.5215785127511</v>
      </c>
      <c r="O83" t="str">
        <f t="shared" si="5"/>
        <v>FJERN</v>
      </c>
      <c r="P83" s="1" t="s">
        <v>5451</v>
      </c>
    </row>
    <row r="84" spans="1:16" ht="15" customHeight="1" x14ac:dyDescent="0.2">
      <c r="A84" s="1" t="s">
        <v>250</v>
      </c>
      <c r="B84" s="1" t="s">
        <v>251</v>
      </c>
      <c r="C84" s="1" t="s">
        <v>9</v>
      </c>
      <c r="D84" s="1" t="s">
        <v>3</v>
      </c>
      <c r="E84" s="5">
        <v>36755</v>
      </c>
      <c r="F84" s="5">
        <v>42368</v>
      </c>
      <c r="G84" s="2">
        <v>4.6082020000000004</v>
      </c>
      <c r="H84" s="1" t="s">
        <v>10</v>
      </c>
      <c r="I84" s="2"/>
      <c r="J84" s="1" t="s">
        <v>236</v>
      </c>
      <c r="K84" s="1" t="s">
        <v>252</v>
      </c>
      <c r="L84" s="2">
        <v>298806.3</v>
      </c>
      <c r="M84">
        <f t="shared" si="3"/>
        <v>1376959.7892726001</v>
      </c>
      <c r="N84">
        <f t="shared" si="4"/>
        <v>121854.84860819469</v>
      </c>
      <c r="O84" t="str">
        <f t="shared" si="5"/>
        <v>BEHOLD</v>
      </c>
      <c r="P84" s="1" t="s">
        <v>5452</v>
      </c>
    </row>
    <row r="85" spans="1:16" ht="15" customHeight="1" x14ac:dyDescent="0.2">
      <c r="A85" s="1" t="s">
        <v>253</v>
      </c>
      <c r="B85" s="1" t="s">
        <v>254</v>
      </c>
      <c r="C85" s="1" t="s">
        <v>9</v>
      </c>
      <c r="D85" s="1" t="s">
        <v>255</v>
      </c>
      <c r="E85" s="5">
        <v>36775</v>
      </c>
      <c r="F85" s="5">
        <v>41060</v>
      </c>
      <c r="G85" s="2">
        <v>0.95954989999999996</v>
      </c>
      <c r="H85" s="1" t="s">
        <v>10</v>
      </c>
      <c r="I85" s="2"/>
      <c r="J85" s="1" t="s">
        <v>256</v>
      </c>
      <c r="K85" s="1" t="s">
        <v>257</v>
      </c>
      <c r="L85" s="2">
        <v>978437.2</v>
      </c>
      <c r="M85">
        <f t="shared" si="3"/>
        <v>938859.31741627993</v>
      </c>
      <c r="N85">
        <f t="shared" si="4"/>
        <v>83084.895346573438</v>
      </c>
      <c r="O85" t="str">
        <f t="shared" si="5"/>
        <v>FJERN</v>
      </c>
      <c r="P85" s="1" t="s">
        <v>5453</v>
      </c>
    </row>
    <row r="86" spans="1:16" ht="15" customHeight="1" x14ac:dyDescent="0.2">
      <c r="A86" s="1" t="s">
        <v>258</v>
      </c>
      <c r="B86" s="1" t="s">
        <v>259</v>
      </c>
      <c r="C86" s="1" t="s">
        <v>9</v>
      </c>
      <c r="D86" s="1" t="s">
        <v>3</v>
      </c>
      <c r="E86" s="5">
        <v>36756</v>
      </c>
      <c r="F86" s="5">
        <v>38233</v>
      </c>
      <c r="G86" s="2"/>
      <c r="H86" s="1" t="s">
        <v>10</v>
      </c>
      <c r="I86" s="2"/>
      <c r="J86" s="1" t="s">
        <v>76</v>
      </c>
      <c r="K86" s="1" t="s">
        <v>260</v>
      </c>
      <c r="L86" s="2"/>
      <c r="M86" t="str">
        <f t="shared" si="3"/>
        <v/>
      </c>
      <c r="N86" t="str">
        <f t="shared" si="4"/>
        <v/>
      </c>
      <c r="O86" t="str">
        <f t="shared" si="5"/>
        <v>FJERN</v>
      </c>
      <c r="P86" s="1"/>
    </row>
    <row r="87" spans="1:16" ht="15" customHeight="1" x14ac:dyDescent="0.2">
      <c r="A87" s="1" t="s">
        <v>261</v>
      </c>
      <c r="B87" s="1" t="s">
        <v>262</v>
      </c>
      <c r="C87" s="1" t="s">
        <v>2</v>
      </c>
      <c r="D87" s="1" t="s">
        <v>3</v>
      </c>
      <c r="E87" s="5">
        <v>32231</v>
      </c>
      <c r="F87" s="5">
        <v>37748</v>
      </c>
      <c r="G87" s="2"/>
      <c r="H87" s="1" t="s">
        <v>4</v>
      </c>
      <c r="I87" s="2"/>
      <c r="J87" s="1" t="s">
        <v>115</v>
      </c>
      <c r="K87" s="1" t="s">
        <v>263</v>
      </c>
      <c r="L87" s="2"/>
      <c r="M87" t="str">
        <f t="shared" si="3"/>
        <v/>
      </c>
      <c r="N87" t="str">
        <f t="shared" si="4"/>
        <v/>
      </c>
      <c r="O87" t="str">
        <f t="shared" si="5"/>
        <v>FJERN</v>
      </c>
      <c r="P87" s="1"/>
    </row>
    <row r="88" spans="1:16" ht="15" customHeight="1" x14ac:dyDescent="0.2">
      <c r="A88" s="1" t="s">
        <v>264</v>
      </c>
      <c r="B88" s="1" t="s">
        <v>265</v>
      </c>
      <c r="C88" s="1" t="s">
        <v>9</v>
      </c>
      <c r="D88" s="1" t="s">
        <v>3</v>
      </c>
      <c r="E88" s="5">
        <v>32888</v>
      </c>
      <c r="F88" s="5">
        <v>46155</v>
      </c>
      <c r="G88" s="2">
        <v>70.625</v>
      </c>
      <c r="H88" s="1" t="s">
        <v>10</v>
      </c>
      <c r="I88" s="2">
        <v>2404.3270680000001</v>
      </c>
      <c r="J88" s="1" t="s">
        <v>11</v>
      </c>
      <c r="K88" s="1" t="s">
        <v>266</v>
      </c>
      <c r="L88" s="2">
        <v>21367.43</v>
      </c>
      <c r="M88">
        <f t="shared" si="3"/>
        <v>1509074.7437499999</v>
      </c>
      <c r="N88">
        <f t="shared" si="4"/>
        <v>133546.43749999997</v>
      </c>
      <c r="O88" t="str">
        <f t="shared" si="5"/>
        <v>BEHOLD</v>
      </c>
      <c r="P88" s="1" t="s">
        <v>5454</v>
      </c>
    </row>
    <row r="89" spans="1:16" ht="15" customHeight="1" x14ac:dyDescent="0.2">
      <c r="A89" s="1" t="s">
        <v>267</v>
      </c>
      <c r="B89" s="1" t="s">
        <v>268</v>
      </c>
      <c r="C89" s="1" t="s">
        <v>9</v>
      </c>
      <c r="D89" s="1" t="s">
        <v>3</v>
      </c>
      <c r="E89" s="5">
        <v>32484</v>
      </c>
      <c r="F89" s="5">
        <v>34646</v>
      </c>
      <c r="G89" s="2"/>
      <c r="H89" s="1" t="s">
        <v>10</v>
      </c>
      <c r="I89" s="2"/>
      <c r="J89" s="1" t="s">
        <v>23</v>
      </c>
      <c r="K89" s="1" t="s">
        <v>269</v>
      </c>
      <c r="L89" s="2"/>
      <c r="M89" t="str">
        <f t="shared" si="3"/>
        <v/>
      </c>
      <c r="N89" t="str">
        <f t="shared" si="4"/>
        <v/>
      </c>
      <c r="O89" t="str">
        <f t="shared" si="5"/>
        <v>FJERN</v>
      </c>
      <c r="P89" s="1"/>
    </row>
    <row r="90" spans="1:16" ht="15" customHeight="1" x14ac:dyDescent="0.2">
      <c r="A90" s="1" t="s">
        <v>270</v>
      </c>
      <c r="B90" s="1" t="s">
        <v>268</v>
      </c>
      <c r="C90" s="1" t="s">
        <v>9</v>
      </c>
      <c r="D90" s="1" t="s">
        <v>3</v>
      </c>
      <c r="E90" s="5">
        <v>31657</v>
      </c>
      <c r="F90" s="5">
        <v>34646</v>
      </c>
      <c r="G90" s="2"/>
      <c r="H90" s="1" t="s">
        <v>10</v>
      </c>
      <c r="I90" s="2"/>
      <c r="J90" s="1" t="s">
        <v>23</v>
      </c>
      <c r="K90" s="1" t="s">
        <v>271</v>
      </c>
      <c r="L90" s="2"/>
      <c r="M90" t="str">
        <f t="shared" si="3"/>
        <v/>
      </c>
      <c r="N90" t="str">
        <f t="shared" si="4"/>
        <v/>
      </c>
      <c r="O90" t="str">
        <f t="shared" si="5"/>
        <v>FJERN</v>
      </c>
      <c r="P90" s="1"/>
    </row>
    <row r="91" spans="1:16" ht="15" customHeight="1" x14ac:dyDescent="0.2">
      <c r="A91" s="1" t="s">
        <v>272</v>
      </c>
      <c r="B91" s="1" t="s">
        <v>273</v>
      </c>
      <c r="C91" s="1" t="s">
        <v>9</v>
      </c>
      <c r="D91" s="1" t="s">
        <v>3</v>
      </c>
      <c r="E91" s="5">
        <v>31657</v>
      </c>
      <c r="F91" s="5">
        <v>33242</v>
      </c>
      <c r="G91" s="2"/>
      <c r="H91" s="1" t="s">
        <v>10</v>
      </c>
      <c r="I91" s="2"/>
      <c r="J91" s="1" t="s">
        <v>23</v>
      </c>
      <c r="K91" s="1"/>
      <c r="L91" s="2"/>
      <c r="M91" t="str">
        <f t="shared" si="3"/>
        <v/>
      </c>
      <c r="N91" t="str">
        <f t="shared" si="4"/>
        <v/>
      </c>
      <c r="O91" t="str">
        <f t="shared" si="5"/>
        <v>FJERN</v>
      </c>
      <c r="P91" s="1"/>
    </row>
    <row r="92" spans="1:16" ht="15" customHeight="1" x14ac:dyDescent="0.2">
      <c r="A92" s="1" t="s">
        <v>274</v>
      </c>
      <c r="B92" s="1" t="s">
        <v>275</v>
      </c>
      <c r="C92" s="1" t="s">
        <v>9</v>
      </c>
      <c r="D92" s="1" t="s">
        <v>3</v>
      </c>
      <c r="E92" s="5">
        <v>32968</v>
      </c>
      <c r="F92" s="5">
        <v>33787</v>
      </c>
      <c r="G92" s="2"/>
      <c r="H92" s="1" t="s">
        <v>10</v>
      </c>
      <c r="I92" s="2"/>
      <c r="J92" s="1" t="s">
        <v>23</v>
      </c>
      <c r="K92" s="1" t="s">
        <v>276</v>
      </c>
      <c r="L92" s="2"/>
      <c r="M92" t="str">
        <f t="shared" si="3"/>
        <v/>
      </c>
      <c r="N92" t="str">
        <f t="shared" si="4"/>
        <v/>
      </c>
      <c r="O92" t="str">
        <f t="shared" si="5"/>
        <v>FJERN</v>
      </c>
      <c r="P92" s="1"/>
    </row>
    <row r="93" spans="1:16" ht="15" customHeight="1" x14ac:dyDescent="0.2">
      <c r="A93" s="1" t="s">
        <v>277</v>
      </c>
      <c r="B93" s="1" t="s">
        <v>278</v>
      </c>
      <c r="C93" s="1" t="s">
        <v>2</v>
      </c>
      <c r="D93" s="1" t="s">
        <v>3</v>
      </c>
      <c r="E93" s="5">
        <v>32860</v>
      </c>
      <c r="F93" s="5">
        <v>36986</v>
      </c>
      <c r="G93" s="2"/>
      <c r="H93" s="1" t="s">
        <v>4</v>
      </c>
      <c r="I93" s="2"/>
      <c r="J93" s="1" t="s">
        <v>61</v>
      </c>
      <c r="K93" s="1" t="s">
        <v>279</v>
      </c>
      <c r="L93" s="2"/>
      <c r="M93" t="str">
        <f t="shared" si="3"/>
        <v/>
      </c>
      <c r="N93" t="str">
        <f t="shared" si="4"/>
        <v/>
      </c>
      <c r="O93" t="str">
        <f t="shared" si="5"/>
        <v>FJERN</v>
      </c>
      <c r="P93" s="1" t="s">
        <v>5455</v>
      </c>
    </row>
    <row r="94" spans="1:16" ht="15" customHeight="1" x14ac:dyDescent="0.2">
      <c r="A94" s="1" t="s">
        <v>280</v>
      </c>
      <c r="B94" s="1" t="s">
        <v>281</v>
      </c>
      <c r="C94" s="1" t="s">
        <v>2</v>
      </c>
      <c r="D94" s="1" t="s">
        <v>3</v>
      </c>
      <c r="E94" s="5">
        <v>31049</v>
      </c>
      <c r="F94" s="5">
        <v>35342</v>
      </c>
      <c r="G94" s="2"/>
      <c r="H94" s="1" t="s">
        <v>4</v>
      </c>
      <c r="I94" s="2"/>
      <c r="J94" s="1" t="s">
        <v>61</v>
      </c>
      <c r="K94" s="1"/>
      <c r="L94" s="2"/>
      <c r="M94" t="str">
        <f t="shared" si="3"/>
        <v/>
      </c>
      <c r="N94" t="str">
        <f t="shared" si="4"/>
        <v/>
      </c>
      <c r="O94" t="str">
        <f t="shared" si="5"/>
        <v>FJERN</v>
      </c>
      <c r="P94" s="1"/>
    </row>
    <row r="95" spans="1:16" ht="15" customHeight="1" x14ac:dyDescent="0.2">
      <c r="A95" s="1" t="s">
        <v>282</v>
      </c>
      <c r="B95" s="1" t="s">
        <v>283</v>
      </c>
      <c r="C95" s="1" t="s">
        <v>2</v>
      </c>
      <c r="D95" s="1" t="s">
        <v>3</v>
      </c>
      <c r="E95" s="5">
        <v>33266</v>
      </c>
      <c r="F95" s="5">
        <v>46155</v>
      </c>
      <c r="G95" s="2">
        <v>6.4006049999999995E-2</v>
      </c>
      <c r="H95" s="1" t="s">
        <v>4</v>
      </c>
      <c r="I95" s="2">
        <v>59.225008680000002</v>
      </c>
      <c r="J95" s="1" t="s">
        <v>76</v>
      </c>
      <c r="K95" s="1" t="s">
        <v>284</v>
      </c>
      <c r="L95" s="2">
        <v>107692.5</v>
      </c>
      <c r="M95">
        <f t="shared" si="3"/>
        <v>6892.9715396249994</v>
      </c>
      <c r="N95">
        <f t="shared" si="4"/>
        <v>925.23107914429522</v>
      </c>
      <c r="O95" t="str">
        <f t="shared" si="5"/>
        <v>FJERN</v>
      </c>
      <c r="P95" s="1" t="s">
        <v>5456</v>
      </c>
    </row>
    <row r="96" spans="1:16" ht="15" customHeight="1" x14ac:dyDescent="0.2">
      <c r="A96" s="1" t="s">
        <v>285</v>
      </c>
      <c r="B96" s="1" t="s">
        <v>286</v>
      </c>
      <c r="C96" s="1" t="s">
        <v>9</v>
      </c>
      <c r="D96" s="1" t="s">
        <v>3</v>
      </c>
      <c r="E96" s="5">
        <v>32653</v>
      </c>
      <c r="F96" s="5">
        <v>36514</v>
      </c>
      <c r="G96" s="2"/>
      <c r="H96" s="1" t="s">
        <v>10</v>
      </c>
      <c r="I96" s="2"/>
      <c r="J96" s="1" t="s">
        <v>86</v>
      </c>
      <c r="K96" s="1"/>
      <c r="L96" s="2"/>
      <c r="M96" t="str">
        <f t="shared" si="3"/>
        <v/>
      </c>
      <c r="N96" t="str">
        <f t="shared" si="4"/>
        <v/>
      </c>
      <c r="O96" t="str">
        <f t="shared" si="5"/>
        <v>FJERN</v>
      </c>
      <c r="P96" s="1"/>
    </row>
    <row r="97" spans="1:16" ht="15" customHeight="1" x14ac:dyDescent="0.2">
      <c r="A97" s="1" t="s">
        <v>287</v>
      </c>
      <c r="B97" s="1" t="s">
        <v>288</v>
      </c>
      <c r="C97" s="1" t="s">
        <v>9</v>
      </c>
      <c r="D97" s="1" t="s">
        <v>3</v>
      </c>
      <c r="E97" s="5">
        <v>33591</v>
      </c>
      <c r="F97" s="5">
        <v>37211</v>
      </c>
      <c r="G97" s="2"/>
      <c r="H97" s="1" t="s">
        <v>10</v>
      </c>
      <c r="I97" s="2"/>
      <c r="J97" s="1" t="s">
        <v>289</v>
      </c>
      <c r="K97" s="1"/>
      <c r="L97" s="2"/>
      <c r="M97" t="str">
        <f t="shared" si="3"/>
        <v/>
      </c>
      <c r="N97" t="str">
        <f t="shared" si="4"/>
        <v/>
      </c>
      <c r="O97" t="str">
        <f t="shared" si="5"/>
        <v>FJERN</v>
      </c>
      <c r="P97" s="1"/>
    </row>
    <row r="98" spans="1:16" ht="15" customHeight="1" x14ac:dyDescent="0.2">
      <c r="A98" s="1" t="s">
        <v>290</v>
      </c>
      <c r="B98" s="1" t="s">
        <v>291</v>
      </c>
      <c r="C98" s="1" t="s">
        <v>9</v>
      </c>
      <c r="D98" s="1" t="s">
        <v>3</v>
      </c>
      <c r="E98" s="5">
        <v>34836</v>
      </c>
      <c r="F98" s="5">
        <v>36209</v>
      </c>
      <c r="G98" s="2"/>
      <c r="H98" s="1" t="s">
        <v>10</v>
      </c>
      <c r="I98" s="2"/>
      <c r="J98" s="1" t="s">
        <v>289</v>
      </c>
      <c r="K98" s="1"/>
      <c r="L98" s="2"/>
      <c r="M98" t="str">
        <f t="shared" si="3"/>
        <v/>
      </c>
      <c r="N98" t="str">
        <f t="shared" si="4"/>
        <v/>
      </c>
      <c r="O98" t="str">
        <f t="shared" si="5"/>
        <v>FJERN</v>
      </c>
      <c r="P98" s="1"/>
    </row>
    <row r="99" spans="1:16" ht="15" customHeight="1" x14ac:dyDescent="0.2">
      <c r="A99" s="1" t="s">
        <v>292</v>
      </c>
      <c r="B99" s="1" t="s">
        <v>293</v>
      </c>
      <c r="C99" s="1" t="s">
        <v>2</v>
      </c>
      <c r="D99" s="1" t="s">
        <v>3</v>
      </c>
      <c r="E99" s="5">
        <v>32433</v>
      </c>
      <c r="F99" s="5">
        <v>33792</v>
      </c>
      <c r="G99" s="2"/>
      <c r="H99" s="1" t="s">
        <v>4</v>
      </c>
      <c r="I99" s="2"/>
      <c r="J99" s="1" t="s">
        <v>61</v>
      </c>
      <c r="K99" s="1" t="s">
        <v>294</v>
      </c>
      <c r="L99" s="2"/>
      <c r="M99" t="str">
        <f t="shared" si="3"/>
        <v/>
      </c>
      <c r="N99" t="str">
        <f t="shared" si="4"/>
        <v/>
      </c>
      <c r="O99" t="str">
        <f t="shared" si="5"/>
        <v>FJERN</v>
      </c>
      <c r="P99" s="1"/>
    </row>
    <row r="100" spans="1:16" ht="15" customHeight="1" x14ac:dyDescent="0.2">
      <c r="A100" s="1" t="s">
        <v>295</v>
      </c>
      <c r="B100" s="1" t="s">
        <v>296</v>
      </c>
      <c r="C100" s="1" t="s">
        <v>2</v>
      </c>
      <c r="D100" s="1" t="s">
        <v>3</v>
      </c>
      <c r="E100" s="5">
        <v>32107</v>
      </c>
      <c r="F100" s="5">
        <v>37397</v>
      </c>
      <c r="G100" s="2"/>
      <c r="H100" s="1" t="s">
        <v>4</v>
      </c>
      <c r="I100" s="2"/>
      <c r="J100" s="1" t="s">
        <v>15</v>
      </c>
      <c r="K100" s="1" t="s">
        <v>297</v>
      </c>
      <c r="L100" s="2"/>
      <c r="M100" t="str">
        <f t="shared" si="3"/>
        <v/>
      </c>
      <c r="N100" t="str">
        <f t="shared" si="4"/>
        <v/>
      </c>
      <c r="O100" t="str">
        <f t="shared" si="5"/>
        <v>FJERN</v>
      </c>
      <c r="P100" s="1"/>
    </row>
    <row r="101" spans="1:16" ht="15" customHeight="1" x14ac:dyDescent="0.2">
      <c r="A101" s="1" t="s">
        <v>298</v>
      </c>
      <c r="B101" s="1" t="s">
        <v>299</v>
      </c>
      <c r="C101" s="1" t="s">
        <v>9</v>
      </c>
      <c r="D101" s="1" t="s">
        <v>3</v>
      </c>
      <c r="E101" s="5">
        <v>31287</v>
      </c>
      <c r="F101" s="5">
        <v>34550</v>
      </c>
      <c r="G101" s="2"/>
      <c r="H101" s="1" t="s">
        <v>10</v>
      </c>
      <c r="I101" s="2"/>
      <c r="J101" s="1" t="s">
        <v>76</v>
      </c>
      <c r="K101" s="1" t="s">
        <v>300</v>
      </c>
      <c r="L101" s="2"/>
      <c r="M101" t="str">
        <f t="shared" si="3"/>
        <v/>
      </c>
      <c r="N101" t="str">
        <f t="shared" si="4"/>
        <v/>
      </c>
      <c r="O101" t="str">
        <f t="shared" si="5"/>
        <v>FJERN</v>
      </c>
      <c r="P101" s="1"/>
    </row>
    <row r="102" spans="1:16" ht="15" customHeight="1" x14ac:dyDescent="0.2">
      <c r="A102" s="1" t="s">
        <v>301</v>
      </c>
      <c r="B102" s="1" t="s">
        <v>302</v>
      </c>
      <c r="C102" s="1" t="s">
        <v>9</v>
      </c>
      <c r="D102" s="1" t="s">
        <v>3</v>
      </c>
      <c r="E102" s="5">
        <v>32006</v>
      </c>
      <c r="F102" s="5">
        <v>34550</v>
      </c>
      <c r="G102" s="2"/>
      <c r="H102" s="1" t="s">
        <v>10</v>
      </c>
      <c r="I102" s="2"/>
      <c r="J102" s="1" t="s">
        <v>76</v>
      </c>
      <c r="K102" s="1" t="s">
        <v>303</v>
      </c>
      <c r="L102" s="2"/>
      <c r="M102" t="str">
        <f t="shared" si="3"/>
        <v/>
      </c>
      <c r="N102" t="str">
        <f t="shared" si="4"/>
        <v/>
      </c>
      <c r="O102" t="str">
        <f t="shared" si="5"/>
        <v>FJERN</v>
      </c>
      <c r="P102" s="1"/>
    </row>
    <row r="103" spans="1:16" ht="15" customHeight="1" x14ac:dyDescent="0.2">
      <c r="A103" s="1" t="s">
        <v>304</v>
      </c>
      <c r="B103" s="1" t="s">
        <v>305</v>
      </c>
      <c r="C103" s="1" t="s">
        <v>2</v>
      </c>
      <c r="D103" s="1" t="s">
        <v>3</v>
      </c>
      <c r="E103" s="5">
        <v>35060</v>
      </c>
      <c r="F103" s="5">
        <v>36353</v>
      </c>
      <c r="G103" s="2"/>
      <c r="H103" s="1" t="s">
        <v>4</v>
      </c>
      <c r="I103" s="2"/>
      <c r="J103" s="1" t="s">
        <v>23</v>
      </c>
      <c r="K103" s="1" t="s">
        <v>306</v>
      </c>
      <c r="L103" s="2"/>
      <c r="M103" t="str">
        <f t="shared" si="3"/>
        <v/>
      </c>
      <c r="N103" t="str">
        <f t="shared" si="4"/>
        <v/>
      </c>
      <c r="O103" t="str">
        <f t="shared" si="5"/>
        <v>FJERN</v>
      </c>
      <c r="P103" s="1"/>
    </row>
    <row r="104" spans="1:16" ht="15" customHeight="1" x14ac:dyDescent="0.2">
      <c r="A104" s="1" t="s">
        <v>307</v>
      </c>
      <c r="B104" s="1" t="s">
        <v>308</v>
      </c>
      <c r="C104" s="1" t="s">
        <v>2</v>
      </c>
      <c r="D104" s="1" t="s">
        <v>3</v>
      </c>
      <c r="E104" s="5">
        <v>32105</v>
      </c>
      <c r="F104" s="5">
        <v>42843</v>
      </c>
      <c r="G104" s="2">
        <v>418.95929999999998</v>
      </c>
      <c r="H104" s="1" t="s">
        <v>4</v>
      </c>
      <c r="I104" s="2"/>
      <c r="J104" s="1" t="s">
        <v>222</v>
      </c>
      <c r="K104" s="1" t="s">
        <v>309</v>
      </c>
      <c r="L104" s="2">
        <v>105.768</v>
      </c>
      <c r="M104">
        <f t="shared" si="3"/>
        <v>44312.487242399999</v>
      </c>
      <c r="N104">
        <f t="shared" si="4"/>
        <v>5947.9848647516774</v>
      </c>
      <c r="O104" t="str">
        <f t="shared" si="5"/>
        <v>FJERN</v>
      </c>
      <c r="P104" s="1" t="s">
        <v>5457</v>
      </c>
    </row>
    <row r="105" spans="1:16" ht="15" customHeight="1" x14ac:dyDescent="0.2">
      <c r="A105" s="1" t="s">
        <v>310</v>
      </c>
      <c r="B105" s="1" t="s">
        <v>311</v>
      </c>
      <c r="C105" s="1" t="s">
        <v>2</v>
      </c>
      <c r="D105" s="1" t="s">
        <v>3</v>
      </c>
      <c r="E105" s="5">
        <v>32104</v>
      </c>
      <c r="F105" s="5">
        <v>44592</v>
      </c>
      <c r="G105" s="2">
        <v>14.524179999999999</v>
      </c>
      <c r="H105" s="1" t="s">
        <v>4</v>
      </c>
      <c r="I105" s="2"/>
      <c r="J105" s="1" t="s">
        <v>61</v>
      </c>
      <c r="K105" s="1" t="s">
        <v>312</v>
      </c>
      <c r="L105" s="2">
        <v>15684.65</v>
      </c>
      <c r="M105">
        <f t="shared" si="3"/>
        <v>227806.67983699997</v>
      </c>
      <c r="N105">
        <f t="shared" si="4"/>
        <v>30578.077830469796</v>
      </c>
      <c r="O105" t="str">
        <f t="shared" si="5"/>
        <v>FJERN</v>
      </c>
      <c r="P105" s="1" t="s">
        <v>5458</v>
      </c>
    </row>
    <row r="106" spans="1:16" ht="15" customHeight="1" x14ac:dyDescent="0.2">
      <c r="A106" s="1" t="s">
        <v>313</v>
      </c>
      <c r="B106" s="1" t="s">
        <v>314</v>
      </c>
      <c r="C106" s="1" t="s">
        <v>9</v>
      </c>
      <c r="D106" s="1" t="s">
        <v>3</v>
      </c>
      <c r="E106" s="5">
        <v>31664</v>
      </c>
      <c r="F106" s="5">
        <v>33784</v>
      </c>
      <c r="G106" s="2"/>
      <c r="H106" s="1" t="s">
        <v>10</v>
      </c>
      <c r="I106" s="2"/>
      <c r="J106" s="1" t="s">
        <v>122</v>
      </c>
      <c r="K106" s="1"/>
      <c r="L106" s="2"/>
      <c r="M106" t="str">
        <f t="shared" si="3"/>
        <v/>
      </c>
      <c r="N106" t="str">
        <f t="shared" si="4"/>
        <v/>
      </c>
      <c r="O106" t="str">
        <f t="shared" si="5"/>
        <v>FJERN</v>
      </c>
      <c r="P106" s="1"/>
    </row>
    <row r="107" spans="1:16" ht="15" customHeight="1" x14ac:dyDescent="0.2">
      <c r="A107" s="1" t="s">
        <v>315</v>
      </c>
      <c r="B107" s="1" t="s">
        <v>316</v>
      </c>
      <c r="C107" s="1" t="s">
        <v>9</v>
      </c>
      <c r="D107" s="1" t="s">
        <v>3</v>
      </c>
      <c r="E107" s="5">
        <v>31664</v>
      </c>
      <c r="F107" s="5">
        <v>33786</v>
      </c>
      <c r="G107" s="2"/>
      <c r="H107" s="1" t="s">
        <v>10</v>
      </c>
      <c r="I107" s="2"/>
      <c r="J107" s="1" t="s">
        <v>122</v>
      </c>
      <c r="K107" s="1"/>
      <c r="L107" s="2"/>
      <c r="M107" t="str">
        <f t="shared" si="3"/>
        <v/>
      </c>
      <c r="N107" t="str">
        <f t="shared" si="4"/>
        <v/>
      </c>
      <c r="O107" t="str">
        <f t="shared" si="5"/>
        <v>FJERN</v>
      </c>
      <c r="P107" s="1"/>
    </row>
    <row r="108" spans="1:16" ht="15" customHeight="1" x14ac:dyDescent="0.2">
      <c r="A108" s="1" t="s">
        <v>317</v>
      </c>
      <c r="B108" s="1" t="s">
        <v>318</v>
      </c>
      <c r="C108" s="1" t="s">
        <v>9</v>
      </c>
      <c r="D108" s="1" t="s">
        <v>3</v>
      </c>
      <c r="E108" s="5">
        <v>31664</v>
      </c>
      <c r="F108" s="5">
        <v>37468</v>
      </c>
      <c r="G108" s="2"/>
      <c r="H108" s="1" t="s">
        <v>10</v>
      </c>
      <c r="I108" s="2"/>
      <c r="J108" s="1" t="s">
        <v>122</v>
      </c>
      <c r="K108" s="1" t="s">
        <v>319</v>
      </c>
      <c r="L108" s="2"/>
      <c r="M108" t="str">
        <f t="shared" si="3"/>
        <v/>
      </c>
      <c r="N108" t="str">
        <f t="shared" si="4"/>
        <v/>
      </c>
      <c r="O108" t="str">
        <f t="shared" si="5"/>
        <v>FJERN</v>
      </c>
      <c r="P108" s="1"/>
    </row>
    <row r="109" spans="1:16" ht="15" customHeight="1" x14ac:dyDescent="0.2">
      <c r="A109" s="1" t="s">
        <v>320</v>
      </c>
      <c r="B109" s="1" t="s">
        <v>321</v>
      </c>
      <c r="C109" s="1" t="s">
        <v>9</v>
      </c>
      <c r="D109" s="1" t="s">
        <v>3</v>
      </c>
      <c r="E109" s="5">
        <v>33669</v>
      </c>
      <c r="F109" s="5">
        <v>36938</v>
      </c>
      <c r="G109" s="2"/>
      <c r="H109" s="1" t="s">
        <v>10</v>
      </c>
      <c r="I109" s="2"/>
      <c r="J109" s="1" t="s">
        <v>86</v>
      </c>
      <c r="K109" s="1" t="s">
        <v>322</v>
      </c>
      <c r="L109" s="2"/>
      <c r="M109" t="str">
        <f t="shared" si="3"/>
        <v/>
      </c>
      <c r="N109" t="str">
        <f t="shared" si="4"/>
        <v/>
      </c>
      <c r="O109" t="str">
        <f t="shared" si="5"/>
        <v>FJERN</v>
      </c>
      <c r="P109" s="1" t="s">
        <v>5459</v>
      </c>
    </row>
    <row r="110" spans="1:16" ht="15" customHeight="1" x14ac:dyDescent="0.2">
      <c r="A110" s="1" t="s">
        <v>323</v>
      </c>
      <c r="B110" s="1" t="s">
        <v>324</v>
      </c>
      <c r="C110" s="1" t="s">
        <v>2</v>
      </c>
      <c r="D110" s="1" t="s">
        <v>3</v>
      </c>
      <c r="E110" s="5">
        <v>33569</v>
      </c>
      <c r="F110" s="5">
        <v>39752</v>
      </c>
      <c r="G110" s="2"/>
      <c r="H110" s="1" t="s">
        <v>4</v>
      </c>
      <c r="I110" s="2"/>
      <c r="J110" s="1" t="s">
        <v>236</v>
      </c>
      <c r="K110" s="1" t="s">
        <v>325</v>
      </c>
      <c r="L110" s="2"/>
      <c r="M110" t="str">
        <f t="shared" si="3"/>
        <v/>
      </c>
      <c r="N110" t="str">
        <f t="shared" si="4"/>
        <v/>
      </c>
      <c r="O110" t="str">
        <f t="shared" si="5"/>
        <v>FJERN</v>
      </c>
      <c r="P110" s="1" t="s">
        <v>5460</v>
      </c>
    </row>
    <row r="111" spans="1:16" ht="15" customHeight="1" x14ac:dyDescent="0.2">
      <c r="A111" s="1" t="s">
        <v>326</v>
      </c>
      <c r="B111" s="1" t="s">
        <v>327</v>
      </c>
      <c r="C111" s="1" t="s">
        <v>2</v>
      </c>
      <c r="D111" s="1" t="s">
        <v>3</v>
      </c>
      <c r="E111" s="5">
        <v>35779</v>
      </c>
      <c r="F111" s="5">
        <v>36152</v>
      </c>
      <c r="G111" s="2"/>
      <c r="H111" s="1" t="s">
        <v>4</v>
      </c>
      <c r="I111" s="2"/>
      <c r="J111" s="1" t="s">
        <v>328</v>
      </c>
      <c r="K111" s="1" t="s">
        <v>329</v>
      </c>
      <c r="L111" s="2"/>
      <c r="M111" t="str">
        <f t="shared" si="3"/>
        <v/>
      </c>
      <c r="N111" t="str">
        <f t="shared" si="4"/>
        <v/>
      </c>
      <c r="O111" t="str">
        <f t="shared" si="5"/>
        <v>FJERN</v>
      </c>
      <c r="P111" s="1"/>
    </row>
    <row r="112" spans="1:16" ht="15" customHeight="1" x14ac:dyDescent="0.2">
      <c r="A112" s="1" t="s">
        <v>330</v>
      </c>
      <c r="B112" s="1" t="s">
        <v>331</v>
      </c>
      <c r="C112" s="1" t="s">
        <v>9</v>
      </c>
      <c r="D112" s="1" t="s">
        <v>3</v>
      </c>
      <c r="E112" s="5">
        <v>33528</v>
      </c>
      <c r="F112" s="5">
        <v>35550</v>
      </c>
      <c r="G112" s="2"/>
      <c r="H112" s="1" t="s">
        <v>10</v>
      </c>
      <c r="I112" s="2"/>
      <c r="J112" s="1" t="s">
        <v>115</v>
      </c>
      <c r="K112" s="1"/>
      <c r="L112" s="2"/>
      <c r="M112" t="str">
        <f t="shared" si="3"/>
        <v/>
      </c>
      <c r="N112" t="str">
        <f t="shared" si="4"/>
        <v/>
      </c>
      <c r="O112" t="str">
        <f t="shared" si="5"/>
        <v>FJERN</v>
      </c>
      <c r="P112" s="1"/>
    </row>
    <row r="113" spans="1:16" ht="15" customHeight="1" x14ac:dyDescent="0.2">
      <c r="A113" s="1" t="s">
        <v>332</v>
      </c>
      <c r="B113" s="1" t="s">
        <v>333</v>
      </c>
      <c r="C113" s="1" t="s">
        <v>2</v>
      </c>
      <c r="D113" s="1" t="s">
        <v>3</v>
      </c>
      <c r="E113" s="5">
        <v>32107</v>
      </c>
      <c r="F113" s="5">
        <v>44218</v>
      </c>
      <c r="G113" s="2">
        <v>639.16390000000001</v>
      </c>
      <c r="H113" s="1" t="s">
        <v>4</v>
      </c>
      <c r="I113" s="2"/>
      <c r="J113" s="1" t="s">
        <v>289</v>
      </c>
      <c r="K113" s="1" t="s">
        <v>334</v>
      </c>
      <c r="L113" s="2">
        <v>72.893219999999999</v>
      </c>
      <c r="M113">
        <f t="shared" si="3"/>
        <v>46590.714778758003</v>
      </c>
      <c r="N113">
        <f t="shared" si="4"/>
        <v>6253.7872186252353</v>
      </c>
      <c r="O113" t="str">
        <f t="shared" si="5"/>
        <v>FJERN</v>
      </c>
      <c r="P113" s="1" t="s">
        <v>5461</v>
      </c>
    </row>
    <row r="114" spans="1:16" ht="15" customHeight="1" x14ac:dyDescent="0.2">
      <c r="A114" s="1" t="s">
        <v>335</v>
      </c>
      <c r="B114" s="1" t="s">
        <v>336</v>
      </c>
      <c r="C114" s="1" t="s">
        <v>9</v>
      </c>
      <c r="D114" s="1" t="s">
        <v>3</v>
      </c>
      <c r="E114" s="5">
        <v>32468</v>
      </c>
      <c r="F114" s="5">
        <v>36517</v>
      </c>
      <c r="G114" s="2"/>
      <c r="H114" s="1" t="s">
        <v>10</v>
      </c>
      <c r="I114" s="2"/>
      <c r="J114" s="1" t="s">
        <v>61</v>
      </c>
      <c r="K114" s="1" t="s">
        <v>337</v>
      </c>
      <c r="L114" s="2"/>
      <c r="M114" t="str">
        <f t="shared" si="3"/>
        <v/>
      </c>
      <c r="N114" t="str">
        <f t="shared" si="4"/>
        <v/>
      </c>
      <c r="O114" t="str">
        <f t="shared" si="5"/>
        <v>FJERN</v>
      </c>
      <c r="P114" s="1"/>
    </row>
    <row r="115" spans="1:16" ht="15" customHeight="1" x14ac:dyDescent="0.2">
      <c r="A115" s="1" t="s">
        <v>338</v>
      </c>
      <c r="B115" s="1" t="s">
        <v>339</v>
      </c>
      <c r="C115" s="1" t="s">
        <v>9</v>
      </c>
      <c r="D115" s="1" t="s">
        <v>3</v>
      </c>
      <c r="E115" s="5">
        <v>33904</v>
      </c>
      <c r="F115" s="5">
        <v>33968</v>
      </c>
      <c r="G115" s="2"/>
      <c r="H115" s="1" t="s">
        <v>10</v>
      </c>
      <c r="I115" s="2"/>
      <c r="J115" s="1" t="s">
        <v>61</v>
      </c>
      <c r="K115" s="1" t="s">
        <v>340</v>
      </c>
      <c r="L115" s="2"/>
      <c r="M115" t="str">
        <f t="shared" si="3"/>
        <v/>
      </c>
      <c r="N115" t="str">
        <f t="shared" si="4"/>
        <v/>
      </c>
      <c r="O115" t="str">
        <f t="shared" si="5"/>
        <v>FJERN</v>
      </c>
      <c r="P115" s="1"/>
    </row>
    <row r="116" spans="1:16" ht="15" customHeight="1" x14ac:dyDescent="0.2">
      <c r="A116" s="1" t="s">
        <v>341</v>
      </c>
      <c r="B116" s="1" t="s">
        <v>342</v>
      </c>
      <c r="C116" s="1" t="s">
        <v>2</v>
      </c>
      <c r="D116" s="1" t="s">
        <v>3</v>
      </c>
      <c r="E116" s="5">
        <v>32232</v>
      </c>
      <c r="F116" s="5">
        <v>35909</v>
      </c>
      <c r="G116" s="2"/>
      <c r="H116" s="1" t="s">
        <v>4</v>
      </c>
      <c r="I116" s="2"/>
      <c r="J116" s="1"/>
      <c r="K116" s="1" t="s">
        <v>343</v>
      </c>
      <c r="L116" s="2"/>
      <c r="M116" t="str">
        <f t="shared" si="3"/>
        <v/>
      </c>
      <c r="N116" t="str">
        <f t="shared" si="4"/>
        <v/>
      </c>
      <c r="O116" t="str">
        <f t="shared" si="5"/>
        <v>FJERN</v>
      </c>
      <c r="P116" s="1"/>
    </row>
    <row r="117" spans="1:16" ht="15" customHeight="1" x14ac:dyDescent="0.2">
      <c r="A117" s="1" t="s">
        <v>344</v>
      </c>
      <c r="B117" s="1" t="s">
        <v>345</v>
      </c>
      <c r="C117" s="1" t="s">
        <v>2</v>
      </c>
      <c r="D117" s="1" t="s">
        <v>3</v>
      </c>
      <c r="E117" s="5">
        <v>32106</v>
      </c>
      <c r="F117" s="5">
        <v>35354</v>
      </c>
      <c r="G117" s="2"/>
      <c r="H117" s="1" t="s">
        <v>4</v>
      </c>
      <c r="I117" s="2"/>
      <c r="J117" s="1" t="s">
        <v>86</v>
      </c>
      <c r="K117" s="1" t="s">
        <v>346</v>
      </c>
      <c r="L117" s="2"/>
      <c r="M117" t="str">
        <f t="shared" si="3"/>
        <v/>
      </c>
      <c r="N117" t="str">
        <f t="shared" si="4"/>
        <v/>
      </c>
      <c r="O117" t="str">
        <f t="shared" si="5"/>
        <v>FJERN</v>
      </c>
      <c r="P117" s="1"/>
    </row>
    <row r="118" spans="1:16" ht="15" customHeight="1" x14ac:dyDescent="0.2">
      <c r="A118" s="1" t="s">
        <v>347</v>
      </c>
      <c r="B118" s="1" t="s">
        <v>348</v>
      </c>
      <c r="C118" s="1" t="s">
        <v>2</v>
      </c>
      <c r="D118" s="1" t="s">
        <v>3</v>
      </c>
      <c r="E118" s="5">
        <v>32105</v>
      </c>
      <c r="F118" s="5">
        <v>35354</v>
      </c>
      <c r="G118" s="2"/>
      <c r="H118" s="1" t="s">
        <v>4</v>
      </c>
      <c r="I118" s="2"/>
      <c r="J118" s="1" t="s">
        <v>86</v>
      </c>
      <c r="K118" s="1" t="s">
        <v>349</v>
      </c>
      <c r="L118" s="2"/>
      <c r="M118" t="str">
        <f t="shared" si="3"/>
        <v/>
      </c>
      <c r="N118" t="str">
        <f t="shared" si="4"/>
        <v/>
      </c>
      <c r="O118" t="str">
        <f t="shared" si="5"/>
        <v>FJERN</v>
      </c>
      <c r="P118" s="1"/>
    </row>
    <row r="119" spans="1:16" ht="15" customHeight="1" x14ac:dyDescent="0.2">
      <c r="A119" s="1" t="s">
        <v>350</v>
      </c>
      <c r="B119" s="1" t="s">
        <v>351</v>
      </c>
      <c r="C119" s="1" t="s">
        <v>9</v>
      </c>
      <c r="D119" s="1" t="s">
        <v>3</v>
      </c>
      <c r="E119" s="5">
        <v>33589</v>
      </c>
      <c r="F119" s="5">
        <v>36684</v>
      </c>
      <c r="G119" s="2"/>
      <c r="H119" s="1" t="s">
        <v>10</v>
      </c>
      <c r="I119" s="2"/>
      <c r="J119" s="1" t="s">
        <v>184</v>
      </c>
      <c r="K119" s="1"/>
      <c r="L119" s="2"/>
      <c r="M119" t="str">
        <f t="shared" si="3"/>
        <v/>
      </c>
      <c r="N119" t="str">
        <f t="shared" si="4"/>
        <v/>
      </c>
      <c r="O119" t="str">
        <f t="shared" si="5"/>
        <v>FJERN</v>
      </c>
      <c r="P119" s="1"/>
    </row>
    <row r="120" spans="1:16" ht="15" customHeight="1" x14ac:dyDescent="0.2">
      <c r="A120" s="1" t="s">
        <v>352</v>
      </c>
      <c r="B120" s="1" t="s">
        <v>353</v>
      </c>
      <c r="C120" s="1" t="s">
        <v>2</v>
      </c>
      <c r="D120" s="1" t="s">
        <v>3</v>
      </c>
      <c r="E120" s="5">
        <v>33268</v>
      </c>
      <c r="F120" s="5">
        <v>33268</v>
      </c>
      <c r="G120" s="2"/>
      <c r="H120" s="1" t="s">
        <v>4</v>
      </c>
      <c r="I120" s="2"/>
      <c r="J120" s="1"/>
      <c r="K120" s="1" t="s">
        <v>354</v>
      </c>
      <c r="L120" s="2"/>
      <c r="M120" t="str">
        <f t="shared" si="3"/>
        <v/>
      </c>
      <c r="N120" t="str">
        <f t="shared" si="4"/>
        <v/>
      </c>
      <c r="O120" t="str">
        <f t="shared" si="5"/>
        <v>FJERN</v>
      </c>
      <c r="P120" s="1"/>
    </row>
    <row r="121" spans="1:16" ht="15" customHeight="1" x14ac:dyDescent="0.2">
      <c r="A121" s="1" t="s">
        <v>355</v>
      </c>
      <c r="B121" s="1" t="s">
        <v>356</v>
      </c>
      <c r="C121" s="1" t="s">
        <v>9</v>
      </c>
      <c r="D121" s="1" t="s">
        <v>3</v>
      </c>
      <c r="E121" s="5">
        <v>31049</v>
      </c>
      <c r="F121" s="5">
        <v>32252</v>
      </c>
      <c r="G121" s="2"/>
      <c r="H121" s="1" t="s">
        <v>10</v>
      </c>
      <c r="I121" s="2"/>
      <c r="J121" s="1" t="s">
        <v>23</v>
      </c>
      <c r="K121" s="1"/>
      <c r="L121" s="2"/>
      <c r="M121" t="str">
        <f t="shared" si="3"/>
        <v/>
      </c>
      <c r="N121" t="str">
        <f t="shared" si="4"/>
        <v/>
      </c>
      <c r="O121" t="str">
        <f t="shared" si="5"/>
        <v>FJERN</v>
      </c>
      <c r="P121" s="1"/>
    </row>
    <row r="122" spans="1:16" ht="15" customHeight="1" x14ac:dyDescent="0.2">
      <c r="A122" s="1" t="s">
        <v>357</v>
      </c>
      <c r="B122" s="1" t="s">
        <v>358</v>
      </c>
      <c r="C122" s="1" t="s">
        <v>9</v>
      </c>
      <c r="D122" s="1" t="s">
        <v>3</v>
      </c>
      <c r="E122" s="5">
        <v>34778</v>
      </c>
      <c r="F122" s="5">
        <v>36497</v>
      </c>
      <c r="G122" s="2"/>
      <c r="H122" s="1" t="s">
        <v>10</v>
      </c>
      <c r="I122" s="2"/>
      <c r="J122" s="1" t="s">
        <v>19</v>
      </c>
      <c r="K122" s="1"/>
      <c r="L122" s="2"/>
      <c r="M122" t="str">
        <f t="shared" si="3"/>
        <v/>
      </c>
      <c r="N122" t="str">
        <f t="shared" si="4"/>
        <v/>
      </c>
      <c r="O122" t="str">
        <f t="shared" si="5"/>
        <v>FJERN</v>
      </c>
      <c r="P122" s="1"/>
    </row>
    <row r="123" spans="1:16" ht="15" customHeight="1" x14ac:dyDescent="0.2">
      <c r="A123" s="1" t="s">
        <v>359</v>
      </c>
      <c r="B123" s="1" t="s">
        <v>360</v>
      </c>
      <c r="C123" s="1" t="s">
        <v>2</v>
      </c>
      <c r="D123" s="1" t="s">
        <v>3</v>
      </c>
      <c r="E123" s="5">
        <v>32232</v>
      </c>
      <c r="F123" s="5">
        <v>36698</v>
      </c>
      <c r="G123" s="2"/>
      <c r="H123" s="1" t="s">
        <v>4</v>
      </c>
      <c r="I123" s="2"/>
      <c r="J123" s="1" t="s">
        <v>197</v>
      </c>
      <c r="K123" s="1"/>
      <c r="L123" s="2"/>
      <c r="M123" t="str">
        <f t="shared" si="3"/>
        <v/>
      </c>
      <c r="N123" t="str">
        <f t="shared" si="4"/>
        <v/>
      </c>
      <c r="O123" t="str">
        <f t="shared" si="5"/>
        <v>FJERN</v>
      </c>
      <c r="P123" s="1"/>
    </row>
    <row r="124" spans="1:16" ht="15" customHeight="1" x14ac:dyDescent="0.2">
      <c r="A124" s="1" t="s">
        <v>361</v>
      </c>
      <c r="B124" s="1" t="s">
        <v>362</v>
      </c>
      <c r="C124" s="1" t="s">
        <v>2</v>
      </c>
      <c r="D124" s="1" t="s">
        <v>3</v>
      </c>
      <c r="E124" s="5">
        <v>31049</v>
      </c>
      <c r="F124" s="5">
        <v>33638</v>
      </c>
      <c r="G124" s="2"/>
      <c r="H124" s="1" t="s">
        <v>4</v>
      </c>
      <c r="I124" s="2"/>
      <c r="J124" s="1" t="s">
        <v>5</v>
      </c>
      <c r="K124" s="1" t="s">
        <v>363</v>
      </c>
      <c r="L124" s="2"/>
      <c r="M124" t="str">
        <f t="shared" si="3"/>
        <v/>
      </c>
      <c r="N124" t="str">
        <f t="shared" si="4"/>
        <v/>
      </c>
      <c r="O124" t="str">
        <f t="shared" si="5"/>
        <v>FJERN</v>
      </c>
      <c r="P124" s="1"/>
    </row>
    <row r="125" spans="1:16" ht="15" customHeight="1" x14ac:dyDescent="0.2">
      <c r="A125" s="1" t="s">
        <v>364</v>
      </c>
      <c r="B125" s="1" t="s">
        <v>365</v>
      </c>
      <c r="C125" s="1" t="s">
        <v>9</v>
      </c>
      <c r="D125" s="1" t="s">
        <v>3</v>
      </c>
      <c r="E125" s="5">
        <v>31049</v>
      </c>
      <c r="F125" s="5">
        <v>33130</v>
      </c>
      <c r="G125" s="2"/>
      <c r="H125" s="1" t="s">
        <v>10</v>
      </c>
      <c r="I125" s="2"/>
      <c r="J125" s="1" t="s">
        <v>366</v>
      </c>
      <c r="K125" s="1"/>
      <c r="L125" s="2"/>
      <c r="M125" t="str">
        <f t="shared" si="3"/>
        <v/>
      </c>
      <c r="N125" t="str">
        <f t="shared" si="4"/>
        <v/>
      </c>
      <c r="O125" t="str">
        <f t="shared" si="5"/>
        <v>FJERN</v>
      </c>
      <c r="P125" s="1"/>
    </row>
    <row r="126" spans="1:16" ht="15" customHeight="1" x14ac:dyDescent="0.2">
      <c r="A126" s="1" t="s">
        <v>367</v>
      </c>
      <c r="B126" s="1" t="s">
        <v>368</v>
      </c>
      <c r="C126" s="1" t="s">
        <v>2</v>
      </c>
      <c r="D126" s="1" t="s">
        <v>3</v>
      </c>
      <c r="E126" s="5">
        <v>34292</v>
      </c>
      <c r="F126" s="5">
        <v>37231</v>
      </c>
      <c r="G126" s="2"/>
      <c r="H126" s="1" t="s">
        <v>4</v>
      </c>
      <c r="I126" s="2"/>
      <c r="J126" s="1" t="s">
        <v>64</v>
      </c>
      <c r="K126" s="1"/>
      <c r="L126" s="2"/>
      <c r="M126" t="str">
        <f t="shared" si="3"/>
        <v/>
      </c>
      <c r="N126" t="str">
        <f t="shared" si="4"/>
        <v/>
      </c>
      <c r="O126" t="str">
        <f t="shared" si="5"/>
        <v>FJERN</v>
      </c>
      <c r="P126" s="1" t="s">
        <v>5462</v>
      </c>
    </row>
    <row r="127" spans="1:16" ht="15" customHeight="1" x14ac:dyDescent="0.2">
      <c r="A127" s="1" t="s">
        <v>369</v>
      </c>
      <c r="B127" s="1" t="s">
        <v>370</v>
      </c>
      <c r="C127" s="1" t="s">
        <v>9</v>
      </c>
      <c r="D127" s="1" t="s">
        <v>3</v>
      </c>
      <c r="E127" s="5">
        <v>33577</v>
      </c>
      <c r="F127" s="5">
        <v>35884</v>
      </c>
      <c r="G127" s="2"/>
      <c r="H127" s="1" t="s">
        <v>10</v>
      </c>
      <c r="I127" s="2"/>
      <c r="J127" s="1" t="s">
        <v>201</v>
      </c>
      <c r="K127" s="1" t="s">
        <v>371</v>
      </c>
      <c r="L127" s="2"/>
      <c r="M127" t="str">
        <f t="shared" si="3"/>
        <v/>
      </c>
      <c r="N127" t="str">
        <f t="shared" si="4"/>
        <v/>
      </c>
      <c r="O127" t="str">
        <f t="shared" si="5"/>
        <v>FJERN</v>
      </c>
      <c r="P127" s="1"/>
    </row>
    <row r="128" spans="1:16" ht="15" customHeight="1" x14ac:dyDescent="0.2">
      <c r="A128" s="1" t="s">
        <v>372</v>
      </c>
      <c r="B128" s="1" t="s">
        <v>373</v>
      </c>
      <c r="C128" s="1" t="s">
        <v>2</v>
      </c>
      <c r="D128" s="1" t="s">
        <v>3</v>
      </c>
      <c r="E128" s="5">
        <v>32034</v>
      </c>
      <c r="F128" s="5">
        <v>46155</v>
      </c>
      <c r="G128" s="2">
        <v>9.8929480000000005</v>
      </c>
      <c r="H128" s="1" t="s">
        <v>4</v>
      </c>
      <c r="I128" s="2">
        <v>26689.9941</v>
      </c>
      <c r="J128" s="1" t="s">
        <v>83</v>
      </c>
      <c r="K128" s="1" t="s">
        <v>374</v>
      </c>
      <c r="L128" s="2">
        <v>979011.4</v>
      </c>
      <c r="M128">
        <f t="shared" si="3"/>
        <v>9685308.8716072012</v>
      </c>
      <c r="N128">
        <f t="shared" si="4"/>
        <v>1300041.4592761344</v>
      </c>
      <c r="O128" t="str">
        <f t="shared" si="5"/>
        <v>BEHOLD</v>
      </c>
      <c r="P128" s="1" t="s">
        <v>5463</v>
      </c>
    </row>
    <row r="129" spans="1:16" ht="15" customHeight="1" x14ac:dyDescent="0.2">
      <c r="A129" s="1" t="s">
        <v>375</v>
      </c>
      <c r="B129" s="1" t="s">
        <v>376</v>
      </c>
      <c r="C129" s="1" t="s">
        <v>9</v>
      </c>
      <c r="D129" s="1" t="s">
        <v>3</v>
      </c>
      <c r="E129" s="5">
        <v>34430</v>
      </c>
      <c r="F129" s="5">
        <v>38401</v>
      </c>
      <c r="G129" s="2"/>
      <c r="H129" s="1" t="s">
        <v>10</v>
      </c>
      <c r="I129" s="2"/>
      <c r="J129" s="1" t="s">
        <v>11</v>
      </c>
      <c r="K129" s="1" t="s">
        <v>377</v>
      </c>
      <c r="L129" s="2"/>
      <c r="M129" t="str">
        <f t="shared" si="3"/>
        <v/>
      </c>
      <c r="N129" t="str">
        <f t="shared" si="4"/>
        <v/>
      </c>
      <c r="O129" t="str">
        <f t="shared" si="5"/>
        <v>FJERN</v>
      </c>
      <c r="P129" s="1" t="s">
        <v>5464</v>
      </c>
    </row>
    <row r="130" spans="1:16" ht="15" customHeight="1" x14ac:dyDescent="0.2">
      <c r="A130" s="1" t="s">
        <v>378</v>
      </c>
      <c r="B130" s="1" t="s">
        <v>379</v>
      </c>
      <c r="C130" s="1" t="s">
        <v>2</v>
      </c>
      <c r="D130" s="1" t="s">
        <v>3</v>
      </c>
      <c r="E130" s="5">
        <v>32946</v>
      </c>
      <c r="F130" s="5">
        <v>41402</v>
      </c>
      <c r="G130" s="2">
        <v>30.536480000000001</v>
      </c>
      <c r="H130" s="1" t="s">
        <v>4</v>
      </c>
      <c r="I130" s="2"/>
      <c r="J130" s="1" t="s">
        <v>197</v>
      </c>
      <c r="K130" s="1" t="s">
        <v>380</v>
      </c>
      <c r="L130" s="2">
        <v>791.19299999999998</v>
      </c>
      <c r="M130">
        <f t="shared" si="3"/>
        <v>24160.249220640002</v>
      </c>
      <c r="N130">
        <f t="shared" si="4"/>
        <v>3242.9864725691277</v>
      </c>
      <c r="O130" t="str">
        <f t="shared" si="5"/>
        <v>FJERN</v>
      </c>
      <c r="P130" s="1" t="s">
        <v>5465</v>
      </c>
    </row>
    <row r="131" spans="1:16" ht="15" customHeight="1" x14ac:dyDescent="0.2">
      <c r="A131" s="1" t="s">
        <v>381</v>
      </c>
      <c r="B131" s="1" t="s">
        <v>382</v>
      </c>
      <c r="C131" s="1" t="s">
        <v>2</v>
      </c>
      <c r="D131" s="1" t="s">
        <v>3</v>
      </c>
      <c r="E131" s="5">
        <v>32106</v>
      </c>
      <c r="F131" s="5">
        <v>38685</v>
      </c>
      <c r="G131" s="2"/>
      <c r="H131" s="1" t="s">
        <v>4</v>
      </c>
      <c r="I131" s="2"/>
      <c r="J131" s="1" t="s">
        <v>184</v>
      </c>
      <c r="K131" s="1" t="s">
        <v>383</v>
      </c>
      <c r="L131" s="2"/>
      <c r="M131" t="str">
        <f t="shared" ref="M131:M194" si="6">IF(OR(G131="",L131=""),"",G131*L131)</f>
        <v/>
      </c>
      <c r="N131" t="str">
        <f t="shared" ref="N131:N194" si="7">IF(M131="","",IF(H131="DKK",M131/7.45,IF(H131="SEK",M131/11.3,M131)))</f>
        <v/>
      </c>
      <c r="O131" t="str">
        <f t="shared" ref="O131:O194" si="8">IF(AND(E131&lt;=DATE(2024,12,31),F131&gt;=DATE(2010,1,1),D131="SHARE",N131&gt;=100000),"BEHOLD","FJERN")</f>
        <v>FJERN</v>
      </c>
      <c r="P131" s="1" t="s">
        <v>5466</v>
      </c>
    </row>
    <row r="132" spans="1:16" ht="15" customHeight="1" x14ac:dyDescent="0.2">
      <c r="A132" s="1" t="s">
        <v>384</v>
      </c>
      <c r="B132" s="1" t="s">
        <v>385</v>
      </c>
      <c r="C132" s="1" t="s">
        <v>2</v>
      </c>
      <c r="D132" s="1" t="s">
        <v>3</v>
      </c>
      <c r="E132" s="5">
        <v>35095</v>
      </c>
      <c r="F132" s="5">
        <v>37273</v>
      </c>
      <c r="G132" s="2"/>
      <c r="H132" s="1" t="s">
        <v>4</v>
      </c>
      <c r="I132" s="2"/>
      <c r="J132" s="1" t="s">
        <v>184</v>
      </c>
      <c r="K132" s="1" t="s">
        <v>386</v>
      </c>
      <c r="L132" s="2"/>
      <c r="M132" t="str">
        <f t="shared" si="6"/>
        <v/>
      </c>
      <c r="N132" t="str">
        <f t="shared" si="7"/>
        <v/>
      </c>
      <c r="O132" t="str">
        <f t="shared" si="8"/>
        <v>FJERN</v>
      </c>
      <c r="P132" s="1" t="s">
        <v>5467</v>
      </c>
    </row>
    <row r="133" spans="1:16" ht="15" customHeight="1" x14ac:dyDescent="0.2">
      <c r="A133" s="1" t="s">
        <v>387</v>
      </c>
      <c r="B133" s="1" t="s">
        <v>388</v>
      </c>
      <c r="C133" s="1" t="s">
        <v>9</v>
      </c>
      <c r="D133" s="1" t="s">
        <v>3</v>
      </c>
      <c r="E133" s="5">
        <v>36920</v>
      </c>
      <c r="F133" s="5">
        <v>36920</v>
      </c>
      <c r="G133" s="2"/>
      <c r="H133" s="1" t="s">
        <v>10</v>
      </c>
      <c r="I133" s="2"/>
      <c r="J133" s="1" t="s">
        <v>11</v>
      </c>
      <c r="K133" s="1"/>
      <c r="L133" s="2"/>
      <c r="M133" t="str">
        <f t="shared" si="6"/>
        <v/>
      </c>
      <c r="N133" t="str">
        <f t="shared" si="7"/>
        <v/>
      </c>
      <c r="O133" t="str">
        <f t="shared" si="8"/>
        <v>FJERN</v>
      </c>
      <c r="P133" s="1"/>
    </row>
    <row r="134" spans="1:16" ht="15" customHeight="1" x14ac:dyDescent="0.2">
      <c r="A134" s="1" t="s">
        <v>389</v>
      </c>
      <c r="B134" s="1" t="s">
        <v>390</v>
      </c>
      <c r="C134" s="1" t="s">
        <v>2</v>
      </c>
      <c r="D134" s="1" t="s">
        <v>3</v>
      </c>
      <c r="E134" s="5">
        <v>31082</v>
      </c>
      <c r="F134" s="5">
        <v>35786</v>
      </c>
      <c r="G134" s="2"/>
      <c r="H134" s="1" t="s">
        <v>4</v>
      </c>
      <c r="I134" s="2"/>
      <c r="J134" s="1" t="s">
        <v>391</v>
      </c>
      <c r="K134" s="1"/>
      <c r="L134" s="2"/>
      <c r="M134" t="str">
        <f t="shared" si="6"/>
        <v/>
      </c>
      <c r="N134" t="str">
        <f t="shared" si="7"/>
        <v/>
      </c>
      <c r="O134" t="str">
        <f t="shared" si="8"/>
        <v>FJERN</v>
      </c>
      <c r="P134" s="1"/>
    </row>
    <row r="135" spans="1:16" ht="15" customHeight="1" x14ac:dyDescent="0.2">
      <c r="A135" s="1" t="s">
        <v>392</v>
      </c>
      <c r="B135" s="1" t="s">
        <v>393</v>
      </c>
      <c r="C135" s="1" t="s">
        <v>2</v>
      </c>
      <c r="D135" s="1" t="s">
        <v>3</v>
      </c>
      <c r="E135" s="5">
        <v>32105</v>
      </c>
      <c r="F135" s="5">
        <v>46155</v>
      </c>
      <c r="G135" s="2">
        <v>340.9778</v>
      </c>
      <c r="H135" s="1" t="s">
        <v>4</v>
      </c>
      <c r="I135" s="2">
        <v>453.6</v>
      </c>
      <c r="J135" s="1" t="s">
        <v>19</v>
      </c>
      <c r="K135" s="1" t="s">
        <v>394</v>
      </c>
      <c r="L135" s="2">
        <v>516.68150000000003</v>
      </c>
      <c r="M135">
        <f t="shared" si="6"/>
        <v>176176.92117070002</v>
      </c>
      <c r="N135">
        <f t="shared" si="7"/>
        <v>23647.908881973155</v>
      </c>
      <c r="O135" t="str">
        <f t="shared" si="8"/>
        <v>FJERN</v>
      </c>
      <c r="P135" s="1" t="s">
        <v>5468</v>
      </c>
    </row>
    <row r="136" spans="1:16" ht="15" customHeight="1" x14ac:dyDescent="0.2">
      <c r="A136" s="1" t="s">
        <v>395</v>
      </c>
      <c r="B136" s="1" t="s">
        <v>396</v>
      </c>
      <c r="C136" s="1" t="s">
        <v>9</v>
      </c>
      <c r="D136" s="1" t="s">
        <v>3</v>
      </c>
      <c r="E136" s="5">
        <v>31049</v>
      </c>
      <c r="F136" s="5">
        <v>33935</v>
      </c>
      <c r="G136" s="2"/>
      <c r="H136" s="1" t="s">
        <v>10</v>
      </c>
      <c r="I136" s="2"/>
      <c r="J136" s="1" t="s">
        <v>289</v>
      </c>
      <c r="K136" s="1"/>
      <c r="L136" s="2"/>
      <c r="M136" t="str">
        <f t="shared" si="6"/>
        <v/>
      </c>
      <c r="N136" t="str">
        <f t="shared" si="7"/>
        <v/>
      </c>
      <c r="O136" t="str">
        <f t="shared" si="8"/>
        <v>FJERN</v>
      </c>
      <c r="P136" s="1"/>
    </row>
    <row r="137" spans="1:16" ht="15" customHeight="1" x14ac:dyDescent="0.2">
      <c r="A137" s="1" t="s">
        <v>397</v>
      </c>
      <c r="B137" s="1" t="s">
        <v>398</v>
      </c>
      <c r="C137" s="1" t="s">
        <v>2</v>
      </c>
      <c r="D137" s="1" t="s">
        <v>3</v>
      </c>
      <c r="E137" s="5">
        <v>32106</v>
      </c>
      <c r="F137" s="5">
        <v>39906</v>
      </c>
      <c r="G137" s="2">
        <v>29.69115</v>
      </c>
      <c r="H137" s="1" t="s">
        <v>4</v>
      </c>
      <c r="I137" s="2"/>
      <c r="J137" s="1" t="s">
        <v>86</v>
      </c>
      <c r="K137" s="1" t="s">
        <v>399</v>
      </c>
      <c r="L137" s="2">
        <v>162.83189999999999</v>
      </c>
      <c r="M137">
        <f t="shared" si="6"/>
        <v>4834.6663676849994</v>
      </c>
      <c r="N137">
        <f t="shared" si="7"/>
        <v>648.9485057295301</v>
      </c>
      <c r="O137" t="str">
        <f t="shared" si="8"/>
        <v>FJERN</v>
      </c>
      <c r="P137" s="1" t="s">
        <v>5469</v>
      </c>
    </row>
    <row r="138" spans="1:16" ht="15" customHeight="1" x14ac:dyDescent="0.2">
      <c r="A138" s="1" t="s">
        <v>400</v>
      </c>
      <c r="B138" s="1" t="s">
        <v>401</v>
      </c>
      <c r="C138" s="1" t="s">
        <v>9</v>
      </c>
      <c r="D138" s="1" t="s">
        <v>3</v>
      </c>
      <c r="E138" s="5">
        <v>32141</v>
      </c>
      <c r="F138" s="5">
        <v>34162</v>
      </c>
      <c r="G138" s="2"/>
      <c r="H138" s="1" t="s">
        <v>10</v>
      </c>
      <c r="I138" s="2"/>
      <c r="J138" s="1" t="s">
        <v>328</v>
      </c>
      <c r="K138" s="1"/>
      <c r="L138" s="2"/>
      <c r="M138" t="str">
        <f t="shared" si="6"/>
        <v/>
      </c>
      <c r="N138" t="str">
        <f t="shared" si="7"/>
        <v/>
      </c>
      <c r="O138" t="str">
        <f t="shared" si="8"/>
        <v>FJERN</v>
      </c>
      <c r="P138" s="1"/>
    </row>
    <row r="139" spans="1:16" ht="15" customHeight="1" x14ac:dyDescent="0.2">
      <c r="A139" s="1" t="s">
        <v>402</v>
      </c>
      <c r="B139" s="1" t="s">
        <v>403</v>
      </c>
      <c r="C139" s="1" t="s">
        <v>9</v>
      </c>
      <c r="D139" s="1" t="s">
        <v>3</v>
      </c>
      <c r="E139" s="5">
        <v>33101</v>
      </c>
      <c r="F139" s="5">
        <v>46155</v>
      </c>
      <c r="G139" s="2">
        <v>686.08910000000003</v>
      </c>
      <c r="H139" s="1" t="s">
        <v>10</v>
      </c>
      <c r="I139" s="2">
        <v>6550</v>
      </c>
      <c r="J139" s="1" t="s">
        <v>11</v>
      </c>
      <c r="K139" s="1" t="s">
        <v>404</v>
      </c>
      <c r="L139" s="2">
        <v>10.28623</v>
      </c>
      <c r="M139">
        <f t="shared" si="6"/>
        <v>7057.2702830930002</v>
      </c>
      <c r="N139">
        <f t="shared" si="7"/>
        <v>624.53719319407082</v>
      </c>
      <c r="O139" t="str">
        <f t="shared" si="8"/>
        <v>FJERN</v>
      </c>
      <c r="P139" s="1" t="s">
        <v>5470</v>
      </c>
    </row>
    <row r="140" spans="1:16" ht="15" customHeight="1" x14ac:dyDescent="0.2">
      <c r="A140" s="1" t="s">
        <v>405</v>
      </c>
      <c r="B140" s="1" t="s">
        <v>406</v>
      </c>
      <c r="C140" s="1" t="s">
        <v>9</v>
      </c>
      <c r="D140" s="1" t="s">
        <v>3</v>
      </c>
      <c r="E140" s="5">
        <v>36784</v>
      </c>
      <c r="F140" s="5">
        <v>37113</v>
      </c>
      <c r="G140" s="2"/>
      <c r="H140" s="1" t="s">
        <v>10</v>
      </c>
      <c r="I140" s="2"/>
      <c r="J140" s="1" t="s">
        <v>289</v>
      </c>
      <c r="K140" s="1" t="s">
        <v>407</v>
      </c>
      <c r="L140" s="2"/>
      <c r="M140" t="str">
        <f t="shared" si="6"/>
        <v/>
      </c>
      <c r="N140" t="str">
        <f t="shared" si="7"/>
        <v/>
      </c>
      <c r="O140" t="str">
        <f t="shared" si="8"/>
        <v>FJERN</v>
      </c>
      <c r="P140" s="1"/>
    </row>
    <row r="141" spans="1:16" ht="15" customHeight="1" x14ac:dyDescent="0.2">
      <c r="A141" s="1" t="s">
        <v>408</v>
      </c>
      <c r="B141" s="1" t="s">
        <v>409</v>
      </c>
      <c r="C141" s="1" t="s">
        <v>9</v>
      </c>
      <c r="D141" s="1" t="s">
        <v>3</v>
      </c>
      <c r="E141" s="5">
        <v>32350</v>
      </c>
      <c r="F141" s="5">
        <v>34645</v>
      </c>
      <c r="G141" s="2"/>
      <c r="H141" s="1" t="s">
        <v>10</v>
      </c>
      <c r="I141" s="2"/>
      <c r="J141" s="1" t="s">
        <v>15</v>
      </c>
      <c r="K141" s="1"/>
      <c r="L141" s="2"/>
      <c r="M141" t="str">
        <f t="shared" si="6"/>
        <v/>
      </c>
      <c r="N141" t="str">
        <f t="shared" si="7"/>
        <v/>
      </c>
      <c r="O141" t="str">
        <f t="shared" si="8"/>
        <v>FJERN</v>
      </c>
      <c r="P141" s="1"/>
    </row>
    <row r="142" spans="1:16" ht="15" customHeight="1" x14ac:dyDescent="0.2">
      <c r="A142" s="1" t="s">
        <v>410</v>
      </c>
      <c r="B142" s="1" t="s">
        <v>411</v>
      </c>
      <c r="C142" s="1" t="s">
        <v>9</v>
      </c>
      <c r="D142" s="1" t="s">
        <v>3</v>
      </c>
      <c r="E142" s="5">
        <v>34340</v>
      </c>
      <c r="F142" s="5">
        <v>35592</v>
      </c>
      <c r="G142" s="2"/>
      <c r="H142" s="1" t="s">
        <v>10</v>
      </c>
      <c r="I142" s="2"/>
      <c r="J142" s="1" t="s">
        <v>15</v>
      </c>
      <c r="K142" s="1" t="s">
        <v>412</v>
      </c>
      <c r="L142" s="2"/>
      <c r="M142" t="str">
        <f t="shared" si="6"/>
        <v/>
      </c>
      <c r="N142" t="str">
        <f t="shared" si="7"/>
        <v/>
      </c>
      <c r="O142" t="str">
        <f t="shared" si="8"/>
        <v>FJERN</v>
      </c>
      <c r="P142" s="1"/>
    </row>
    <row r="143" spans="1:16" ht="15" customHeight="1" x14ac:dyDescent="0.2">
      <c r="A143" s="1" t="s">
        <v>413</v>
      </c>
      <c r="B143" s="1" t="s">
        <v>414</v>
      </c>
      <c r="C143" s="1" t="s">
        <v>2</v>
      </c>
      <c r="D143" s="1" t="s">
        <v>3</v>
      </c>
      <c r="E143" s="5">
        <v>34306</v>
      </c>
      <c r="F143" s="5">
        <v>35143</v>
      </c>
      <c r="G143" s="2"/>
      <c r="H143" s="1" t="s">
        <v>4</v>
      </c>
      <c r="I143" s="2"/>
      <c r="J143" s="1" t="s">
        <v>15</v>
      </c>
      <c r="K143" s="1" t="s">
        <v>415</v>
      </c>
      <c r="L143" s="2"/>
      <c r="M143" t="str">
        <f t="shared" si="6"/>
        <v/>
      </c>
      <c r="N143" t="str">
        <f t="shared" si="7"/>
        <v/>
      </c>
      <c r="O143" t="str">
        <f t="shared" si="8"/>
        <v>FJERN</v>
      </c>
      <c r="P143" s="1"/>
    </row>
    <row r="144" spans="1:16" ht="15" customHeight="1" x14ac:dyDescent="0.2">
      <c r="A144" s="1" t="s">
        <v>416</v>
      </c>
      <c r="B144" s="1" t="s">
        <v>417</v>
      </c>
      <c r="C144" s="1" t="s">
        <v>2</v>
      </c>
      <c r="D144" s="1" t="s">
        <v>3</v>
      </c>
      <c r="E144" s="5">
        <v>33065</v>
      </c>
      <c r="F144" s="5">
        <v>46155</v>
      </c>
      <c r="G144" s="2">
        <v>582.62739999999997</v>
      </c>
      <c r="H144" s="1" t="s">
        <v>4</v>
      </c>
      <c r="I144" s="2">
        <v>1584</v>
      </c>
      <c r="J144" s="1" t="s">
        <v>15</v>
      </c>
      <c r="K144" s="1" t="s">
        <v>418</v>
      </c>
      <c r="L144" s="2">
        <v>595.47280000000001</v>
      </c>
      <c r="M144">
        <f t="shared" si="6"/>
        <v>346938.76923471998</v>
      </c>
      <c r="N144">
        <f t="shared" si="7"/>
        <v>46568.962313385229</v>
      </c>
      <c r="O144" t="str">
        <f t="shared" si="8"/>
        <v>FJERN</v>
      </c>
      <c r="P144" s="1" t="s">
        <v>5471</v>
      </c>
    </row>
    <row r="145" spans="1:16" ht="15" customHeight="1" x14ac:dyDescent="0.2">
      <c r="A145" s="1" t="s">
        <v>419</v>
      </c>
      <c r="B145" s="1" t="s">
        <v>420</v>
      </c>
      <c r="C145" s="1" t="s">
        <v>2</v>
      </c>
      <c r="D145" s="1" t="s">
        <v>3</v>
      </c>
      <c r="E145" s="5">
        <v>33511</v>
      </c>
      <c r="F145" s="5">
        <v>36537</v>
      </c>
      <c r="G145" s="2"/>
      <c r="H145" s="1" t="s">
        <v>4</v>
      </c>
      <c r="I145" s="2"/>
      <c r="J145" s="1" t="s">
        <v>328</v>
      </c>
      <c r="K145" s="1" t="s">
        <v>421</v>
      </c>
      <c r="L145" s="2"/>
      <c r="M145" t="str">
        <f t="shared" si="6"/>
        <v/>
      </c>
      <c r="N145" t="str">
        <f t="shared" si="7"/>
        <v/>
      </c>
      <c r="O145" t="str">
        <f t="shared" si="8"/>
        <v>FJERN</v>
      </c>
      <c r="P145" s="1"/>
    </row>
    <row r="146" spans="1:16" ht="15" customHeight="1" x14ac:dyDescent="0.2">
      <c r="A146" s="1" t="s">
        <v>422</v>
      </c>
      <c r="B146" s="1" t="s">
        <v>423</v>
      </c>
      <c r="C146" s="1" t="s">
        <v>9</v>
      </c>
      <c r="D146" s="1" t="s">
        <v>3</v>
      </c>
      <c r="E146" s="5">
        <v>34323</v>
      </c>
      <c r="F146" s="5">
        <v>39608</v>
      </c>
      <c r="G146" s="2"/>
      <c r="H146" s="1" t="s">
        <v>10</v>
      </c>
      <c r="I146" s="2"/>
      <c r="J146" s="1" t="s">
        <v>236</v>
      </c>
      <c r="K146" s="1" t="s">
        <v>424</v>
      </c>
      <c r="L146" s="2"/>
      <c r="M146" t="str">
        <f t="shared" si="6"/>
        <v/>
      </c>
      <c r="N146" t="str">
        <f t="shared" si="7"/>
        <v/>
      </c>
      <c r="O146" t="str">
        <f t="shared" si="8"/>
        <v>FJERN</v>
      </c>
      <c r="P146" s="1" t="s">
        <v>5472</v>
      </c>
    </row>
    <row r="147" spans="1:16" ht="15" customHeight="1" x14ac:dyDescent="0.2">
      <c r="A147" s="1" t="s">
        <v>425</v>
      </c>
      <c r="B147" s="1" t="s">
        <v>426</v>
      </c>
      <c r="C147" s="1" t="s">
        <v>9</v>
      </c>
      <c r="D147" s="1" t="s">
        <v>3</v>
      </c>
      <c r="E147" s="5">
        <v>36794</v>
      </c>
      <c r="F147" s="5">
        <v>39976</v>
      </c>
      <c r="G147" s="2">
        <v>3.2063359999999999</v>
      </c>
      <c r="H147" s="1" t="s">
        <v>10</v>
      </c>
      <c r="I147" s="2"/>
      <c r="J147" s="1" t="s">
        <v>38</v>
      </c>
      <c r="K147" s="1" t="s">
        <v>427</v>
      </c>
      <c r="L147" s="2">
        <v>7241.4030000000002</v>
      </c>
      <c r="M147">
        <f t="shared" si="6"/>
        <v>23218.371129407999</v>
      </c>
      <c r="N147">
        <f t="shared" si="7"/>
        <v>2054.7231087971677</v>
      </c>
      <c r="O147" t="str">
        <f t="shared" si="8"/>
        <v>FJERN</v>
      </c>
      <c r="P147" s="1" t="s">
        <v>5473</v>
      </c>
    </row>
    <row r="148" spans="1:16" ht="15" customHeight="1" x14ac:dyDescent="0.2">
      <c r="A148" s="1" t="s">
        <v>428</v>
      </c>
      <c r="B148" s="1" t="s">
        <v>429</v>
      </c>
      <c r="C148" s="1" t="s">
        <v>9</v>
      </c>
      <c r="D148" s="1" t="s">
        <v>3</v>
      </c>
      <c r="E148" s="5">
        <v>32770</v>
      </c>
      <c r="F148" s="5">
        <v>36368</v>
      </c>
      <c r="G148" s="2"/>
      <c r="H148" s="1" t="s">
        <v>10</v>
      </c>
      <c r="I148" s="2"/>
      <c r="J148" s="1" t="s">
        <v>23</v>
      </c>
      <c r="K148" s="1" t="s">
        <v>430</v>
      </c>
      <c r="L148" s="2"/>
      <c r="M148" t="str">
        <f t="shared" si="6"/>
        <v/>
      </c>
      <c r="N148" t="str">
        <f t="shared" si="7"/>
        <v/>
      </c>
      <c r="O148" t="str">
        <f t="shared" si="8"/>
        <v>FJERN</v>
      </c>
      <c r="P148" s="1"/>
    </row>
    <row r="149" spans="1:16" ht="15" customHeight="1" x14ac:dyDescent="0.2">
      <c r="A149" s="1" t="s">
        <v>431</v>
      </c>
      <c r="B149" s="1" t="s">
        <v>432</v>
      </c>
      <c r="C149" s="1" t="s">
        <v>9</v>
      </c>
      <c r="D149" s="1" t="s">
        <v>3</v>
      </c>
      <c r="E149" s="5">
        <v>32562</v>
      </c>
      <c r="F149" s="5">
        <v>35418</v>
      </c>
      <c r="G149" s="2"/>
      <c r="H149" s="1" t="s">
        <v>10</v>
      </c>
      <c r="I149" s="2"/>
      <c r="J149" s="1" t="s">
        <v>51</v>
      </c>
      <c r="K149" s="1" t="s">
        <v>433</v>
      </c>
      <c r="L149" s="2"/>
      <c r="M149" t="str">
        <f t="shared" si="6"/>
        <v/>
      </c>
      <c r="N149" t="str">
        <f t="shared" si="7"/>
        <v/>
      </c>
      <c r="O149" t="str">
        <f t="shared" si="8"/>
        <v>FJERN</v>
      </c>
      <c r="P149" s="1"/>
    </row>
    <row r="150" spans="1:16" ht="15" customHeight="1" x14ac:dyDescent="0.2">
      <c r="A150" s="1" t="s">
        <v>434</v>
      </c>
      <c r="B150" s="1" t="s">
        <v>435</v>
      </c>
      <c r="C150" s="1" t="s">
        <v>2</v>
      </c>
      <c r="D150" s="1" t="s">
        <v>3</v>
      </c>
      <c r="E150" s="5">
        <v>32106</v>
      </c>
      <c r="F150" s="5">
        <v>46155</v>
      </c>
      <c r="G150" s="2">
        <v>84.154349999999994</v>
      </c>
      <c r="H150" s="1" t="s">
        <v>4</v>
      </c>
      <c r="I150" s="2">
        <v>1521.0632381</v>
      </c>
      <c r="J150" s="1" t="s">
        <v>86</v>
      </c>
      <c r="K150" s="1" t="s">
        <v>436</v>
      </c>
      <c r="L150" s="2">
        <v>27656.22</v>
      </c>
      <c r="M150">
        <f t="shared" si="6"/>
        <v>2327391.217557</v>
      </c>
      <c r="N150">
        <f t="shared" si="7"/>
        <v>312401.50571234897</v>
      </c>
      <c r="O150" t="str">
        <f t="shared" si="8"/>
        <v>BEHOLD</v>
      </c>
      <c r="P150" s="1" t="s">
        <v>5474</v>
      </c>
    </row>
    <row r="151" spans="1:16" ht="15" customHeight="1" x14ac:dyDescent="0.2">
      <c r="A151" s="1" t="s">
        <v>437</v>
      </c>
      <c r="B151" s="1" t="s">
        <v>438</v>
      </c>
      <c r="C151" s="1" t="s">
        <v>2</v>
      </c>
      <c r="D151" s="1" t="s">
        <v>3</v>
      </c>
      <c r="E151" s="5">
        <v>31937</v>
      </c>
      <c r="F151" s="5">
        <v>33833</v>
      </c>
      <c r="G151" s="2"/>
      <c r="H151" s="1" t="s">
        <v>4</v>
      </c>
      <c r="I151" s="2"/>
      <c r="J151" s="1" t="s">
        <v>83</v>
      </c>
      <c r="K151" s="1" t="s">
        <v>439</v>
      </c>
      <c r="L151" s="2"/>
      <c r="M151" t="str">
        <f t="shared" si="6"/>
        <v/>
      </c>
      <c r="N151" t="str">
        <f t="shared" si="7"/>
        <v/>
      </c>
      <c r="O151" t="str">
        <f t="shared" si="8"/>
        <v>FJERN</v>
      </c>
      <c r="P151" s="1"/>
    </row>
    <row r="152" spans="1:16" ht="15" customHeight="1" x14ac:dyDescent="0.2">
      <c r="A152" s="1" t="s">
        <v>440</v>
      </c>
      <c r="B152" s="1" t="s">
        <v>438</v>
      </c>
      <c r="C152" s="1" t="s">
        <v>2</v>
      </c>
      <c r="D152" s="1" t="s">
        <v>3</v>
      </c>
      <c r="E152" s="5">
        <v>31936</v>
      </c>
      <c r="F152" s="5">
        <v>33830</v>
      </c>
      <c r="G152" s="2"/>
      <c r="H152" s="1" t="s">
        <v>4</v>
      </c>
      <c r="I152" s="2"/>
      <c r="J152" s="1" t="s">
        <v>83</v>
      </c>
      <c r="K152" s="1"/>
      <c r="L152" s="2"/>
      <c r="M152" t="str">
        <f t="shared" si="6"/>
        <v/>
      </c>
      <c r="N152" t="str">
        <f t="shared" si="7"/>
        <v/>
      </c>
      <c r="O152" t="str">
        <f t="shared" si="8"/>
        <v>FJERN</v>
      </c>
      <c r="P152" s="1"/>
    </row>
    <row r="153" spans="1:16" ht="15" customHeight="1" x14ac:dyDescent="0.2">
      <c r="A153" s="1" t="s">
        <v>441</v>
      </c>
      <c r="B153" s="1" t="s">
        <v>442</v>
      </c>
      <c r="C153" s="1" t="s">
        <v>2</v>
      </c>
      <c r="D153" s="1" t="s">
        <v>3</v>
      </c>
      <c r="E153" s="5">
        <v>34876</v>
      </c>
      <c r="F153" s="5">
        <v>36276</v>
      </c>
      <c r="G153" s="2"/>
      <c r="H153" s="1" t="s">
        <v>4</v>
      </c>
      <c r="I153" s="2"/>
      <c r="J153" s="1" t="s">
        <v>11</v>
      </c>
      <c r="K153" s="1"/>
      <c r="L153" s="2"/>
      <c r="M153" t="str">
        <f t="shared" si="6"/>
        <v/>
      </c>
      <c r="N153" t="str">
        <f t="shared" si="7"/>
        <v/>
      </c>
      <c r="O153" t="str">
        <f t="shared" si="8"/>
        <v>FJERN</v>
      </c>
      <c r="P153" s="1"/>
    </row>
    <row r="154" spans="1:16" ht="15" customHeight="1" x14ac:dyDescent="0.2">
      <c r="A154" s="1" t="s">
        <v>443</v>
      </c>
      <c r="B154" s="1" t="s">
        <v>444</v>
      </c>
      <c r="C154" s="1" t="s">
        <v>2</v>
      </c>
      <c r="D154" s="1" t="s">
        <v>3</v>
      </c>
      <c r="E154" s="5">
        <v>34515</v>
      </c>
      <c r="F154" s="5">
        <v>38160</v>
      </c>
      <c r="G154" s="2"/>
      <c r="H154" s="1" t="s">
        <v>4</v>
      </c>
      <c r="I154" s="2"/>
      <c r="J154" s="1" t="s">
        <v>76</v>
      </c>
      <c r="K154" s="1" t="s">
        <v>445</v>
      </c>
      <c r="L154" s="2"/>
      <c r="M154" t="str">
        <f t="shared" si="6"/>
        <v/>
      </c>
      <c r="N154" t="str">
        <f t="shared" si="7"/>
        <v/>
      </c>
      <c r="O154" t="str">
        <f t="shared" si="8"/>
        <v>FJERN</v>
      </c>
      <c r="P154" s="1" t="s">
        <v>5475</v>
      </c>
    </row>
    <row r="155" spans="1:16" ht="15" customHeight="1" x14ac:dyDescent="0.2">
      <c r="A155" s="1" t="s">
        <v>446</v>
      </c>
      <c r="B155" s="1" t="s">
        <v>447</v>
      </c>
      <c r="C155" s="1" t="s">
        <v>9</v>
      </c>
      <c r="D155" s="1" t="s">
        <v>3</v>
      </c>
      <c r="E155" s="5">
        <v>34505</v>
      </c>
      <c r="F155" s="5">
        <v>35020</v>
      </c>
      <c r="G155" s="2"/>
      <c r="H155" s="1" t="s">
        <v>10</v>
      </c>
      <c r="I155" s="2"/>
      <c r="J155" s="1" t="s">
        <v>11</v>
      </c>
      <c r="K155" s="1" t="s">
        <v>448</v>
      </c>
      <c r="L155" s="2"/>
      <c r="M155" t="str">
        <f t="shared" si="6"/>
        <v/>
      </c>
      <c r="N155" t="str">
        <f t="shared" si="7"/>
        <v/>
      </c>
      <c r="O155" t="str">
        <f t="shared" si="8"/>
        <v>FJERN</v>
      </c>
      <c r="P155" s="1"/>
    </row>
    <row r="156" spans="1:16" ht="15" customHeight="1" x14ac:dyDescent="0.2">
      <c r="A156" s="1" t="s">
        <v>449</v>
      </c>
      <c r="B156" s="1" t="s">
        <v>450</v>
      </c>
      <c r="C156" s="1" t="s">
        <v>9</v>
      </c>
      <c r="D156" s="1" t="s">
        <v>3</v>
      </c>
      <c r="E156" s="5">
        <v>34506</v>
      </c>
      <c r="F156" s="5">
        <v>35020</v>
      </c>
      <c r="G156" s="2"/>
      <c r="H156" s="1" t="s">
        <v>10</v>
      </c>
      <c r="I156" s="2"/>
      <c r="J156" s="1" t="s">
        <v>11</v>
      </c>
      <c r="K156" s="1" t="s">
        <v>451</v>
      </c>
      <c r="L156" s="2"/>
      <c r="M156" t="str">
        <f t="shared" si="6"/>
        <v/>
      </c>
      <c r="N156" t="str">
        <f t="shared" si="7"/>
        <v/>
      </c>
      <c r="O156" t="str">
        <f t="shared" si="8"/>
        <v>FJERN</v>
      </c>
      <c r="P156" s="1"/>
    </row>
    <row r="157" spans="1:16" ht="15" customHeight="1" x14ac:dyDescent="0.2">
      <c r="A157" s="1" t="s">
        <v>452</v>
      </c>
      <c r="B157" s="1" t="s">
        <v>453</v>
      </c>
      <c r="C157" s="1" t="s">
        <v>9</v>
      </c>
      <c r="D157" s="1" t="s">
        <v>3</v>
      </c>
      <c r="E157" s="5">
        <v>32385</v>
      </c>
      <c r="F157" s="5">
        <v>44823</v>
      </c>
      <c r="G157" s="2">
        <v>58.31671</v>
      </c>
      <c r="H157" s="1" t="s">
        <v>10</v>
      </c>
      <c r="I157" s="2"/>
      <c r="J157" s="1" t="s">
        <v>23</v>
      </c>
      <c r="K157" s="1" t="s">
        <v>454</v>
      </c>
      <c r="L157" s="2">
        <v>187443.7</v>
      </c>
      <c r="M157">
        <f t="shared" si="6"/>
        <v>10931099.894227</v>
      </c>
      <c r="N157">
        <f t="shared" si="7"/>
        <v>967353.97294044239</v>
      </c>
      <c r="O157" t="str">
        <f t="shared" si="8"/>
        <v>BEHOLD</v>
      </c>
      <c r="P157" s="1" t="s">
        <v>5476</v>
      </c>
    </row>
    <row r="158" spans="1:16" ht="15" customHeight="1" x14ac:dyDescent="0.2">
      <c r="A158" s="1" t="s">
        <v>455</v>
      </c>
      <c r="B158" s="1" t="s">
        <v>456</v>
      </c>
      <c r="C158" s="1" t="s">
        <v>9</v>
      </c>
      <c r="D158" s="1" t="s">
        <v>3</v>
      </c>
      <c r="E158" s="5">
        <v>34096</v>
      </c>
      <c r="F158" s="5">
        <v>46155</v>
      </c>
      <c r="G158" s="2">
        <v>61.583730000000003</v>
      </c>
      <c r="H158" s="1" t="s">
        <v>10</v>
      </c>
      <c r="I158" s="2">
        <v>24075.335621099999</v>
      </c>
      <c r="J158" s="1" t="s">
        <v>11</v>
      </c>
      <c r="K158" s="1" t="s">
        <v>457</v>
      </c>
      <c r="L158" s="2">
        <v>460491.6</v>
      </c>
      <c r="M158">
        <f t="shared" si="6"/>
        <v>28358790.361667998</v>
      </c>
      <c r="N158">
        <f t="shared" si="7"/>
        <v>2509627.4656343358</v>
      </c>
      <c r="O158" t="str">
        <f t="shared" si="8"/>
        <v>BEHOLD</v>
      </c>
      <c r="P158" s="1" t="s">
        <v>5477</v>
      </c>
    </row>
    <row r="159" spans="1:16" ht="15" customHeight="1" x14ac:dyDescent="0.2">
      <c r="A159" s="1" t="s">
        <v>458</v>
      </c>
      <c r="B159" s="1" t="s">
        <v>459</v>
      </c>
      <c r="C159" s="1" t="s">
        <v>2</v>
      </c>
      <c r="D159" s="1" t="s">
        <v>3</v>
      </c>
      <c r="E159" s="5">
        <v>31049</v>
      </c>
      <c r="F159" s="5">
        <v>32987</v>
      </c>
      <c r="G159" s="2"/>
      <c r="H159" s="1" t="s">
        <v>4</v>
      </c>
      <c r="I159" s="2"/>
      <c r="J159" s="1" t="s">
        <v>15</v>
      </c>
      <c r="K159" s="1"/>
      <c r="L159" s="2"/>
      <c r="M159" t="str">
        <f t="shared" si="6"/>
        <v/>
      </c>
      <c r="N159" t="str">
        <f t="shared" si="7"/>
        <v/>
      </c>
      <c r="O159" t="str">
        <f t="shared" si="8"/>
        <v>FJERN</v>
      </c>
      <c r="P159" s="1"/>
    </row>
    <row r="160" spans="1:16" ht="15" customHeight="1" x14ac:dyDescent="0.2">
      <c r="A160" s="1" t="s">
        <v>460</v>
      </c>
      <c r="B160" s="1" t="s">
        <v>461</v>
      </c>
      <c r="C160" s="1" t="s">
        <v>2</v>
      </c>
      <c r="D160" s="1" t="s">
        <v>3</v>
      </c>
      <c r="E160" s="5">
        <v>34883</v>
      </c>
      <c r="F160" s="5">
        <v>37284</v>
      </c>
      <c r="G160" s="2"/>
      <c r="H160" s="1" t="s">
        <v>4</v>
      </c>
      <c r="I160" s="2"/>
      <c r="J160" s="1" t="s">
        <v>76</v>
      </c>
      <c r="K160" s="1"/>
      <c r="L160" s="2"/>
      <c r="M160" t="str">
        <f t="shared" si="6"/>
        <v/>
      </c>
      <c r="N160" t="str">
        <f t="shared" si="7"/>
        <v/>
      </c>
      <c r="O160" t="str">
        <f t="shared" si="8"/>
        <v>FJERN</v>
      </c>
      <c r="P160" s="1"/>
    </row>
    <row r="161" spans="1:16" ht="15" customHeight="1" x14ac:dyDescent="0.2">
      <c r="A161" s="1" t="s">
        <v>462</v>
      </c>
      <c r="B161" s="1" t="s">
        <v>463</v>
      </c>
      <c r="C161" s="1" t="s">
        <v>9</v>
      </c>
      <c r="D161" s="1" t="s">
        <v>3</v>
      </c>
      <c r="E161" s="5">
        <v>34324</v>
      </c>
      <c r="F161" s="5">
        <v>40438</v>
      </c>
      <c r="G161" s="2">
        <v>35.821010000000001</v>
      </c>
      <c r="H161" s="1" t="s">
        <v>10</v>
      </c>
      <c r="I161" s="2"/>
      <c r="J161" s="1" t="s">
        <v>289</v>
      </c>
      <c r="K161" s="1" t="s">
        <v>464</v>
      </c>
      <c r="L161" s="2">
        <v>35623.07</v>
      </c>
      <c r="M161">
        <f t="shared" si="6"/>
        <v>1276054.3467007</v>
      </c>
      <c r="N161">
        <f t="shared" si="7"/>
        <v>112925.16342484071</v>
      </c>
      <c r="O161" t="str">
        <f t="shared" si="8"/>
        <v>BEHOLD</v>
      </c>
      <c r="P161" s="1" t="s">
        <v>5478</v>
      </c>
    </row>
    <row r="162" spans="1:16" ht="15" customHeight="1" x14ac:dyDescent="0.2">
      <c r="A162" s="1" t="s">
        <v>465</v>
      </c>
      <c r="B162" s="1" t="s">
        <v>466</v>
      </c>
      <c r="C162" s="1" t="s">
        <v>2</v>
      </c>
      <c r="D162" s="1" t="s">
        <v>3</v>
      </c>
      <c r="E162" s="5">
        <v>32106</v>
      </c>
      <c r="F162" s="5">
        <v>34920</v>
      </c>
      <c r="G162" s="2"/>
      <c r="H162" s="1" t="s">
        <v>4</v>
      </c>
      <c r="I162" s="2"/>
      <c r="J162" s="1" t="s">
        <v>5</v>
      </c>
      <c r="K162" s="1" t="s">
        <v>467</v>
      </c>
      <c r="L162" s="2"/>
      <c r="M162" t="str">
        <f t="shared" si="6"/>
        <v/>
      </c>
      <c r="N162" t="str">
        <f t="shared" si="7"/>
        <v/>
      </c>
      <c r="O162" t="str">
        <f t="shared" si="8"/>
        <v>FJERN</v>
      </c>
      <c r="P162" s="1"/>
    </row>
    <row r="163" spans="1:16" ht="15" customHeight="1" x14ac:dyDescent="0.2">
      <c r="A163" s="1" t="s">
        <v>468</v>
      </c>
      <c r="B163" s="1" t="s">
        <v>469</v>
      </c>
      <c r="C163" s="1" t="s">
        <v>9</v>
      </c>
      <c r="D163" s="1" t="s">
        <v>3</v>
      </c>
      <c r="E163" s="5">
        <v>34872</v>
      </c>
      <c r="F163" s="5">
        <v>36825</v>
      </c>
      <c r="G163" s="2"/>
      <c r="H163" s="1" t="s">
        <v>10</v>
      </c>
      <c r="I163" s="2"/>
      <c r="J163" s="1" t="s">
        <v>23</v>
      </c>
      <c r="K163" s="1"/>
      <c r="L163" s="2"/>
      <c r="M163" t="str">
        <f t="shared" si="6"/>
        <v/>
      </c>
      <c r="N163" t="str">
        <f t="shared" si="7"/>
        <v/>
      </c>
      <c r="O163" t="str">
        <f t="shared" si="8"/>
        <v>FJERN</v>
      </c>
      <c r="P163" s="1" t="s">
        <v>5479</v>
      </c>
    </row>
    <row r="164" spans="1:16" ht="15" customHeight="1" x14ac:dyDescent="0.2">
      <c r="A164" s="1" t="s">
        <v>470</v>
      </c>
      <c r="B164" s="1" t="s">
        <v>471</v>
      </c>
      <c r="C164" s="1" t="s">
        <v>2</v>
      </c>
      <c r="D164" s="1" t="s">
        <v>3</v>
      </c>
      <c r="E164" s="5">
        <v>32939</v>
      </c>
      <c r="F164" s="5">
        <v>38373</v>
      </c>
      <c r="G164" s="2"/>
      <c r="H164" s="1" t="s">
        <v>4</v>
      </c>
      <c r="I164" s="2"/>
      <c r="J164" s="1"/>
      <c r="K164" s="1" t="s">
        <v>472</v>
      </c>
      <c r="L164" s="2"/>
      <c r="M164" t="str">
        <f t="shared" si="6"/>
        <v/>
      </c>
      <c r="N164" t="str">
        <f t="shared" si="7"/>
        <v/>
      </c>
      <c r="O164" t="str">
        <f t="shared" si="8"/>
        <v>FJERN</v>
      </c>
      <c r="P164" s="1" t="s">
        <v>5480</v>
      </c>
    </row>
    <row r="165" spans="1:16" ht="15" customHeight="1" x14ac:dyDescent="0.2">
      <c r="A165" s="1" t="s">
        <v>473</v>
      </c>
      <c r="B165" s="1" t="s">
        <v>474</v>
      </c>
      <c r="C165" s="1" t="s">
        <v>2</v>
      </c>
      <c r="D165" s="1" t="s">
        <v>3</v>
      </c>
      <c r="E165" s="5">
        <v>33407</v>
      </c>
      <c r="F165" s="5">
        <v>37141</v>
      </c>
      <c r="G165" s="2"/>
      <c r="H165" s="1" t="s">
        <v>4</v>
      </c>
      <c r="I165" s="2"/>
      <c r="J165" s="1" t="s">
        <v>55</v>
      </c>
      <c r="K165" s="1" t="s">
        <v>475</v>
      </c>
      <c r="L165" s="2"/>
      <c r="M165" t="str">
        <f t="shared" si="6"/>
        <v/>
      </c>
      <c r="N165" t="str">
        <f t="shared" si="7"/>
        <v/>
      </c>
      <c r="O165" t="str">
        <f t="shared" si="8"/>
        <v>FJERN</v>
      </c>
      <c r="P165" s="1"/>
    </row>
    <row r="166" spans="1:16" ht="15" customHeight="1" x14ac:dyDescent="0.2">
      <c r="A166" s="1" t="s">
        <v>476</v>
      </c>
      <c r="B166" s="1" t="s">
        <v>477</v>
      </c>
      <c r="C166" s="1" t="s">
        <v>9</v>
      </c>
      <c r="D166" s="1" t="s">
        <v>3</v>
      </c>
      <c r="E166" s="5">
        <v>32512</v>
      </c>
      <c r="F166" s="5">
        <v>34137</v>
      </c>
      <c r="G166" s="2"/>
      <c r="H166" s="1" t="s">
        <v>10</v>
      </c>
      <c r="I166" s="2"/>
      <c r="J166" s="1" t="s">
        <v>184</v>
      </c>
      <c r="K166" s="1"/>
      <c r="L166" s="2"/>
      <c r="M166" t="str">
        <f t="shared" si="6"/>
        <v/>
      </c>
      <c r="N166" t="str">
        <f t="shared" si="7"/>
        <v/>
      </c>
      <c r="O166" t="str">
        <f t="shared" si="8"/>
        <v>FJERN</v>
      </c>
      <c r="P166" s="1"/>
    </row>
    <row r="167" spans="1:16" ht="15" customHeight="1" x14ac:dyDescent="0.2">
      <c r="A167" s="1" t="s">
        <v>478</v>
      </c>
      <c r="B167" s="1" t="s">
        <v>479</v>
      </c>
      <c r="C167" s="1" t="s">
        <v>2</v>
      </c>
      <c r="D167" s="1" t="s">
        <v>3</v>
      </c>
      <c r="E167" s="5">
        <v>32919</v>
      </c>
      <c r="F167" s="5">
        <v>38296</v>
      </c>
      <c r="G167" s="2"/>
      <c r="H167" s="1" t="s">
        <v>4</v>
      </c>
      <c r="I167" s="2"/>
      <c r="J167" s="1" t="s">
        <v>184</v>
      </c>
      <c r="K167" s="1" t="s">
        <v>480</v>
      </c>
      <c r="L167" s="2"/>
      <c r="M167" t="str">
        <f t="shared" si="6"/>
        <v/>
      </c>
      <c r="N167" t="str">
        <f t="shared" si="7"/>
        <v/>
      </c>
      <c r="O167" t="str">
        <f t="shared" si="8"/>
        <v>FJERN</v>
      </c>
      <c r="P167" s="1" t="s">
        <v>5481</v>
      </c>
    </row>
    <row r="168" spans="1:16" ht="15" customHeight="1" x14ac:dyDescent="0.2">
      <c r="A168" s="1" t="s">
        <v>481</v>
      </c>
      <c r="B168" s="1" t="s">
        <v>482</v>
      </c>
      <c r="C168" s="1" t="s">
        <v>9</v>
      </c>
      <c r="D168" s="1" t="s">
        <v>3</v>
      </c>
      <c r="E168" s="5">
        <v>32528</v>
      </c>
      <c r="F168" s="5">
        <v>35003</v>
      </c>
      <c r="G168" s="2"/>
      <c r="H168" s="1" t="s">
        <v>10</v>
      </c>
      <c r="I168" s="2"/>
      <c r="J168" s="1" t="s">
        <v>61</v>
      </c>
      <c r="K168" s="1"/>
      <c r="L168" s="2"/>
      <c r="M168" t="str">
        <f t="shared" si="6"/>
        <v/>
      </c>
      <c r="N168" t="str">
        <f t="shared" si="7"/>
        <v/>
      </c>
      <c r="O168" t="str">
        <f t="shared" si="8"/>
        <v>FJERN</v>
      </c>
      <c r="P168" s="1"/>
    </row>
    <row r="169" spans="1:16" ht="15" customHeight="1" x14ac:dyDescent="0.2">
      <c r="A169" s="1" t="s">
        <v>483</v>
      </c>
      <c r="B169" s="1" t="s">
        <v>484</v>
      </c>
      <c r="C169" s="1" t="s">
        <v>9</v>
      </c>
      <c r="D169" s="1" t="s">
        <v>3</v>
      </c>
      <c r="E169" s="5">
        <v>34435</v>
      </c>
      <c r="F169" s="5">
        <v>41565</v>
      </c>
      <c r="G169" s="2">
        <v>214.06610000000001</v>
      </c>
      <c r="H169" s="1" t="s">
        <v>10</v>
      </c>
      <c r="I169" s="2"/>
      <c r="J169" s="1" t="s">
        <v>86</v>
      </c>
      <c r="K169" s="1" t="s">
        <v>485</v>
      </c>
      <c r="L169" s="2">
        <v>66134.720000000001</v>
      </c>
      <c r="M169">
        <f t="shared" si="6"/>
        <v>14157201.584992001</v>
      </c>
      <c r="N169">
        <f t="shared" si="7"/>
        <v>1252849.6977869025</v>
      </c>
      <c r="O169" t="str">
        <f t="shared" si="8"/>
        <v>BEHOLD</v>
      </c>
      <c r="P169" s="1" t="s">
        <v>5482</v>
      </c>
    </row>
    <row r="170" spans="1:16" ht="15" customHeight="1" x14ac:dyDescent="0.2">
      <c r="A170" s="1" t="s">
        <v>486</v>
      </c>
      <c r="B170" s="1" t="s">
        <v>487</v>
      </c>
      <c r="C170" s="1" t="s">
        <v>2</v>
      </c>
      <c r="D170" s="1" t="s">
        <v>3</v>
      </c>
      <c r="E170" s="5">
        <v>34092</v>
      </c>
      <c r="F170" s="5">
        <v>40133</v>
      </c>
      <c r="G170" s="2">
        <v>6.7054349999999996</v>
      </c>
      <c r="H170" s="1" t="s">
        <v>4</v>
      </c>
      <c r="I170" s="2"/>
      <c r="J170" s="1" t="s">
        <v>76</v>
      </c>
      <c r="K170" s="1" t="s">
        <v>488</v>
      </c>
      <c r="L170" s="2">
        <v>4467.1490000000003</v>
      </c>
      <c r="M170">
        <f t="shared" si="6"/>
        <v>29954.177254815</v>
      </c>
      <c r="N170">
        <f t="shared" si="7"/>
        <v>4020.6949335322147</v>
      </c>
      <c r="O170" t="str">
        <f t="shared" si="8"/>
        <v>FJERN</v>
      </c>
      <c r="P170" s="1" t="s">
        <v>5483</v>
      </c>
    </row>
    <row r="171" spans="1:16" ht="15" customHeight="1" x14ac:dyDescent="0.2">
      <c r="A171" s="1" t="s">
        <v>489</v>
      </c>
      <c r="B171" s="1" t="s">
        <v>490</v>
      </c>
      <c r="C171" s="1" t="s">
        <v>2</v>
      </c>
      <c r="D171" s="1" t="s">
        <v>3</v>
      </c>
      <c r="E171" s="5">
        <v>32099</v>
      </c>
      <c r="F171" s="5">
        <v>36854</v>
      </c>
      <c r="G171" s="2"/>
      <c r="H171" s="1" t="s">
        <v>4</v>
      </c>
      <c r="I171" s="2"/>
      <c r="J171" s="1" t="s">
        <v>11</v>
      </c>
      <c r="K171" s="1" t="s">
        <v>491</v>
      </c>
      <c r="L171" s="2"/>
      <c r="M171" t="str">
        <f t="shared" si="6"/>
        <v/>
      </c>
      <c r="N171" t="str">
        <f t="shared" si="7"/>
        <v/>
      </c>
      <c r="O171" t="str">
        <f t="shared" si="8"/>
        <v>FJERN</v>
      </c>
      <c r="P171" s="1"/>
    </row>
    <row r="172" spans="1:16" ht="15" customHeight="1" x14ac:dyDescent="0.2">
      <c r="A172" s="1" t="s">
        <v>492</v>
      </c>
      <c r="B172" s="1" t="s">
        <v>493</v>
      </c>
      <c r="C172" s="1" t="s">
        <v>2</v>
      </c>
      <c r="D172" s="1" t="s">
        <v>3</v>
      </c>
      <c r="E172" s="5">
        <v>32884</v>
      </c>
      <c r="F172" s="5">
        <v>42747</v>
      </c>
      <c r="G172" s="2">
        <v>87.442760000000007</v>
      </c>
      <c r="H172" s="1" t="s">
        <v>4</v>
      </c>
      <c r="I172" s="2"/>
      <c r="J172" s="1" t="s">
        <v>61</v>
      </c>
      <c r="K172" s="1" t="s">
        <v>494</v>
      </c>
      <c r="L172" s="2">
        <v>208.40710000000001</v>
      </c>
      <c r="M172">
        <f t="shared" si="6"/>
        <v>18223.692027596004</v>
      </c>
      <c r="N172">
        <f t="shared" si="7"/>
        <v>2446.1331580665778</v>
      </c>
      <c r="O172" t="str">
        <f t="shared" si="8"/>
        <v>FJERN</v>
      </c>
      <c r="P172" s="1" t="s">
        <v>5484</v>
      </c>
    </row>
    <row r="173" spans="1:16" ht="15" customHeight="1" x14ac:dyDescent="0.2">
      <c r="A173" s="1" t="s">
        <v>495</v>
      </c>
      <c r="B173" s="1" t="s">
        <v>496</v>
      </c>
      <c r="C173" s="1" t="s">
        <v>2</v>
      </c>
      <c r="D173" s="1" t="s">
        <v>3</v>
      </c>
      <c r="E173" s="5">
        <v>32104</v>
      </c>
      <c r="F173" s="5">
        <v>42620</v>
      </c>
      <c r="G173" s="2">
        <v>15.649139999999999</v>
      </c>
      <c r="H173" s="1" t="s">
        <v>4</v>
      </c>
      <c r="I173" s="2"/>
      <c r="J173" s="1" t="s">
        <v>23</v>
      </c>
      <c r="K173" s="1" t="s">
        <v>497</v>
      </c>
      <c r="L173" s="2">
        <v>9746.32</v>
      </c>
      <c r="M173">
        <f t="shared" si="6"/>
        <v>152521.52616479999</v>
      </c>
      <c r="N173">
        <f t="shared" si="7"/>
        <v>20472.688075812079</v>
      </c>
      <c r="O173" t="str">
        <f t="shared" si="8"/>
        <v>FJERN</v>
      </c>
      <c r="P173" s="1" t="s">
        <v>5485</v>
      </c>
    </row>
    <row r="174" spans="1:16" ht="15" customHeight="1" x14ac:dyDescent="0.2">
      <c r="A174" s="1" t="s">
        <v>498</v>
      </c>
      <c r="B174" s="1" t="s">
        <v>499</v>
      </c>
      <c r="C174" s="1" t="s">
        <v>9</v>
      </c>
      <c r="D174" s="1" t="s">
        <v>3</v>
      </c>
      <c r="E174" s="5">
        <v>34092</v>
      </c>
      <c r="F174" s="5">
        <v>36523</v>
      </c>
      <c r="G174" s="2"/>
      <c r="H174" s="1" t="s">
        <v>10</v>
      </c>
      <c r="I174" s="2"/>
      <c r="J174" s="1" t="s">
        <v>122</v>
      </c>
      <c r="K174" s="1"/>
      <c r="L174" s="2"/>
      <c r="M174" t="str">
        <f t="shared" si="6"/>
        <v/>
      </c>
      <c r="N174" t="str">
        <f t="shared" si="7"/>
        <v/>
      </c>
      <c r="O174" t="str">
        <f t="shared" si="8"/>
        <v>FJERN</v>
      </c>
      <c r="P174" s="1"/>
    </row>
    <row r="175" spans="1:16" ht="15" customHeight="1" x14ac:dyDescent="0.2">
      <c r="A175" s="1" t="s">
        <v>500</v>
      </c>
      <c r="B175" s="1" t="s">
        <v>501</v>
      </c>
      <c r="C175" s="1" t="s">
        <v>2</v>
      </c>
      <c r="D175" s="1" t="s">
        <v>3</v>
      </c>
      <c r="E175" s="5">
        <v>32175</v>
      </c>
      <c r="F175" s="5">
        <v>37421</v>
      </c>
      <c r="G175" s="2"/>
      <c r="H175" s="1" t="s">
        <v>4</v>
      </c>
      <c r="I175" s="2"/>
      <c r="J175" s="1" t="s">
        <v>76</v>
      </c>
      <c r="K175" s="1" t="s">
        <v>502</v>
      </c>
      <c r="L175" s="2"/>
      <c r="M175" t="str">
        <f t="shared" si="6"/>
        <v/>
      </c>
      <c r="N175" t="str">
        <f t="shared" si="7"/>
        <v/>
      </c>
      <c r="O175" t="str">
        <f t="shared" si="8"/>
        <v>FJERN</v>
      </c>
      <c r="P175" s="1"/>
    </row>
    <row r="176" spans="1:16" ht="15" customHeight="1" x14ac:dyDescent="0.2">
      <c r="A176" s="1" t="s">
        <v>503</v>
      </c>
      <c r="B176" s="1" t="s">
        <v>504</v>
      </c>
      <c r="C176" s="1" t="s">
        <v>2</v>
      </c>
      <c r="D176" s="1" t="s">
        <v>3</v>
      </c>
      <c r="E176" s="5">
        <v>32184</v>
      </c>
      <c r="F176" s="5">
        <v>37432</v>
      </c>
      <c r="G176" s="2"/>
      <c r="H176" s="1" t="s">
        <v>4</v>
      </c>
      <c r="I176" s="2"/>
      <c r="J176" s="1" t="s">
        <v>76</v>
      </c>
      <c r="K176" s="1" t="s">
        <v>505</v>
      </c>
      <c r="L176" s="2"/>
      <c r="M176" t="str">
        <f t="shared" si="6"/>
        <v/>
      </c>
      <c r="N176" t="str">
        <f t="shared" si="7"/>
        <v/>
      </c>
      <c r="O176" t="str">
        <f t="shared" si="8"/>
        <v>FJERN</v>
      </c>
      <c r="P176" s="1"/>
    </row>
    <row r="177" spans="1:16" ht="15" customHeight="1" x14ac:dyDescent="0.2">
      <c r="A177" s="1" t="s">
        <v>506</v>
      </c>
      <c r="B177" s="1" t="s">
        <v>507</v>
      </c>
      <c r="C177" s="1" t="s">
        <v>9</v>
      </c>
      <c r="D177" s="1" t="s">
        <v>3</v>
      </c>
      <c r="E177" s="5">
        <v>32784</v>
      </c>
      <c r="F177" s="5">
        <v>46155</v>
      </c>
      <c r="G177" s="2">
        <v>112.64579999999999</v>
      </c>
      <c r="H177" s="1" t="s">
        <v>10</v>
      </c>
      <c r="I177" s="2">
        <v>24094.059691999999</v>
      </c>
      <c r="J177" s="1" t="s">
        <v>61</v>
      </c>
      <c r="K177" s="1" t="s">
        <v>508</v>
      </c>
      <c r="L177" s="2">
        <v>300478</v>
      </c>
      <c r="M177">
        <f t="shared" si="6"/>
        <v>33847584.692400001</v>
      </c>
      <c r="N177">
        <f t="shared" si="7"/>
        <v>2995361.4772035396</v>
      </c>
      <c r="O177" t="str">
        <f t="shared" si="8"/>
        <v>BEHOLD</v>
      </c>
      <c r="P177" s="1" t="s">
        <v>5486</v>
      </c>
    </row>
    <row r="178" spans="1:16" ht="15" customHeight="1" x14ac:dyDescent="0.2">
      <c r="A178" s="1" t="s">
        <v>509</v>
      </c>
      <c r="B178" s="1" t="s">
        <v>510</v>
      </c>
      <c r="C178" s="1" t="s">
        <v>9</v>
      </c>
      <c r="D178" s="1" t="s">
        <v>3</v>
      </c>
      <c r="E178" s="5">
        <v>32751</v>
      </c>
      <c r="F178" s="5">
        <v>33745</v>
      </c>
      <c r="G178" s="2"/>
      <c r="H178" s="1" t="s">
        <v>10</v>
      </c>
      <c r="I178" s="2"/>
      <c r="J178" s="1" t="s">
        <v>61</v>
      </c>
      <c r="K178" s="1" t="s">
        <v>511</v>
      </c>
      <c r="L178" s="2"/>
      <c r="M178" t="str">
        <f t="shared" si="6"/>
        <v/>
      </c>
      <c r="N178" t="str">
        <f t="shared" si="7"/>
        <v/>
      </c>
      <c r="O178" t="str">
        <f t="shared" si="8"/>
        <v>FJERN</v>
      </c>
      <c r="P178" s="1"/>
    </row>
    <row r="179" spans="1:16" ht="15" customHeight="1" x14ac:dyDescent="0.2">
      <c r="A179" s="1" t="s">
        <v>512</v>
      </c>
      <c r="B179" s="1" t="s">
        <v>513</v>
      </c>
      <c r="C179" s="1" t="s">
        <v>9</v>
      </c>
      <c r="D179" s="1" t="s">
        <v>3</v>
      </c>
      <c r="E179" s="5">
        <v>33585</v>
      </c>
      <c r="F179" s="5">
        <v>37169</v>
      </c>
      <c r="G179" s="2"/>
      <c r="H179" s="1" t="s">
        <v>10</v>
      </c>
      <c r="I179" s="2"/>
      <c r="J179" s="1" t="s">
        <v>201</v>
      </c>
      <c r="K179" s="1" t="s">
        <v>514</v>
      </c>
      <c r="L179" s="2"/>
      <c r="M179" t="str">
        <f t="shared" si="6"/>
        <v/>
      </c>
      <c r="N179" t="str">
        <f t="shared" si="7"/>
        <v/>
      </c>
      <c r="O179" t="str">
        <f t="shared" si="8"/>
        <v>FJERN</v>
      </c>
      <c r="P179" s="1"/>
    </row>
    <row r="180" spans="1:16" ht="15" customHeight="1" x14ac:dyDescent="0.2">
      <c r="A180" s="1" t="s">
        <v>515</v>
      </c>
      <c r="B180" s="1" t="s">
        <v>516</v>
      </c>
      <c r="C180" s="1" t="s">
        <v>2</v>
      </c>
      <c r="D180" s="1" t="s">
        <v>3</v>
      </c>
      <c r="E180" s="5">
        <v>33107</v>
      </c>
      <c r="F180" s="5">
        <v>46155</v>
      </c>
      <c r="G180" s="2">
        <v>68.507900000000006</v>
      </c>
      <c r="H180" s="1" t="s">
        <v>4</v>
      </c>
      <c r="I180" s="2">
        <v>330.99112600000001</v>
      </c>
      <c r="J180" s="1" t="s">
        <v>15</v>
      </c>
      <c r="K180" s="1" t="s">
        <v>517</v>
      </c>
      <c r="L180" s="2">
        <v>877.07399999999996</v>
      </c>
      <c r="M180">
        <f t="shared" si="6"/>
        <v>60086.497884600001</v>
      </c>
      <c r="N180">
        <f t="shared" si="7"/>
        <v>8065.3017294765104</v>
      </c>
      <c r="O180" t="str">
        <f t="shared" si="8"/>
        <v>FJERN</v>
      </c>
      <c r="P180" s="1" t="s">
        <v>5487</v>
      </c>
    </row>
    <row r="181" spans="1:16" ht="15" customHeight="1" x14ac:dyDescent="0.2">
      <c r="A181" s="1" t="s">
        <v>518</v>
      </c>
      <c r="B181" s="1" t="s">
        <v>519</v>
      </c>
      <c r="C181" s="1" t="s">
        <v>2</v>
      </c>
      <c r="D181" s="1" t="s">
        <v>3</v>
      </c>
      <c r="E181" s="5">
        <v>32105</v>
      </c>
      <c r="F181" s="5">
        <v>46155</v>
      </c>
      <c r="G181" s="2">
        <v>0.62479689999999999</v>
      </c>
      <c r="H181" s="1" t="s">
        <v>4</v>
      </c>
      <c r="I181" s="2">
        <v>230.8614</v>
      </c>
      <c r="J181" s="1" t="s">
        <v>61</v>
      </c>
      <c r="K181" s="1" t="s">
        <v>520</v>
      </c>
      <c r="L181" s="2">
        <v>583440.80000000005</v>
      </c>
      <c r="M181">
        <f t="shared" si="6"/>
        <v>364532.00317352003</v>
      </c>
      <c r="N181">
        <f t="shared" si="7"/>
        <v>48930.470224633558</v>
      </c>
      <c r="O181" t="str">
        <f t="shared" si="8"/>
        <v>FJERN</v>
      </c>
      <c r="P181" s="1" t="s">
        <v>5488</v>
      </c>
    </row>
    <row r="182" spans="1:16" ht="15" customHeight="1" x14ac:dyDescent="0.2">
      <c r="A182" s="1" t="s">
        <v>521</v>
      </c>
      <c r="B182" s="1" t="s">
        <v>522</v>
      </c>
      <c r="C182" s="1" t="s">
        <v>2</v>
      </c>
      <c r="D182" s="1" t="s">
        <v>3</v>
      </c>
      <c r="E182" s="5">
        <v>33197</v>
      </c>
      <c r="F182" s="5">
        <v>39717</v>
      </c>
      <c r="G182" s="2">
        <v>0.11</v>
      </c>
      <c r="H182" s="1" t="s">
        <v>4</v>
      </c>
      <c r="I182" s="2"/>
      <c r="J182" s="1" t="s">
        <v>76</v>
      </c>
      <c r="K182" s="1" t="s">
        <v>523</v>
      </c>
      <c r="L182" s="2">
        <v>0</v>
      </c>
      <c r="M182">
        <f t="shared" si="6"/>
        <v>0</v>
      </c>
      <c r="N182">
        <f t="shared" si="7"/>
        <v>0</v>
      </c>
      <c r="O182" t="str">
        <f t="shared" si="8"/>
        <v>FJERN</v>
      </c>
      <c r="P182" s="1" t="s">
        <v>5489</v>
      </c>
    </row>
    <row r="183" spans="1:16" ht="15" customHeight="1" x14ac:dyDescent="0.2">
      <c r="A183" s="1" t="s">
        <v>524</v>
      </c>
      <c r="B183" s="1" t="s">
        <v>525</v>
      </c>
      <c r="C183" s="1" t="s">
        <v>9</v>
      </c>
      <c r="D183" s="1" t="s">
        <v>3</v>
      </c>
      <c r="E183" s="5">
        <v>31049</v>
      </c>
      <c r="F183" s="5">
        <v>33987</v>
      </c>
      <c r="G183" s="2"/>
      <c r="H183" s="1" t="s">
        <v>10</v>
      </c>
      <c r="I183" s="2"/>
      <c r="J183" s="1" t="s">
        <v>76</v>
      </c>
      <c r="K183" s="1"/>
      <c r="L183" s="2"/>
      <c r="M183" t="str">
        <f t="shared" si="6"/>
        <v/>
      </c>
      <c r="N183" t="str">
        <f t="shared" si="7"/>
        <v/>
      </c>
      <c r="O183" t="str">
        <f t="shared" si="8"/>
        <v>FJERN</v>
      </c>
      <c r="P183" s="1"/>
    </row>
    <row r="184" spans="1:16" ht="15" customHeight="1" x14ac:dyDescent="0.2">
      <c r="A184" s="1" t="s">
        <v>526</v>
      </c>
      <c r="B184" s="1" t="s">
        <v>527</v>
      </c>
      <c r="C184" s="1" t="s">
        <v>2</v>
      </c>
      <c r="D184" s="1" t="s">
        <v>3</v>
      </c>
      <c r="E184" s="5">
        <v>32232</v>
      </c>
      <c r="F184" s="5">
        <v>42030</v>
      </c>
      <c r="G184" s="2">
        <v>4465.299</v>
      </c>
      <c r="H184" s="1" t="s">
        <v>4</v>
      </c>
      <c r="I184" s="2"/>
      <c r="J184" s="1" t="s">
        <v>61</v>
      </c>
      <c r="K184" s="1" t="s">
        <v>528</v>
      </c>
      <c r="L184" s="2">
        <v>1.397154</v>
      </c>
      <c r="M184">
        <f t="shared" si="6"/>
        <v>6238.7103590460001</v>
      </c>
      <c r="N184">
        <f t="shared" si="7"/>
        <v>837.4107864491275</v>
      </c>
      <c r="O184" t="str">
        <f t="shared" si="8"/>
        <v>FJERN</v>
      </c>
      <c r="P184" s="1" t="s">
        <v>5490</v>
      </c>
    </row>
    <row r="185" spans="1:16" ht="15" customHeight="1" x14ac:dyDescent="0.2">
      <c r="A185" s="1" t="s">
        <v>529</v>
      </c>
      <c r="B185" s="1" t="s">
        <v>530</v>
      </c>
      <c r="C185" s="1" t="s">
        <v>9</v>
      </c>
      <c r="D185" s="1" t="s">
        <v>3</v>
      </c>
      <c r="E185" s="5">
        <v>33988</v>
      </c>
      <c r="F185" s="5">
        <v>37076</v>
      </c>
      <c r="G185" s="2"/>
      <c r="H185" s="1" t="s">
        <v>10</v>
      </c>
      <c r="I185" s="2"/>
      <c r="J185" s="1" t="s">
        <v>11</v>
      </c>
      <c r="K185" s="1" t="s">
        <v>531</v>
      </c>
      <c r="L185" s="2"/>
      <c r="M185" t="str">
        <f t="shared" si="6"/>
        <v/>
      </c>
      <c r="N185" t="str">
        <f t="shared" si="7"/>
        <v/>
      </c>
      <c r="O185" t="str">
        <f t="shared" si="8"/>
        <v>FJERN</v>
      </c>
      <c r="P185" s="1"/>
    </row>
    <row r="186" spans="1:16" ht="15" customHeight="1" x14ac:dyDescent="0.2">
      <c r="A186" s="1" t="s">
        <v>532</v>
      </c>
      <c r="B186" s="1" t="s">
        <v>533</v>
      </c>
      <c r="C186" s="1" t="s">
        <v>2</v>
      </c>
      <c r="D186" s="1" t="s">
        <v>3</v>
      </c>
      <c r="E186" s="5">
        <v>32449</v>
      </c>
      <c r="F186" s="5">
        <v>38076</v>
      </c>
      <c r="G186" s="2"/>
      <c r="H186" s="1" t="s">
        <v>4</v>
      </c>
      <c r="I186" s="2"/>
      <c r="J186" s="1" t="s">
        <v>86</v>
      </c>
      <c r="K186" s="1" t="s">
        <v>534</v>
      </c>
      <c r="L186" s="2"/>
      <c r="M186" t="str">
        <f t="shared" si="6"/>
        <v/>
      </c>
      <c r="N186" t="str">
        <f t="shared" si="7"/>
        <v/>
      </c>
      <c r="O186" t="str">
        <f t="shared" si="8"/>
        <v>FJERN</v>
      </c>
      <c r="P186" s="1"/>
    </row>
    <row r="187" spans="1:16" ht="15" customHeight="1" x14ac:dyDescent="0.2">
      <c r="A187" s="1" t="s">
        <v>535</v>
      </c>
      <c r="B187" s="1" t="s">
        <v>536</v>
      </c>
      <c r="C187" s="1" t="s">
        <v>2</v>
      </c>
      <c r="D187" s="1" t="s">
        <v>3</v>
      </c>
      <c r="E187" s="5">
        <v>31049</v>
      </c>
      <c r="F187" s="5">
        <v>33659</v>
      </c>
      <c r="G187" s="2"/>
      <c r="H187" s="1" t="s">
        <v>4</v>
      </c>
      <c r="I187" s="2"/>
      <c r="J187" s="1" t="s">
        <v>391</v>
      </c>
      <c r="K187" s="1" t="s">
        <v>537</v>
      </c>
      <c r="L187" s="2"/>
      <c r="M187" t="str">
        <f t="shared" si="6"/>
        <v/>
      </c>
      <c r="N187" t="str">
        <f t="shared" si="7"/>
        <v/>
      </c>
      <c r="O187" t="str">
        <f t="shared" si="8"/>
        <v>FJERN</v>
      </c>
      <c r="P187" s="1"/>
    </row>
    <row r="188" spans="1:16" ht="15" customHeight="1" x14ac:dyDescent="0.2">
      <c r="A188" s="1" t="s">
        <v>538</v>
      </c>
      <c r="B188" s="1" t="s">
        <v>539</v>
      </c>
      <c r="C188" s="1" t="s">
        <v>2</v>
      </c>
      <c r="D188" s="1" t="s">
        <v>3</v>
      </c>
      <c r="E188" s="5">
        <v>32938</v>
      </c>
      <c r="F188" s="5">
        <v>35765</v>
      </c>
      <c r="G188" s="2"/>
      <c r="H188" s="1" t="s">
        <v>4</v>
      </c>
      <c r="I188" s="2"/>
      <c r="J188" s="1" t="s">
        <v>61</v>
      </c>
      <c r="K188" s="1"/>
      <c r="L188" s="2"/>
      <c r="M188" t="str">
        <f t="shared" si="6"/>
        <v/>
      </c>
      <c r="N188" t="str">
        <f t="shared" si="7"/>
        <v/>
      </c>
      <c r="O188" t="str">
        <f t="shared" si="8"/>
        <v>FJERN</v>
      </c>
      <c r="P188" s="1"/>
    </row>
    <row r="189" spans="1:16" ht="15" customHeight="1" x14ac:dyDescent="0.2">
      <c r="A189" s="1" t="s">
        <v>540</v>
      </c>
      <c r="B189" s="1" t="s">
        <v>541</v>
      </c>
      <c r="C189" s="1" t="s">
        <v>9</v>
      </c>
      <c r="D189" s="1" t="s">
        <v>3</v>
      </c>
      <c r="E189" s="5">
        <v>35901</v>
      </c>
      <c r="F189" s="5">
        <v>38499</v>
      </c>
      <c r="G189" s="2"/>
      <c r="H189" s="1" t="s">
        <v>10</v>
      </c>
      <c r="I189" s="2"/>
      <c r="J189" s="1" t="s">
        <v>236</v>
      </c>
      <c r="K189" s="1" t="s">
        <v>542</v>
      </c>
      <c r="L189" s="2"/>
      <c r="M189" t="str">
        <f t="shared" si="6"/>
        <v/>
      </c>
      <c r="N189" t="str">
        <f t="shared" si="7"/>
        <v/>
      </c>
      <c r="O189" t="str">
        <f t="shared" si="8"/>
        <v>FJERN</v>
      </c>
      <c r="P189" s="1" t="s">
        <v>5491</v>
      </c>
    </row>
    <row r="190" spans="1:16" ht="15" customHeight="1" x14ac:dyDescent="0.2">
      <c r="A190" s="1" t="s">
        <v>543</v>
      </c>
      <c r="B190" s="1" t="s">
        <v>544</v>
      </c>
      <c r="C190" s="1" t="s">
        <v>2</v>
      </c>
      <c r="D190" s="1" t="s">
        <v>3</v>
      </c>
      <c r="E190" s="5">
        <v>33297</v>
      </c>
      <c r="F190" s="5">
        <v>37715</v>
      </c>
      <c r="G190" s="2"/>
      <c r="H190" s="1" t="s">
        <v>4</v>
      </c>
      <c r="I190" s="2"/>
      <c r="J190" s="1" t="s">
        <v>328</v>
      </c>
      <c r="K190" s="1" t="s">
        <v>545</v>
      </c>
      <c r="L190" s="2"/>
      <c r="M190" t="str">
        <f t="shared" si="6"/>
        <v/>
      </c>
      <c r="N190" t="str">
        <f t="shared" si="7"/>
        <v/>
      </c>
      <c r="O190" t="str">
        <f t="shared" si="8"/>
        <v>FJERN</v>
      </c>
      <c r="P190" s="1"/>
    </row>
    <row r="191" spans="1:16" ht="15" customHeight="1" x14ac:dyDescent="0.2">
      <c r="A191" s="1" t="s">
        <v>546</v>
      </c>
      <c r="B191" s="1" t="s">
        <v>547</v>
      </c>
      <c r="C191" s="1" t="s">
        <v>2</v>
      </c>
      <c r="D191" s="1" t="s">
        <v>3</v>
      </c>
      <c r="E191" s="5">
        <v>32107</v>
      </c>
      <c r="F191" s="5">
        <v>35118</v>
      </c>
      <c r="G191" s="2"/>
      <c r="H191" s="1" t="s">
        <v>4</v>
      </c>
      <c r="I191" s="2"/>
      <c r="J191" s="1" t="s">
        <v>548</v>
      </c>
      <c r="K191" s="1" t="s">
        <v>549</v>
      </c>
      <c r="L191" s="2"/>
      <c r="M191" t="str">
        <f t="shared" si="6"/>
        <v/>
      </c>
      <c r="N191" t="str">
        <f t="shared" si="7"/>
        <v/>
      </c>
      <c r="O191" t="str">
        <f t="shared" si="8"/>
        <v>FJERN</v>
      </c>
      <c r="P191" s="1"/>
    </row>
    <row r="192" spans="1:16" ht="15" customHeight="1" x14ac:dyDescent="0.2">
      <c r="A192" s="1" t="s">
        <v>550</v>
      </c>
      <c r="B192" s="1" t="s">
        <v>551</v>
      </c>
      <c r="C192" s="1" t="s">
        <v>9</v>
      </c>
      <c r="D192" s="1" t="s">
        <v>3</v>
      </c>
      <c r="E192" s="5">
        <v>32960</v>
      </c>
      <c r="F192" s="5">
        <v>38191</v>
      </c>
      <c r="G192" s="2"/>
      <c r="H192" s="1" t="s">
        <v>10</v>
      </c>
      <c r="I192" s="2"/>
      <c r="J192" s="1" t="s">
        <v>76</v>
      </c>
      <c r="K192" s="1" t="s">
        <v>552</v>
      </c>
      <c r="L192" s="2"/>
      <c r="M192" t="str">
        <f t="shared" si="6"/>
        <v/>
      </c>
      <c r="N192" t="str">
        <f t="shared" si="7"/>
        <v/>
      </c>
      <c r="O192" t="str">
        <f t="shared" si="8"/>
        <v>FJERN</v>
      </c>
      <c r="P192" s="1"/>
    </row>
    <row r="193" spans="1:16" ht="15" customHeight="1" x14ac:dyDescent="0.2">
      <c r="A193" s="1" t="s">
        <v>553</v>
      </c>
      <c r="B193" s="1" t="s">
        <v>554</v>
      </c>
      <c r="C193" s="1" t="s">
        <v>2</v>
      </c>
      <c r="D193" s="1" t="s">
        <v>3</v>
      </c>
      <c r="E193" s="5">
        <v>33407</v>
      </c>
      <c r="F193" s="5">
        <v>36139</v>
      </c>
      <c r="G193" s="2"/>
      <c r="H193" s="1" t="s">
        <v>4</v>
      </c>
      <c r="I193" s="2"/>
      <c r="J193" s="1" t="s">
        <v>51</v>
      </c>
      <c r="K193" s="1" t="s">
        <v>555</v>
      </c>
      <c r="L193" s="2"/>
      <c r="M193" t="str">
        <f t="shared" si="6"/>
        <v/>
      </c>
      <c r="N193" t="str">
        <f t="shared" si="7"/>
        <v/>
      </c>
      <c r="O193" t="str">
        <f t="shared" si="8"/>
        <v>FJERN</v>
      </c>
      <c r="P193" s="1"/>
    </row>
    <row r="194" spans="1:16" ht="15" customHeight="1" x14ac:dyDescent="0.2">
      <c r="A194" s="1" t="s">
        <v>556</v>
      </c>
      <c r="B194" s="1" t="s">
        <v>557</v>
      </c>
      <c r="C194" s="1" t="s">
        <v>2</v>
      </c>
      <c r="D194" s="1" t="s">
        <v>3</v>
      </c>
      <c r="E194" s="5">
        <v>32001</v>
      </c>
      <c r="F194" s="5">
        <v>38058</v>
      </c>
      <c r="G194" s="2"/>
      <c r="H194" s="1" t="s">
        <v>4</v>
      </c>
      <c r="I194" s="2"/>
      <c r="J194" s="1" t="s">
        <v>23</v>
      </c>
      <c r="K194" s="1" t="s">
        <v>558</v>
      </c>
      <c r="L194" s="2"/>
      <c r="M194" t="str">
        <f t="shared" si="6"/>
        <v/>
      </c>
      <c r="N194" t="str">
        <f t="shared" si="7"/>
        <v/>
      </c>
      <c r="O194" t="str">
        <f t="shared" si="8"/>
        <v>FJERN</v>
      </c>
      <c r="P194" s="1"/>
    </row>
    <row r="195" spans="1:16" ht="15" customHeight="1" x14ac:dyDescent="0.2">
      <c r="A195" s="1" t="s">
        <v>559</v>
      </c>
      <c r="B195" s="1" t="s">
        <v>560</v>
      </c>
      <c r="C195" s="1" t="s">
        <v>2</v>
      </c>
      <c r="D195" s="1" t="s">
        <v>3</v>
      </c>
      <c r="E195" s="5">
        <v>32105</v>
      </c>
      <c r="F195" s="5">
        <v>38489</v>
      </c>
      <c r="G195" s="2"/>
      <c r="H195" s="1" t="s">
        <v>4</v>
      </c>
      <c r="I195" s="2"/>
      <c r="J195" s="1" t="s">
        <v>122</v>
      </c>
      <c r="K195" s="1" t="s">
        <v>561</v>
      </c>
      <c r="L195" s="2"/>
      <c r="M195" t="str">
        <f t="shared" ref="M195:M258" si="9">IF(OR(G195="",L195=""),"",G195*L195)</f>
        <v/>
      </c>
      <c r="N195" t="str">
        <f t="shared" ref="N195:N258" si="10">IF(M195="","",IF(H195="DKK",M195/7.45,IF(H195="SEK",M195/11.3,M195)))</f>
        <v/>
      </c>
      <c r="O195" t="str">
        <f t="shared" ref="O195:O258" si="11">IF(AND(E195&lt;=DATE(2024,12,31),F195&gt;=DATE(2010,1,1),D195="SHARE",N195&gt;=100000),"BEHOLD","FJERN")</f>
        <v>FJERN</v>
      </c>
      <c r="P195" s="1" t="s">
        <v>5492</v>
      </c>
    </row>
    <row r="196" spans="1:16" ht="15" customHeight="1" x14ac:dyDescent="0.2">
      <c r="A196" s="1" t="s">
        <v>562</v>
      </c>
      <c r="B196" s="1" t="s">
        <v>563</v>
      </c>
      <c r="C196" s="1" t="s">
        <v>2</v>
      </c>
      <c r="D196" s="1" t="s">
        <v>3</v>
      </c>
      <c r="E196" s="5">
        <v>31049</v>
      </c>
      <c r="F196" s="5">
        <v>46155</v>
      </c>
      <c r="G196" s="2">
        <v>175.7304</v>
      </c>
      <c r="H196" s="1" t="s">
        <v>4</v>
      </c>
      <c r="I196" s="2">
        <v>15544.157326250001</v>
      </c>
      <c r="J196" s="1" t="s">
        <v>38</v>
      </c>
      <c r="K196" s="1" t="s">
        <v>564</v>
      </c>
      <c r="L196" s="2">
        <v>637054.80000000005</v>
      </c>
      <c r="M196">
        <f t="shared" si="9"/>
        <v>111949894.82592002</v>
      </c>
      <c r="N196">
        <f t="shared" si="10"/>
        <v>15026831.520257721</v>
      </c>
      <c r="O196" t="str">
        <f t="shared" si="11"/>
        <v>BEHOLD</v>
      </c>
      <c r="P196" s="1" t="s">
        <v>5493</v>
      </c>
    </row>
    <row r="197" spans="1:16" ht="15" customHeight="1" x14ac:dyDescent="0.2">
      <c r="A197" s="1" t="s">
        <v>565</v>
      </c>
      <c r="B197" s="1" t="s">
        <v>566</v>
      </c>
      <c r="C197" s="1" t="s">
        <v>2</v>
      </c>
      <c r="D197" s="1" t="s">
        <v>3</v>
      </c>
      <c r="E197" s="5">
        <v>33088</v>
      </c>
      <c r="F197" s="5">
        <v>40528</v>
      </c>
      <c r="G197" s="2">
        <v>66.508489999999995</v>
      </c>
      <c r="H197" s="1" t="s">
        <v>4</v>
      </c>
      <c r="I197" s="2"/>
      <c r="J197" s="1" t="s">
        <v>15</v>
      </c>
      <c r="K197" s="1" t="s">
        <v>567</v>
      </c>
      <c r="L197" s="2">
        <v>2114.8870000000002</v>
      </c>
      <c r="M197">
        <f t="shared" si="9"/>
        <v>140657.94089063001</v>
      </c>
      <c r="N197">
        <f t="shared" si="10"/>
        <v>18880.260522232216</v>
      </c>
      <c r="O197" t="str">
        <f t="shared" si="11"/>
        <v>FJERN</v>
      </c>
      <c r="P197" s="1" t="s">
        <v>5494</v>
      </c>
    </row>
    <row r="198" spans="1:16" ht="15" customHeight="1" x14ac:dyDescent="0.2">
      <c r="A198" s="1" t="s">
        <v>568</v>
      </c>
      <c r="B198" s="1" t="s">
        <v>569</v>
      </c>
      <c r="C198" s="1" t="s">
        <v>9</v>
      </c>
      <c r="D198" s="1" t="s">
        <v>3</v>
      </c>
      <c r="E198" s="5">
        <v>31049</v>
      </c>
      <c r="F198" s="5">
        <v>33689</v>
      </c>
      <c r="G198" s="2"/>
      <c r="H198" s="1" t="s">
        <v>10</v>
      </c>
      <c r="I198" s="2"/>
      <c r="J198" s="1" t="s">
        <v>19</v>
      </c>
      <c r="K198" s="1"/>
      <c r="L198" s="2"/>
      <c r="M198" t="str">
        <f t="shared" si="9"/>
        <v/>
      </c>
      <c r="N198" t="str">
        <f t="shared" si="10"/>
        <v/>
      </c>
      <c r="O198" t="str">
        <f t="shared" si="11"/>
        <v>FJERN</v>
      </c>
      <c r="P198" s="1"/>
    </row>
    <row r="199" spans="1:16" ht="15" customHeight="1" x14ac:dyDescent="0.2">
      <c r="A199" s="1" t="s">
        <v>570</v>
      </c>
      <c r="B199" s="1" t="s">
        <v>571</v>
      </c>
      <c r="C199" s="1" t="s">
        <v>9</v>
      </c>
      <c r="D199" s="1" t="s">
        <v>3</v>
      </c>
      <c r="E199" s="5">
        <v>32108</v>
      </c>
      <c r="F199" s="5">
        <v>33683</v>
      </c>
      <c r="G199" s="2"/>
      <c r="H199" s="1" t="s">
        <v>10</v>
      </c>
      <c r="I199" s="2"/>
      <c r="J199" s="1" t="s">
        <v>19</v>
      </c>
      <c r="K199" s="1" t="s">
        <v>572</v>
      </c>
      <c r="L199" s="2"/>
      <c r="M199" t="str">
        <f t="shared" si="9"/>
        <v/>
      </c>
      <c r="N199" t="str">
        <f t="shared" si="10"/>
        <v/>
      </c>
      <c r="O199" t="str">
        <f t="shared" si="11"/>
        <v>FJERN</v>
      </c>
      <c r="P199" s="1"/>
    </row>
    <row r="200" spans="1:16" ht="15" customHeight="1" x14ac:dyDescent="0.2">
      <c r="A200" s="1" t="s">
        <v>573</v>
      </c>
      <c r="B200" s="1" t="s">
        <v>574</v>
      </c>
      <c r="C200" s="1" t="s">
        <v>9</v>
      </c>
      <c r="D200" s="1" t="s">
        <v>3</v>
      </c>
      <c r="E200" s="5">
        <v>32666</v>
      </c>
      <c r="F200" s="5">
        <v>34117</v>
      </c>
      <c r="G200" s="2"/>
      <c r="H200" s="1" t="s">
        <v>10</v>
      </c>
      <c r="I200" s="2"/>
      <c r="J200" s="1" t="s">
        <v>19</v>
      </c>
      <c r="K200" s="1"/>
      <c r="L200" s="2"/>
      <c r="M200" t="str">
        <f t="shared" si="9"/>
        <v/>
      </c>
      <c r="N200" t="str">
        <f t="shared" si="10"/>
        <v/>
      </c>
      <c r="O200" t="str">
        <f t="shared" si="11"/>
        <v>FJERN</v>
      </c>
      <c r="P200" s="1"/>
    </row>
    <row r="201" spans="1:16" ht="15" customHeight="1" x14ac:dyDescent="0.2">
      <c r="A201" s="1" t="s">
        <v>575</v>
      </c>
      <c r="B201" s="1" t="s">
        <v>576</v>
      </c>
      <c r="C201" s="1" t="s">
        <v>9</v>
      </c>
      <c r="D201" s="1" t="s">
        <v>3</v>
      </c>
      <c r="E201" s="5">
        <v>32666</v>
      </c>
      <c r="F201" s="5">
        <v>34117</v>
      </c>
      <c r="G201" s="2"/>
      <c r="H201" s="1" t="s">
        <v>10</v>
      </c>
      <c r="I201" s="2"/>
      <c r="J201" s="1" t="s">
        <v>19</v>
      </c>
      <c r="K201" s="1"/>
      <c r="L201" s="2"/>
      <c r="M201" t="str">
        <f t="shared" si="9"/>
        <v/>
      </c>
      <c r="N201" t="str">
        <f t="shared" si="10"/>
        <v/>
      </c>
      <c r="O201" t="str">
        <f t="shared" si="11"/>
        <v>FJERN</v>
      </c>
      <c r="P201" s="1"/>
    </row>
    <row r="202" spans="1:16" ht="15" customHeight="1" x14ac:dyDescent="0.2">
      <c r="A202" s="1" t="s">
        <v>577</v>
      </c>
      <c r="B202" s="1" t="s">
        <v>578</v>
      </c>
      <c r="C202" s="1" t="s">
        <v>2</v>
      </c>
      <c r="D202" s="1" t="s">
        <v>3</v>
      </c>
      <c r="E202" s="5">
        <v>35328</v>
      </c>
      <c r="F202" s="5">
        <v>42493</v>
      </c>
      <c r="G202" s="2">
        <v>109.43040000000001</v>
      </c>
      <c r="H202" s="1" t="s">
        <v>4</v>
      </c>
      <c r="I202" s="2"/>
      <c r="J202" s="1" t="s">
        <v>61</v>
      </c>
      <c r="K202" s="1" t="s">
        <v>579</v>
      </c>
      <c r="L202" s="2">
        <v>74.658450000000002</v>
      </c>
      <c r="M202">
        <f t="shared" si="9"/>
        <v>8169.9040468800004</v>
      </c>
      <c r="N202">
        <f t="shared" si="10"/>
        <v>1096.6314156885906</v>
      </c>
      <c r="O202" t="str">
        <f t="shared" si="11"/>
        <v>FJERN</v>
      </c>
      <c r="P202" s="1" t="s">
        <v>5495</v>
      </c>
    </row>
    <row r="203" spans="1:16" ht="15" customHeight="1" x14ac:dyDescent="0.2">
      <c r="A203" s="1" t="s">
        <v>580</v>
      </c>
      <c r="B203" s="1" t="s">
        <v>581</v>
      </c>
      <c r="C203" s="1" t="s">
        <v>9</v>
      </c>
      <c r="D203" s="1" t="s">
        <v>3</v>
      </c>
      <c r="E203" s="5">
        <v>36803</v>
      </c>
      <c r="F203" s="5">
        <v>38947</v>
      </c>
      <c r="G203" s="2"/>
      <c r="H203" s="1" t="s">
        <v>10</v>
      </c>
      <c r="I203" s="2"/>
      <c r="J203" s="1" t="s">
        <v>236</v>
      </c>
      <c r="K203" s="1" t="s">
        <v>582</v>
      </c>
      <c r="L203" s="2"/>
      <c r="M203" t="str">
        <f t="shared" si="9"/>
        <v/>
      </c>
      <c r="N203" t="str">
        <f t="shared" si="10"/>
        <v/>
      </c>
      <c r="O203" t="str">
        <f t="shared" si="11"/>
        <v>FJERN</v>
      </c>
      <c r="P203" s="1" t="s">
        <v>5496</v>
      </c>
    </row>
    <row r="204" spans="1:16" ht="15" customHeight="1" x14ac:dyDescent="0.2">
      <c r="A204" s="1" t="s">
        <v>583</v>
      </c>
      <c r="B204" s="1" t="s">
        <v>584</v>
      </c>
      <c r="C204" s="1" t="s">
        <v>2</v>
      </c>
      <c r="D204" s="1" t="s">
        <v>3</v>
      </c>
      <c r="E204" s="5">
        <v>32006</v>
      </c>
      <c r="F204" s="5">
        <v>35209</v>
      </c>
      <c r="G204" s="2"/>
      <c r="H204" s="1" t="s">
        <v>4</v>
      </c>
      <c r="I204" s="2"/>
      <c r="J204" s="1" t="s">
        <v>23</v>
      </c>
      <c r="K204" s="1" t="s">
        <v>585</v>
      </c>
      <c r="L204" s="2"/>
      <c r="M204" t="str">
        <f t="shared" si="9"/>
        <v/>
      </c>
      <c r="N204" t="str">
        <f t="shared" si="10"/>
        <v/>
      </c>
      <c r="O204" t="str">
        <f t="shared" si="11"/>
        <v>FJERN</v>
      </c>
      <c r="P204" s="1"/>
    </row>
    <row r="205" spans="1:16" ht="15" customHeight="1" x14ac:dyDescent="0.2">
      <c r="A205" s="1" t="s">
        <v>586</v>
      </c>
      <c r="B205" s="1" t="s">
        <v>587</v>
      </c>
      <c r="C205" s="1" t="s">
        <v>9</v>
      </c>
      <c r="D205" s="1" t="s">
        <v>3</v>
      </c>
      <c r="E205" s="5">
        <v>33315</v>
      </c>
      <c r="F205" s="5">
        <v>35096</v>
      </c>
      <c r="G205" s="2"/>
      <c r="H205" s="1" t="s">
        <v>10</v>
      </c>
      <c r="I205" s="2"/>
      <c r="J205" s="1" t="s">
        <v>184</v>
      </c>
      <c r="K205" s="1"/>
      <c r="L205" s="2"/>
      <c r="M205" t="str">
        <f t="shared" si="9"/>
        <v/>
      </c>
      <c r="N205" t="str">
        <f t="shared" si="10"/>
        <v/>
      </c>
      <c r="O205" t="str">
        <f t="shared" si="11"/>
        <v>FJERN</v>
      </c>
      <c r="P205" s="1"/>
    </row>
    <row r="206" spans="1:16" ht="15" customHeight="1" x14ac:dyDescent="0.2">
      <c r="A206" s="1" t="s">
        <v>588</v>
      </c>
      <c r="B206" s="1" t="s">
        <v>589</v>
      </c>
      <c r="C206" s="1" t="s">
        <v>9</v>
      </c>
      <c r="D206" s="1" t="s">
        <v>3</v>
      </c>
      <c r="E206" s="5">
        <v>32638</v>
      </c>
      <c r="F206" s="5">
        <v>33968</v>
      </c>
      <c r="G206" s="2"/>
      <c r="H206" s="1" t="s">
        <v>10</v>
      </c>
      <c r="I206" s="2"/>
      <c r="J206" s="1" t="s">
        <v>76</v>
      </c>
      <c r="K206" s="1" t="s">
        <v>590</v>
      </c>
      <c r="L206" s="2"/>
      <c r="M206" t="str">
        <f t="shared" si="9"/>
        <v/>
      </c>
      <c r="N206" t="str">
        <f t="shared" si="10"/>
        <v/>
      </c>
      <c r="O206" t="str">
        <f t="shared" si="11"/>
        <v>FJERN</v>
      </c>
      <c r="P206" s="1"/>
    </row>
    <row r="207" spans="1:16" ht="15" customHeight="1" x14ac:dyDescent="0.2">
      <c r="A207" s="1" t="s">
        <v>591</v>
      </c>
      <c r="B207" s="1" t="s">
        <v>592</v>
      </c>
      <c r="C207" s="1" t="s">
        <v>9</v>
      </c>
      <c r="D207" s="1" t="s">
        <v>3</v>
      </c>
      <c r="E207" s="5">
        <v>32465</v>
      </c>
      <c r="F207" s="5">
        <v>33959</v>
      </c>
      <c r="G207" s="2"/>
      <c r="H207" s="1" t="s">
        <v>10</v>
      </c>
      <c r="I207" s="2"/>
      <c r="J207" s="1" t="s">
        <v>76</v>
      </c>
      <c r="K207" s="1" t="s">
        <v>593</v>
      </c>
      <c r="L207" s="2"/>
      <c r="M207" t="str">
        <f t="shared" si="9"/>
        <v/>
      </c>
      <c r="N207" t="str">
        <f t="shared" si="10"/>
        <v/>
      </c>
      <c r="O207" t="str">
        <f t="shared" si="11"/>
        <v>FJERN</v>
      </c>
      <c r="P207" s="1"/>
    </row>
    <row r="208" spans="1:16" ht="15" customHeight="1" x14ac:dyDescent="0.2">
      <c r="A208" s="1" t="s">
        <v>594</v>
      </c>
      <c r="B208" s="1" t="s">
        <v>595</v>
      </c>
      <c r="C208" s="1" t="s">
        <v>9</v>
      </c>
      <c r="D208" s="1" t="s">
        <v>3</v>
      </c>
      <c r="E208" s="5">
        <v>33441</v>
      </c>
      <c r="F208" s="5">
        <v>33764</v>
      </c>
      <c r="G208" s="2"/>
      <c r="H208" s="1" t="s">
        <v>10</v>
      </c>
      <c r="I208" s="2"/>
      <c r="J208" s="1" t="s">
        <v>76</v>
      </c>
      <c r="K208" s="1"/>
      <c r="L208" s="2"/>
      <c r="M208" t="str">
        <f t="shared" si="9"/>
        <v/>
      </c>
      <c r="N208" t="str">
        <f t="shared" si="10"/>
        <v/>
      </c>
      <c r="O208" t="str">
        <f t="shared" si="11"/>
        <v>FJERN</v>
      </c>
      <c r="P208" s="1"/>
    </row>
    <row r="209" spans="1:16" ht="15" customHeight="1" x14ac:dyDescent="0.2">
      <c r="A209" s="1" t="s">
        <v>596</v>
      </c>
      <c r="B209" s="1" t="s">
        <v>597</v>
      </c>
      <c r="C209" s="1" t="s">
        <v>2</v>
      </c>
      <c r="D209" s="1" t="s">
        <v>3</v>
      </c>
      <c r="E209" s="5">
        <v>32231</v>
      </c>
      <c r="F209" s="5">
        <v>36951</v>
      </c>
      <c r="G209" s="2"/>
      <c r="H209" s="1" t="s">
        <v>4</v>
      </c>
      <c r="I209" s="2"/>
      <c r="J209" s="1" t="s">
        <v>201</v>
      </c>
      <c r="K209" s="1" t="s">
        <v>598</v>
      </c>
      <c r="L209" s="2"/>
      <c r="M209" t="str">
        <f t="shared" si="9"/>
        <v/>
      </c>
      <c r="N209" t="str">
        <f t="shared" si="10"/>
        <v/>
      </c>
      <c r="O209" t="str">
        <f t="shared" si="11"/>
        <v>FJERN</v>
      </c>
      <c r="P209" s="1"/>
    </row>
    <row r="210" spans="1:16" ht="15" customHeight="1" x14ac:dyDescent="0.2">
      <c r="A210" s="1" t="s">
        <v>599</v>
      </c>
      <c r="B210" s="1" t="s">
        <v>600</v>
      </c>
      <c r="C210" s="1" t="s">
        <v>9</v>
      </c>
      <c r="D210" s="1" t="s">
        <v>3</v>
      </c>
      <c r="E210" s="5">
        <v>34652</v>
      </c>
      <c r="F210" s="5">
        <v>36759</v>
      </c>
      <c r="G210" s="2"/>
      <c r="H210" s="1" t="s">
        <v>10</v>
      </c>
      <c r="I210" s="2"/>
      <c r="J210" s="1" t="s">
        <v>11</v>
      </c>
      <c r="K210" s="1"/>
      <c r="L210" s="2"/>
      <c r="M210" t="str">
        <f t="shared" si="9"/>
        <v/>
      </c>
      <c r="N210" t="str">
        <f t="shared" si="10"/>
        <v/>
      </c>
      <c r="O210" t="str">
        <f t="shared" si="11"/>
        <v>FJERN</v>
      </c>
      <c r="P210" s="1"/>
    </row>
    <row r="211" spans="1:16" ht="15" customHeight="1" x14ac:dyDescent="0.2">
      <c r="A211" s="1" t="s">
        <v>601</v>
      </c>
      <c r="B211" s="1" t="s">
        <v>602</v>
      </c>
      <c r="C211" s="1" t="s">
        <v>9</v>
      </c>
      <c r="D211" s="1" t="s">
        <v>3</v>
      </c>
      <c r="E211" s="5">
        <v>34263</v>
      </c>
      <c r="F211" s="5">
        <v>35663</v>
      </c>
      <c r="G211" s="2"/>
      <c r="H211" s="1" t="s">
        <v>10</v>
      </c>
      <c r="I211" s="2"/>
      <c r="J211" s="1" t="s">
        <v>86</v>
      </c>
      <c r="K211" s="1"/>
      <c r="L211" s="2"/>
      <c r="M211" t="str">
        <f t="shared" si="9"/>
        <v/>
      </c>
      <c r="N211" t="str">
        <f t="shared" si="10"/>
        <v/>
      </c>
      <c r="O211" t="str">
        <f t="shared" si="11"/>
        <v>FJERN</v>
      </c>
      <c r="P211" s="1"/>
    </row>
    <row r="212" spans="1:16" ht="15" customHeight="1" x14ac:dyDescent="0.2">
      <c r="A212" s="1" t="s">
        <v>603</v>
      </c>
      <c r="B212" s="1" t="s">
        <v>604</v>
      </c>
      <c r="C212" s="1" t="s">
        <v>9</v>
      </c>
      <c r="D212" s="1" t="s">
        <v>3</v>
      </c>
      <c r="E212" s="5">
        <v>36817</v>
      </c>
      <c r="F212" s="5">
        <v>39038</v>
      </c>
      <c r="G212" s="2"/>
      <c r="H212" s="1" t="s">
        <v>10</v>
      </c>
      <c r="I212" s="2"/>
      <c r="J212" s="1" t="s">
        <v>64</v>
      </c>
      <c r="K212" s="1" t="s">
        <v>605</v>
      </c>
      <c r="L212" s="2"/>
      <c r="M212" t="str">
        <f t="shared" si="9"/>
        <v/>
      </c>
      <c r="N212" t="str">
        <f t="shared" si="10"/>
        <v/>
      </c>
      <c r="O212" t="str">
        <f t="shared" si="11"/>
        <v>FJERN</v>
      </c>
      <c r="P212" s="1" t="s">
        <v>5497</v>
      </c>
    </row>
    <row r="213" spans="1:16" ht="15" customHeight="1" x14ac:dyDescent="0.2">
      <c r="A213" s="1" t="s">
        <v>606</v>
      </c>
      <c r="B213" s="1" t="s">
        <v>607</v>
      </c>
      <c r="C213" s="1" t="s">
        <v>9</v>
      </c>
      <c r="D213" s="1" t="s">
        <v>3</v>
      </c>
      <c r="E213" s="5">
        <v>33528</v>
      </c>
      <c r="F213" s="5">
        <v>37092</v>
      </c>
      <c r="G213" s="2"/>
      <c r="H213" s="1" t="s">
        <v>10</v>
      </c>
      <c r="I213" s="2"/>
      <c r="J213" s="1" t="s">
        <v>86</v>
      </c>
      <c r="K213" s="1"/>
      <c r="L213" s="2"/>
      <c r="M213" t="str">
        <f t="shared" si="9"/>
        <v/>
      </c>
      <c r="N213" t="str">
        <f t="shared" si="10"/>
        <v/>
      </c>
      <c r="O213" t="str">
        <f t="shared" si="11"/>
        <v>FJERN</v>
      </c>
      <c r="P213" s="1" t="s">
        <v>5498</v>
      </c>
    </row>
    <row r="214" spans="1:16" ht="15" customHeight="1" x14ac:dyDescent="0.2">
      <c r="A214" s="1" t="s">
        <v>608</v>
      </c>
      <c r="B214" s="1" t="s">
        <v>609</v>
      </c>
      <c r="C214" s="1" t="s">
        <v>9</v>
      </c>
      <c r="D214" s="1" t="s">
        <v>3</v>
      </c>
      <c r="E214" s="5">
        <v>34745</v>
      </c>
      <c r="F214" s="5">
        <v>46155</v>
      </c>
      <c r="G214" s="2">
        <v>162.33930000000001</v>
      </c>
      <c r="H214" s="1" t="s">
        <v>10</v>
      </c>
      <c r="I214" s="2">
        <v>1908</v>
      </c>
      <c r="J214" s="1" t="s">
        <v>548</v>
      </c>
      <c r="K214" s="1" t="s">
        <v>610</v>
      </c>
      <c r="L214" s="2">
        <v>3577.4580000000001</v>
      </c>
      <c r="M214">
        <f t="shared" si="9"/>
        <v>580762.02749940008</v>
      </c>
      <c r="N214">
        <f t="shared" si="10"/>
        <v>51394.869690212392</v>
      </c>
      <c r="O214" t="str">
        <f t="shared" si="11"/>
        <v>FJERN</v>
      </c>
      <c r="P214" s="1" t="s">
        <v>5499</v>
      </c>
    </row>
    <row r="215" spans="1:16" ht="15" customHeight="1" x14ac:dyDescent="0.2">
      <c r="A215" s="1" t="s">
        <v>611</v>
      </c>
      <c r="B215" s="1" t="s">
        <v>612</v>
      </c>
      <c r="C215" s="1" t="s">
        <v>9</v>
      </c>
      <c r="D215" s="1" t="s">
        <v>3</v>
      </c>
      <c r="E215" s="5">
        <v>34284</v>
      </c>
      <c r="F215" s="5">
        <v>36917</v>
      </c>
      <c r="G215" s="2"/>
      <c r="H215" s="1" t="s">
        <v>10</v>
      </c>
      <c r="I215" s="2"/>
      <c r="J215" s="1" t="s">
        <v>122</v>
      </c>
      <c r="K215" s="1"/>
      <c r="L215" s="2"/>
      <c r="M215" t="str">
        <f t="shared" si="9"/>
        <v/>
      </c>
      <c r="N215" t="str">
        <f t="shared" si="10"/>
        <v/>
      </c>
      <c r="O215" t="str">
        <f t="shared" si="11"/>
        <v>FJERN</v>
      </c>
      <c r="P215" s="1"/>
    </row>
    <row r="216" spans="1:16" ht="15" customHeight="1" x14ac:dyDescent="0.2">
      <c r="A216" s="1" t="s">
        <v>613</v>
      </c>
      <c r="B216" s="1" t="s">
        <v>614</v>
      </c>
      <c r="C216" s="1" t="s">
        <v>9</v>
      </c>
      <c r="D216" s="1" t="s">
        <v>3</v>
      </c>
      <c r="E216" s="5">
        <v>34050</v>
      </c>
      <c r="F216" s="5">
        <v>35464</v>
      </c>
      <c r="G216" s="2"/>
      <c r="H216" s="1" t="s">
        <v>10</v>
      </c>
      <c r="I216" s="2"/>
      <c r="J216" s="1" t="s">
        <v>61</v>
      </c>
      <c r="K216" s="1"/>
      <c r="L216" s="2"/>
      <c r="M216" t="str">
        <f t="shared" si="9"/>
        <v/>
      </c>
      <c r="N216" t="str">
        <f t="shared" si="10"/>
        <v/>
      </c>
      <c r="O216" t="str">
        <f t="shared" si="11"/>
        <v>FJERN</v>
      </c>
      <c r="P216" s="1"/>
    </row>
    <row r="217" spans="1:16" ht="15" customHeight="1" x14ac:dyDescent="0.2">
      <c r="A217" s="1" t="s">
        <v>615</v>
      </c>
      <c r="B217" s="1" t="s">
        <v>616</v>
      </c>
      <c r="C217" s="1" t="s">
        <v>2</v>
      </c>
      <c r="D217" s="1" t="s">
        <v>3</v>
      </c>
      <c r="E217" s="5">
        <v>33137</v>
      </c>
      <c r="F217" s="5">
        <v>37335</v>
      </c>
      <c r="G217" s="2"/>
      <c r="H217" s="1" t="s">
        <v>4</v>
      </c>
      <c r="I217" s="2"/>
      <c r="J217" s="1" t="s">
        <v>15</v>
      </c>
      <c r="K217" s="1" t="s">
        <v>617</v>
      </c>
      <c r="L217" s="2"/>
      <c r="M217" t="str">
        <f t="shared" si="9"/>
        <v/>
      </c>
      <c r="N217" t="str">
        <f t="shared" si="10"/>
        <v/>
      </c>
      <c r="O217" t="str">
        <f t="shared" si="11"/>
        <v>FJERN</v>
      </c>
      <c r="P217" s="1"/>
    </row>
    <row r="218" spans="1:16" ht="15" customHeight="1" x14ac:dyDescent="0.2">
      <c r="A218" s="1" t="s">
        <v>618</v>
      </c>
      <c r="B218" s="1" t="s">
        <v>619</v>
      </c>
      <c r="C218" s="1" t="s">
        <v>2</v>
      </c>
      <c r="D218" s="1" t="s">
        <v>3</v>
      </c>
      <c r="E218" s="5">
        <v>34465</v>
      </c>
      <c r="F218" s="5">
        <v>46155</v>
      </c>
      <c r="G218" s="2">
        <v>482.11709999999999</v>
      </c>
      <c r="H218" s="1" t="s">
        <v>4</v>
      </c>
      <c r="I218" s="2">
        <v>4632.7672599999996</v>
      </c>
      <c r="J218" s="1" t="s">
        <v>15</v>
      </c>
      <c r="K218" s="1" t="s">
        <v>620</v>
      </c>
      <c r="L218" s="2">
        <v>141.96190000000001</v>
      </c>
      <c r="M218">
        <f t="shared" si="9"/>
        <v>68442.259538490005</v>
      </c>
      <c r="N218">
        <f t="shared" si="10"/>
        <v>9186.8804749651008</v>
      </c>
      <c r="O218" t="str">
        <f t="shared" si="11"/>
        <v>FJERN</v>
      </c>
      <c r="P218" s="1" t="s">
        <v>5500</v>
      </c>
    </row>
    <row r="219" spans="1:16" ht="15" customHeight="1" x14ac:dyDescent="0.2">
      <c r="A219" s="1" t="s">
        <v>621</v>
      </c>
      <c r="B219" s="1" t="s">
        <v>622</v>
      </c>
      <c r="C219" s="1" t="s">
        <v>9</v>
      </c>
      <c r="D219" s="1" t="s">
        <v>3</v>
      </c>
      <c r="E219" s="5">
        <v>34528</v>
      </c>
      <c r="F219" s="5">
        <v>36838</v>
      </c>
      <c r="G219" s="2"/>
      <c r="H219" s="1" t="s">
        <v>10</v>
      </c>
      <c r="I219" s="2"/>
      <c r="J219" s="1" t="s">
        <v>23</v>
      </c>
      <c r="K219" s="1" t="s">
        <v>623</v>
      </c>
      <c r="L219" s="2"/>
      <c r="M219" t="str">
        <f t="shared" si="9"/>
        <v/>
      </c>
      <c r="N219" t="str">
        <f t="shared" si="10"/>
        <v/>
      </c>
      <c r="O219" t="str">
        <f t="shared" si="11"/>
        <v>FJERN</v>
      </c>
      <c r="P219" s="1"/>
    </row>
    <row r="220" spans="1:16" ht="15" customHeight="1" x14ac:dyDescent="0.2">
      <c r="A220" s="1" t="s">
        <v>624</v>
      </c>
      <c r="B220" s="1" t="s">
        <v>625</v>
      </c>
      <c r="C220" s="1" t="s">
        <v>9</v>
      </c>
      <c r="D220" s="1" t="s">
        <v>3</v>
      </c>
      <c r="E220" s="5">
        <v>34080</v>
      </c>
      <c r="F220" s="5">
        <v>35899</v>
      </c>
      <c r="G220" s="2"/>
      <c r="H220" s="1" t="s">
        <v>10</v>
      </c>
      <c r="I220" s="2"/>
      <c r="J220" s="1" t="s">
        <v>11</v>
      </c>
      <c r="K220" s="1"/>
      <c r="L220" s="2"/>
      <c r="M220" t="str">
        <f t="shared" si="9"/>
        <v/>
      </c>
      <c r="N220" t="str">
        <f t="shared" si="10"/>
        <v/>
      </c>
      <c r="O220" t="str">
        <f t="shared" si="11"/>
        <v>FJERN</v>
      </c>
      <c r="P220" s="1"/>
    </row>
    <row r="221" spans="1:16" ht="15" customHeight="1" x14ac:dyDescent="0.2">
      <c r="A221" s="1" t="s">
        <v>626</v>
      </c>
      <c r="B221" s="1" t="s">
        <v>627</v>
      </c>
      <c r="C221" s="1" t="s">
        <v>2</v>
      </c>
      <c r="D221" s="1" t="s">
        <v>3</v>
      </c>
      <c r="E221" s="5">
        <v>32100</v>
      </c>
      <c r="F221" s="5">
        <v>36502</v>
      </c>
      <c r="G221" s="2"/>
      <c r="H221" s="1" t="s">
        <v>4</v>
      </c>
      <c r="I221" s="2"/>
      <c r="J221" s="1" t="s">
        <v>23</v>
      </c>
      <c r="K221" s="1"/>
      <c r="L221" s="2"/>
      <c r="M221" t="str">
        <f t="shared" si="9"/>
        <v/>
      </c>
      <c r="N221" t="str">
        <f t="shared" si="10"/>
        <v/>
      </c>
      <c r="O221" t="str">
        <f t="shared" si="11"/>
        <v>FJERN</v>
      </c>
      <c r="P221" s="1"/>
    </row>
    <row r="222" spans="1:16" ht="15" customHeight="1" x14ac:dyDescent="0.2">
      <c r="A222" s="1" t="s">
        <v>628</v>
      </c>
      <c r="B222" s="1" t="s">
        <v>629</v>
      </c>
      <c r="C222" s="1" t="s">
        <v>2</v>
      </c>
      <c r="D222" s="1" t="s">
        <v>3</v>
      </c>
      <c r="E222" s="5">
        <v>33001</v>
      </c>
      <c r="F222" s="5">
        <v>39559</v>
      </c>
      <c r="G222" s="2"/>
      <c r="H222" s="1" t="s">
        <v>4</v>
      </c>
      <c r="I222" s="2"/>
      <c r="J222" s="1" t="s">
        <v>5</v>
      </c>
      <c r="K222" s="1" t="s">
        <v>630</v>
      </c>
      <c r="L222" s="2"/>
      <c r="M222" t="str">
        <f t="shared" si="9"/>
        <v/>
      </c>
      <c r="N222" t="str">
        <f t="shared" si="10"/>
        <v/>
      </c>
      <c r="O222" t="str">
        <f t="shared" si="11"/>
        <v>FJERN</v>
      </c>
      <c r="P222" s="1" t="s">
        <v>5501</v>
      </c>
    </row>
    <row r="223" spans="1:16" ht="15" customHeight="1" x14ac:dyDescent="0.2">
      <c r="A223" s="1" t="s">
        <v>631</v>
      </c>
      <c r="B223" s="1" t="s">
        <v>632</v>
      </c>
      <c r="C223" s="1" t="s">
        <v>9</v>
      </c>
      <c r="D223" s="1" t="s">
        <v>3</v>
      </c>
      <c r="E223" s="5">
        <v>32784</v>
      </c>
      <c r="F223" s="5">
        <v>36321</v>
      </c>
      <c r="G223" s="2"/>
      <c r="H223" s="1" t="s">
        <v>10</v>
      </c>
      <c r="I223" s="2"/>
      <c r="J223" s="1" t="s">
        <v>15</v>
      </c>
      <c r="K223" s="1"/>
      <c r="L223" s="2"/>
      <c r="M223" t="str">
        <f t="shared" si="9"/>
        <v/>
      </c>
      <c r="N223" t="str">
        <f t="shared" si="10"/>
        <v/>
      </c>
      <c r="O223" t="str">
        <f t="shared" si="11"/>
        <v>FJERN</v>
      </c>
      <c r="P223" s="1"/>
    </row>
    <row r="224" spans="1:16" ht="15" customHeight="1" x14ac:dyDescent="0.2">
      <c r="A224" s="1" t="s">
        <v>633</v>
      </c>
      <c r="B224" s="1" t="s">
        <v>634</v>
      </c>
      <c r="C224" s="1" t="s">
        <v>9</v>
      </c>
      <c r="D224" s="1" t="s">
        <v>3</v>
      </c>
      <c r="E224" s="5">
        <v>32512</v>
      </c>
      <c r="F224" s="5">
        <v>46155</v>
      </c>
      <c r="G224" s="2">
        <v>297.00799999999998</v>
      </c>
      <c r="H224" s="1" t="s">
        <v>10</v>
      </c>
      <c r="I224" s="2">
        <v>126852</v>
      </c>
      <c r="J224" s="1" t="s">
        <v>76</v>
      </c>
      <c r="K224" s="1" t="s">
        <v>635</v>
      </c>
      <c r="L224" s="2">
        <v>138822.20000000001</v>
      </c>
      <c r="M224">
        <f t="shared" si="9"/>
        <v>41231303.977600001</v>
      </c>
      <c r="N224">
        <f t="shared" si="10"/>
        <v>3648787.962619469</v>
      </c>
      <c r="O224" t="str">
        <f t="shared" si="11"/>
        <v>BEHOLD</v>
      </c>
      <c r="P224" s="1" t="s">
        <v>5502</v>
      </c>
    </row>
    <row r="225" spans="1:16" ht="15" customHeight="1" x14ac:dyDescent="0.2">
      <c r="A225" s="1" t="s">
        <v>636</v>
      </c>
      <c r="B225" s="1" t="s">
        <v>637</v>
      </c>
      <c r="C225" s="1" t="s">
        <v>9</v>
      </c>
      <c r="D225" s="1" t="s">
        <v>3</v>
      </c>
      <c r="E225" s="5">
        <v>33855</v>
      </c>
      <c r="F225" s="5">
        <v>36566</v>
      </c>
      <c r="G225" s="2"/>
      <c r="H225" s="1" t="s">
        <v>10</v>
      </c>
      <c r="I225" s="2"/>
      <c r="J225" s="1" t="s">
        <v>11</v>
      </c>
      <c r="K225" s="1"/>
      <c r="L225" s="2"/>
      <c r="M225" t="str">
        <f t="shared" si="9"/>
        <v/>
      </c>
      <c r="N225" t="str">
        <f t="shared" si="10"/>
        <v/>
      </c>
      <c r="O225" t="str">
        <f t="shared" si="11"/>
        <v>FJERN</v>
      </c>
      <c r="P225" s="1"/>
    </row>
    <row r="226" spans="1:16" ht="15" customHeight="1" x14ac:dyDescent="0.2">
      <c r="A226" s="1" t="s">
        <v>638</v>
      </c>
      <c r="B226" s="1" t="s">
        <v>639</v>
      </c>
      <c r="C226" s="1" t="s">
        <v>9</v>
      </c>
      <c r="D226" s="1" t="s">
        <v>255</v>
      </c>
      <c r="E226" s="5">
        <v>33553</v>
      </c>
      <c r="F226" s="5">
        <v>42538</v>
      </c>
      <c r="G226" s="2">
        <v>66.722040000000007</v>
      </c>
      <c r="H226" s="1" t="s">
        <v>10</v>
      </c>
      <c r="I226" s="2"/>
      <c r="J226" s="1" t="s">
        <v>76</v>
      </c>
      <c r="K226" s="1" t="s">
        <v>640</v>
      </c>
      <c r="L226" s="2">
        <v>2331.4989999999998</v>
      </c>
      <c r="M226">
        <f t="shared" si="9"/>
        <v>155562.36953796001</v>
      </c>
      <c r="N226">
        <f t="shared" si="10"/>
        <v>13766.581375040709</v>
      </c>
      <c r="O226" t="str">
        <f t="shared" si="11"/>
        <v>FJERN</v>
      </c>
      <c r="P226" s="1" t="s">
        <v>5503</v>
      </c>
    </row>
    <row r="227" spans="1:16" ht="15" customHeight="1" x14ac:dyDescent="0.2">
      <c r="A227" s="1" t="s">
        <v>641</v>
      </c>
      <c r="B227" s="1" t="s">
        <v>642</v>
      </c>
      <c r="C227" s="1" t="s">
        <v>2</v>
      </c>
      <c r="D227" s="1" t="s">
        <v>3</v>
      </c>
      <c r="E227" s="5">
        <v>36979</v>
      </c>
      <c r="F227" s="5">
        <v>37358</v>
      </c>
      <c r="G227" s="2"/>
      <c r="H227" s="1" t="s">
        <v>4</v>
      </c>
      <c r="I227" s="2"/>
      <c r="J227" s="1" t="s">
        <v>548</v>
      </c>
      <c r="K227" s="1" t="s">
        <v>643</v>
      </c>
      <c r="L227" s="2"/>
      <c r="M227" t="str">
        <f t="shared" si="9"/>
        <v/>
      </c>
      <c r="N227" t="str">
        <f t="shared" si="10"/>
        <v/>
      </c>
      <c r="O227" t="str">
        <f t="shared" si="11"/>
        <v>FJERN</v>
      </c>
      <c r="P227" s="1"/>
    </row>
    <row r="228" spans="1:16" ht="15" customHeight="1" x14ac:dyDescent="0.2">
      <c r="A228" s="1" t="s">
        <v>644</v>
      </c>
      <c r="B228" s="1" t="s">
        <v>645</v>
      </c>
      <c r="C228" s="1" t="s">
        <v>9</v>
      </c>
      <c r="D228" s="1" t="s">
        <v>3</v>
      </c>
      <c r="E228" s="5">
        <v>36818</v>
      </c>
      <c r="F228" s="5">
        <v>40977</v>
      </c>
      <c r="G228" s="2">
        <v>110.40130000000001</v>
      </c>
      <c r="H228" s="1" t="s">
        <v>10</v>
      </c>
      <c r="I228" s="2"/>
      <c r="J228" s="1" t="s">
        <v>236</v>
      </c>
      <c r="K228" s="1" t="s">
        <v>646</v>
      </c>
      <c r="L228" s="2">
        <v>96960.05</v>
      </c>
      <c r="M228">
        <f t="shared" si="9"/>
        <v>10704515.568065001</v>
      </c>
      <c r="N228">
        <f t="shared" si="10"/>
        <v>947302.26266061945</v>
      </c>
      <c r="O228" t="str">
        <f t="shared" si="11"/>
        <v>BEHOLD</v>
      </c>
      <c r="P228" s="1" t="s">
        <v>5504</v>
      </c>
    </row>
    <row r="229" spans="1:16" ht="15" customHeight="1" x14ac:dyDescent="0.2">
      <c r="A229" s="1" t="s">
        <v>647</v>
      </c>
      <c r="B229" s="1" t="s">
        <v>648</v>
      </c>
      <c r="C229" s="1" t="s">
        <v>2</v>
      </c>
      <c r="D229" s="1" t="s">
        <v>3</v>
      </c>
      <c r="E229" s="5">
        <v>32232</v>
      </c>
      <c r="F229" s="5">
        <v>46155</v>
      </c>
      <c r="G229" s="2">
        <v>415.81110000000001</v>
      </c>
      <c r="H229" s="1" t="s">
        <v>4</v>
      </c>
      <c r="I229" s="2">
        <v>755</v>
      </c>
      <c r="J229" s="1" t="s">
        <v>76</v>
      </c>
      <c r="K229" s="1" t="s">
        <v>649</v>
      </c>
      <c r="L229" s="2">
        <v>90.292379999999994</v>
      </c>
      <c r="M229">
        <f t="shared" si="9"/>
        <v>37544.573849417997</v>
      </c>
      <c r="N229">
        <f t="shared" si="10"/>
        <v>5039.5401140158383</v>
      </c>
      <c r="O229" t="str">
        <f t="shared" si="11"/>
        <v>FJERN</v>
      </c>
      <c r="P229" s="1" t="s">
        <v>5505</v>
      </c>
    </row>
    <row r="230" spans="1:16" ht="15" customHeight="1" x14ac:dyDescent="0.2">
      <c r="A230" s="1" t="s">
        <v>650</v>
      </c>
      <c r="B230" s="1" t="s">
        <v>651</v>
      </c>
      <c r="C230" s="1" t="s">
        <v>2</v>
      </c>
      <c r="D230" s="1" t="s">
        <v>3</v>
      </c>
      <c r="E230" s="5">
        <v>32105</v>
      </c>
      <c r="F230" s="5">
        <v>46155</v>
      </c>
      <c r="G230" s="2">
        <v>380.62619999999998</v>
      </c>
      <c r="H230" s="1" t="s">
        <v>4</v>
      </c>
      <c r="I230" s="2">
        <v>942.84193200000004</v>
      </c>
      <c r="J230" s="1" t="s">
        <v>51</v>
      </c>
      <c r="K230" s="1" t="s">
        <v>652</v>
      </c>
      <c r="L230" s="2">
        <v>653.38199999999995</v>
      </c>
      <c r="M230">
        <f t="shared" si="9"/>
        <v>248694.30780839996</v>
      </c>
      <c r="N230">
        <f t="shared" si="10"/>
        <v>33381.786283006702</v>
      </c>
      <c r="O230" t="str">
        <f t="shared" si="11"/>
        <v>FJERN</v>
      </c>
      <c r="P230" s="1" t="s">
        <v>5506</v>
      </c>
    </row>
    <row r="231" spans="1:16" ht="15" customHeight="1" x14ac:dyDescent="0.2">
      <c r="A231" s="1" t="s">
        <v>653</v>
      </c>
      <c r="B231" s="1" t="s">
        <v>654</v>
      </c>
      <c r="C231" s="1" t="s">
        <v>9</v>
      </c>
      <c r="D231" s="1" t="s">
        <v>3</v>
      </c>
      <c r="E231" s="5">
        <v>34499</v>
      </c>
      <c r="F231" s="5">
        <v>36839</v>
      </c>
      <c r="G231" s="2"/>
      <c r="H231" s="1" t="s">
        <v>10</v>
      </c>
      <c r="I231" s="2"/>
      <c r="J231" s="1" t="s">
        <v>61</v>
      </c>
      <c r="K231" s="1" t="s">
        <v>655</v>
      </c>
      <c r="L231" s="2"/>
      <c r="M231" t="str">
        <f t="shared" si="9"/>
        <v/>
      </c>
      <c r="N231" t="str">
        <f t="shared" si="10"/>
        <v/>
      </c>
      <c r="O231" t="str">
        <f t="shared" si="11"/>
        <v>FJERN</v>
      </c>
      <c r="P231" s="1"/>
    </row>
    <row r="232" spans="1:16" ht="15" customHeight="1" x14ac:dyDescent="0.2">
      <c r="A232" s="1" t="s">
        <v>656</v>
      </c>
      <c r="B232" s="1" t="s">
        <v>657</v>
      </c>
      <c r="C232" s="1" t="s">
        <v>2</v>
      </c>
      <c r="D232" s="1" t="s">
        <v>3</v>
      </c>
      <c r="E232" s="5">
        <v>34137</v>
      </c>
      <c r="F232" s="5">
        <v>45428</v>
      </c>
      <c r="G232" s="2">
        <v>19.66067</v>
      </c>
      <c r="H232" s="1" t="s">
        <v>4</v>
      </c>
      <c r="I232" s="2">
        <v>35.974649999999997</v>
      </c>
      <c r="J232" s="1" t="s">
        <v>289</v>
      </c>
      <c r="K232" s="1" t="s">
        <v>658</v>
      </c>
      <c r="L232" s="2">
        <v>1823.4860000000001</v>
      </c>
      <c r="M232">
        <f t="shared" si="9"/>
        <v>35850.956495620005</v>
      </c>
      <c r="N232">
        <f t="shared" si="10"/>
        <v>4812.2089255865776</v>
      </c>
      <c r="O232" t="str">
        <f t="shared" si="11"/>
        <v>FJERN</v>
      </c>
      <c r="P232" s="1" t="s">
        <v>5507</v>
      </c>
    </row>
    <row r="233" spans="1:16" ht="15" customHeight="1" x14ac:dyDescent="0.2">
      <c r="A233" s="1" t="s">
        <v>659</v>
      </c>
      <c r="B233" s="1" t="s">
        <v>660</v>
      </c>
      <c r="C233" s="1" t="s">
        <v>9</v>
      </c>
      <c r="D233" s="1" t="s">
        <v>3</v>
      </c>
      <c r="E233" s="5">
        <v>33668</v>
      </c>
      <c r="F233" s="5">
        <v>36620</v>
      </c>
      <c r="G233" s="2"/>
      <c r="H233" s="1" t="s">
        <v>10</v>
      </c>
      <c r="I233" s="2"/>
      <c r="J233" s="1" t="s">
        <v>391</v>
      </c>
      <c r="K233" s="1"/>
      <c r="L233" s="2"/>
      <c r="M233" t="str">
        <f t="shared" si="9"/>
        <v/>
      </c>
      <c r="N233" t="str">
        <f t="shared" si="10"/>
        <v/>
      </c>
      <c r="O233" t="str">
        <f t="shared" si="11"/>
        <v>FJERN</v>
      </c>
      <c r="P233" s="1"/>
    </row>
    <row r="234" spans="1:16" ht="15" customHeight="1" x14ac:dyDescent="0.2">
      <c r="A234" s="1" t="s">
        <v>661</v>
      </c>
      <c r="B234" s="1" t="s">
        <v>662</v>
      </c>
      <c r="C234" s="1" t="s">
        <v>9</v>
      </c>
      <c r="D234" s="1" t="s">
        <v>3</v>
      </c>
      <c r="E234" s="5">
        <v>31940</v>
      </c>
      <c r="F234" s="5">
        <v>33968</v>
      </c>
      <c r="G234" s="2"/>
      <c r="H234" s="1" t="s">
        <v>10</v>
      </c>
      <c r="I234" s="2"/>
      <c r="J234" s="1" t="s">
        <v>256</v>
      </c>
      <c r="K234" s="1"/>
      <c r="L234" s="2"/>
      <c r="M234" t="str">
        <f t="shared" si="9"/>
        <v/>
      </c>
      <c r="N234" t="str">
        <f t="shared" si="10"/>
        <v/>
      </c>
      <c r="O234" t="str">
        <f t="shared" si="11"/>
        <v>FJERN</v>
      </c>
      <c r="P234" s="1"/>
    </row>
    <row r="235" spans="1:16" ht="15" customHeight="1" x14ac:dyDescent="0.2">
      <c r="A235" s="1" t="s">
        <v>663</v>
      </c>
      <c r="B235" s="1" t="s">
        <v>664</v>
      </c>
      <c r="C235" s="1" t="s">
        <v>9</v>
      </c>
      <c r="D235" s="1" t="s">
        <v>3</v>
      </c>
      <c r="E235" s="5">
        <v>32800</v>
      </c>
      <c r="F235" s="5">
        <v>35983</v>
      </c>
      <c r="G235" s="2"/>
      <c r="H235" s="1" t="s">
        <v>10</v>
      </c>
      <c r="I235" s="2"/>
      <c r="J235" s="1" t="s">
        <v>256</v>
      </c>
      <c r="K235" s="1" t="s">
        <v>665</v>
      </c>
      <c r="L235" s="2"/>
      <c r="M235" t="str">
        <f t="shared" si="9"/>
        <v/>
      </c>
      <c r="N235" t="str">
        <f t="shared" si="10"/>
        <v/>
      </c>
      <c r="O235" t="str">
        <f t="shared" si="11"/>
        <v>FJERN</v>
      </c>
      <c r="P235" s="1"/>
    </row>
    <row r="236" spans="1:16" ht="15" customHeight="1" x14ac:dyDescent="0.2">
      <c r="A236" s="1" t="s">
        <v>666</v>
      </c>
      <c r="B236" s="1" t="s">
        <v>667</v>
      </c>
      <c r="C236" s="1" t="s">
        <v>9</v>
      </c>
      <c r="D236" s="1" t="s">
        <v>3</v>
      </c>
      <c r="E236" s="5">
        <v>33862</v>
      </c>
      <c r="F236" s="5">
        <v>36523</v>
      </c>
      <c r="G236" s="2"/>
      <c r="H236" s="1" t="s">
        <v>10</v>
      </c>
      <c r="I236" s="2"/>
      <c r="J236" s="1" t="s">
        <v>236</v>
      </c>
      <c r="K236" s="1"/>
      <c r="L236" s="2"/>
      <c r="M236" t="str">
        <f t="shared" si="9"/>
        <v/>
      </c>
      <c r="N236" t="str">
        <f t="shared" si="10"/>
        <v/>
      </c>
      <c r="O236" t="str">
        <f t="shared" si="11"/>
        <v>FJERN</v>
      </c>
      <c r="P236" s="1"/>
    </row>
    <row r="237" spans="1:16" ht="15" customHeight="1" x14ac:dyDescent="0.2">
      <c r="A237" s="1" t="s">
        <v>668</v>
      </c>
      <c r="B237" s="1" t="s">
        <v>669</v>
      </c>
      <c r="C237" s="1" t="s">
        <v>9</v>
      </c>
      <c r="D237" s="1" t="s">
        <v>3</v>
      </c>
      <c r="E237" s="5">
        <v>36917</v>
      </c>
      <c r="F237" s="5">
        <v>36917</v>
      </c>
      <c r="G237" s="2"/>
      <c r="H237" s="1" t="s">
        <v>10</v>
      </c>
      <c r="I237" s="2"/>
      <c r="J237" s="1" t="s">
        <v>548</v>
      </c>
      <c r="K237" s="1"/>
      <c r="L237" s="2"/>
      <c r="M237" t="str">
        <f t="shared" si="9"/>
        <v/>
      </c>
      <c r="N237" t="str">
        <f t="shared" si="10"/>
        <v/>
      </c>
      <c r="O237" t="str">
        <f t="shared" si="11"/>
        <v>FJERN</v>
      </c>
      <c r="P237" s="1"/>
    </row>
    <row r="238" spans="1:16" ht="15" customHeight="1" x14ac:dyDescent="0.2">
      <c r="A238" s="1" t="s">
        <v>670</v>
      </c>
      <c r="B238" s="1" t="s">
        <v>671</v>
      </c>
      <c r="C238" s="1" t="s">
        <v>2</v>
      </c>
      <c r="D238" s="1" t="s">
        <v>3</v>
      </c>
      <c r="E238" s="5">
        <v>34593</v>
      </c>
      <c r="F238" s="5">
        <v>42654</v>
      </c>
      <c r="G238" s="2">
        <v>36.263109999999998</v>
      </c>
      <c r="H238" s="1" t="s">
        <v>4</v>
      </c>
      <c r="I238" s="2"/>
      <c r="J238" s="1" t="s">
        <v>11</v>
      </c>
      <c r="K238" s="1" t="s">
        <v>672</v>
      </c>
      <c r="L238" s="2">
        <v>7938.5370000000003</v>
      </c>
      <c r="M238">
        <f t="shared" si="9"/>
        <v>287876.04047006997</v>
      </c>
      <c r="N238">
        <f t="shared" si="10"/>
        <v>38641.079257727513</v>
      </c>
      <c r="O238" t="str">
        <f t="shared" si="11"/>
        <v>FJERN</v>
      </c>
      <c r="P238" s="1" t="s">
        <v>5508</v>
      </c>
    </row>
    <row r="239" spans="1:16" ht="15" customHeight="1" x14ac:dyDescent="0.2">
      <c r="A239" s="1" t="s">
        <v>673</v>
      </c>
      <c r="B239" s="1" t="s">
        <v>674</v>
      </c>
      <c r="C239" s="1" t="s">
        <v>9</v>
      </c>
      <c r="D239" s="1" t="s">
        <v>3</v>
      </c>
      <c r="E239" s="5">
        <v>36263</v>
      </c>
      <c r="F239" s="5">
        <v>36263</v>
      </c>
      <c r="G239" s="2"/>
      <c r="H239" s="1" t="s">
        <v>10</v>
      </c>
      <c r="I239" s="2"/>
      <c r="J239" s="1" t="s">
        <v>176</v>
      </c>
      <c r="K239" s="1"/>
      <c r="L239" s="2"/>
      <c r="M239" t="str">
        <f t="shared" si="9"/>
        <v/>
      </c>
      <c r="N239" t="str">
        <f t="shared" si="10"/>
        <v/>
      </c>
      <c r="O239" t="str">
        <f t="shared" si="11"/>
        <v>FJERN</v>
      </c>
      <c r="P239" s="1"/>
    </row>
    <row r="240" spans="1:16" ht="15" customHeight="1" x14ac:dyDescent="0.2">
      <c r="A240" s="1" t="s">
        <v>675</v>
      </c>
      <c r="B240" s="1" t="s">
        <v>676</v>
      </c>
      <c r="C240" s="1" t="s">
        <v>2</v>
      </c>
      <c r="D240" s="1" t="s">
        <v>3</v>
      </c>
      <c r="E240" s="5">
        <v>32514</v>
      </c>
      <c r="F240" s="5">
        <v>36963</v>
      </c>
      <c r="G240" s="2"/>
      <c r="H240" s="1" t="s">
        <v>4</v>
      </c>
      <c r="I240" s="2"/>
      <c r="J240" s="1" t="s">
        <v>236</v>
      </c>
      <c r="K240" s="1"/>
      <c r="L240" s="2"/>
      <c r="M240" t="str">
        <f t="shared" si="9"/>
        <v/>
      </c>
      <c r="N240" t="str">
        <f t="shared" si="10"/>
        <v/>
      </c>
      <c r="O240" t="str">
        <f t="shared" si="11"/>
        <v>FJERN</v>
      </c>
      <c r="P240" s="1"/>
    </row>
    <row r="241" spans="1:16" ht="15" customHeight="1" x14ac:dyDescent="0.2">
      <c r="A241" s="1" t="s">
        <v>677</v>
      </c>
      <c r="B241" s="1" t="s">
        <v>678</v>
      </c>
      <c r="C241" s="1" t="s">
        <v>2</v>
      </c>
      <c r="D241" s="1" t="s">
        <v>3</v>
      </c>
      <c r="E241" s="5">
        <v>32104</v>
      </c>
      <c r="F241" s="5">
        <v>36630</v>
      </c>
      <c r="G241" s="2"/>
      <c r="H241" s="1" t="s">
        <v>4</v>
      </c>
      <c r="I241" s="2"/>
      <c r="J241" s="1" t="s">
        <v>86</v>
      </c>
      <c r="K241" s="1" t="s">
        <v>679</v>
      </c>
      <c r="L241" s="2"/>
      <c r="M241" t="str">
        <f t="shared" si="9"/>
        <v/>
      </c>
      <c r="N241" t="str">
        <f t="shared" si="10"/>
        <v/>
      </c>
      <c r="O241" t="str">
        <f t="shared" si="11"/>
        <v>FJERN</v>
      </c>
      <c r="P241" s="1"/>
    </row>
    <row r="242" spans="1:16" ht="15" customHeight="1" x14ac:dyDescent="0.2">
      <c r="A242" s="1" t="s">
        <v>680</v>
      </c>
      <c r="B242" s="1" t="s">
        <v>681</v>
      </c>
      <c r="C242" s="1" t="s">
        <v>9</v>
      </c>
      <c r="D242" s="1" t="s">
        <v>3</v>
      </c>
      <c r="E242" s="5">
        <v>34513</v>
      </c>
      <c r="F242" s="5">
        <v>37190</v>
      </c>
      <c r="G242" s="2"/>
      <c r="H242" s="1" t="s">
        <v>10</v>
      </c>
      <c r="I242" s="2"/>
      <c r="J242" s="1" t="s">
        <v>19</v>
      </c>
      <c r="K242" s="1"/>
      <c r="L242" s="2"/>
      <c r="M242" t="str">
        <f t="shared" si="9"/>
        <v/>
      </c>
      <c r="N242" t="str">
        <f t="shared" si="10"/>
        <v/>
      </c>
      <c r="O242" t="str">
        <f t="shared" si="11"/>
        <v>FJERN</v>
      </c>
      <c r="P242" s="1"/>
    </row>
    <row r="243" spans="1:16" ht="15" customHeight="1" x14ac:dyDescent="0.2">
      <c r="A243" s="1" t="s">
        <v>682</v>
      </c>
      <c r="B243" s="1" t="s">
        <v>683</v>
      </c>
      <c r="C243" s="1" t="s">
        <v>2</v>
      </c>
      <c r="D243" s="1" t="s">
        <v>3</v>
      </c>
      <c r="E243" s="5">
        <v>31049</v>
      </c>
      <c r="F243" s="5">
        <v>46155</v>
      </c>
      <c r="G243" s="2">
        <v>152.0067</v>
      </c>
      <c r="H243" s="1" t="s">
        <v>4</v>
      </c>
      <c r="I243" s="2">
        <v>259658.432758382</v>
      </c>
      <c r="J243" s="1" t="s">
        <v>15</v>
      </c>
      <c r="K243" s="1" t="s">
        <v>684</v>
      </c>
      <c r="L243" s="2">
        <v>1973865</v>
      </c>
      <c r="M243">
        <f t="shared" si="9"/>
        <v>300040704.8955</v>
      </c>
      <c r="N243">
        <f t="shared" si="10"/>
        <v>40273920.120201342</v>
      </c>
      <c r="O243" t="str">
        <f t="shared" si="11"/>
        <v>BEHOLD</v>
      </c>
      <c r="P243" s="1" t="s">
        <v>5509</v>
      </c>
    </row>
    <row r="244" spans="1:16" ht="15" customHeight="1" x14ac:dyDescent="0.2">
      <c r="A244" s="1" t="s">
        <v>685</v>
      </c>
      <c r="B244" s="1" t="s">
        <v>686</v>
      </c>
      <c r="C244" s="1" t="s">
        <v>2</v>
      </c>
      <c r="D244" s="1" t="s">
        <v>3</v>
      </c>
      <c r="E244" s="5">
        <v>32008</v>
      </c>
      <c r="F244" s="5">
        <v>37077</v>
      </c>
      <c r="G244" s="2"/>
      <c r="H244" s="1" t="s">
        <v>4</v>
      </c>
      <c r="I244" s="2"/>
      <c r="J244" s="1" t="s">
        <v>15</v>
      </c>
      <c r="K244" s="1" t="s">
        <v>687</v>
      </c>
      <c r="L244" s="2"/>
      <c r="M244" t="str">
        <f t="shared" si="9"/>
        <v/>
      </c>
      <c r="N244" t="str">
        <f t="shared" si="10"/>
        <v/>
      </c>
      <c r="O244" t="str">
        <f t="shared" si="11"/>
        <v>FJERN</v>
      </c>
      <c r="P244" s="1" t="s">
        <v>5510</v>
      </c>
    </row>
    <row r="245" spans="1:16" ht="15" customHeight="1" x14ac:dyDescent="0.2">
      <c r="A245" s="1" t="s">
        <v>688</v>
      </c>
      <c r="B245" s="1" t="s">
        <v>689</v>
      </c>
      <c r="C245" s="1" t="s">
        <v>9</v>
      </c>
      <c r="D245" s="1" t="s">
        <v>3</v>
      </c>
      <c r="E245" s="5">
        <v>33345</v>
      </c>
      <c r="F245" s="5">
        <v>46155</v>
      </c>
      <c r="G245" s="2">
        <v>21.81954</v>
      </c>
      <c r="H245" s="1" t="s">
        <v>10</v>
      </c>
      <c r="I245" s="2">
        <v>620.12292160000004</v>
      </c>
      <c r="J245" s="1" t="s">
        <v>76</v>
      </c>
      <c r="K245" s="1" t="s">
        <v>690</v>
      </c>
      <c r="L245" s="2">
        <v>9249.2649999999994</v>
      </c>
      <c r="M245">
        <f t="shared" si="9"/>
        <v>201814.70763809999</v>
      </c>
      <c r="N245">
        <f t="shared" si="10"/>
        <v>17859.708640539822</v>
      </c>
      <c r="O245" t="str">
        <f t="shared" si="11"/>
        <v>FJERN</v>
      </c>
      <c r="P245" s="1" t="s">
        <v>5511</v>
      </c>
    </row>
    <row r="246" spans="1:16" ht="15" customHeight="1" x14ac:dyDescent="0.2">
      <c r="A246" s="1" t="s">
        <v>691</v>
      </c>
      <c r="B246" s="1" t="s">
        <v>692</v>
      </c>
      <c r="C246" s="1" t="s">
        <v>2</v>
      </c>
      <c r="D246" s="1" t="s">
        <v>3</v>
      </c>
      <c r="E246" s="5">
        <v>33008</v>
      </c>
      <c r="F246" s="5">
        <v>39121</v>
      </c>
      <c r="G246" s="2"/>
      <c r="H246" s="1" t="s">
        <v>4</v>
      </c>
      <c r="I246" s="2"/>
      <c r="J246" s="1" t="s">
        <v>289</v>
      </c>
      <c r="K246" s="1" t="s">
        <v>693</v>
      </c>
      <c r="L246" s="2"/>
      <c r="M246" t="str">
        <f t="shared" si="9"/>
        <v/>
      </c>
      <c r="N246" t="str">
        <f t="shared" si="10"/>
        <v/>
      </c>
      <c r="O246" t="str">
        <f t="shared" si="11"/>
        <v>FJERN</v>
      </c>
      <c r="P246" s="1" t="s">
        <v>5512</v>
      </c>
    </row>
    <row r="247" spans="1:16" ht="15" customHeight="1" x14ac:dyDescent="0.2">
      <c r="A247" s="1" t="s">
        <v>694</v>
      </c>
      <c r="B247" s="1" t="s">
        <v>695</v>
      </c>
      <c r="C247" s="1" t="s">
        <v>2</v>
      </c>
      <c r="D247" s="1" t="s">
        <v>3</v>
      </c>
      <c r="E247" s="5">
        <v>36817</v>
      </c>
      <c r="F247" s="5">
        <v>46155</v>
      </c>
      <c r="G247" s="2">
        <v>1141.6279999999999</v>
      </c>
      <c r="H247" s="1" t="s">
        <v>4</v>
      </c>
      <c r="I247" s="2">
        <v>124901.719081</v>
      </c>
      <c r="J247" s="1" t="s">
        <v>366</v>
      </c>
      <c r="K247" s="1" t="s">
        <v>696</v>
      </c>
      <c r="L247" s="2">
        <v>195817.2</v>
      </c>
      <c r="M247">
        <f t="shared" si="9"/>
        <v>223550398.4016</v>
      </c>
      <c r="N247">
        <f t="shared" si="10"/>
        <v>30006764.886120804</v>
      </c>
      <c r="O247" t="str">
        <f t="shared" si="11"/>
        <v>BEHOLD</v>
      </c>
      <c r="P247" s="1" t="s">
        <v>5513</v>
      </c>
    </row>
    <row r="248" spans="1:16" ht="15" customHeight="1" x14ac:dyDescent="0.2">
      <c r="A248" s="1" t="s">
        <v>697</v>
      </c>
      <c r="B248" s="1" t="s">
        <v>698</v>
      </c>
      <c r="C248" s="1" t="s">
        <v>2</v>
      </c>
      <c r="D248" s="1" t="s">
        <v>3</v>
      </c>
      <c r="E248" s="5">
        <v>32106</v>
      </c>
      <c r="F248" s="5">
        <v>46155</v>
      </c>
      <c r="G248" s="2">
        <v>148.512</v>
      </c>
      <c r="H248" s="1" t="s">
        <v>4</v>
      </c>
      <c r="I248" s="2">
        <v>736</v>
      </c>
      <c r="J248" s="1" t="s">
        <v>15</v>
      </c>
      <c r="K248" s="1" t="s">
        <v>699</v>
      </c>
      <c r="L248" s="2">
        <v>892.57339999999999</v>
      </c>
      <c r="M248">
        <f t="shared" si="9"/>
        <v>132557.86078079999</v>
      </c>
      <c r="N248">
        <f t="shared" si="10"/>
        <v>17793.001447087248</v>
      </c>
      <c r="O248" t="str">
        <f t="shared" si="11"/>
        <v>FJERN</v>
      </c>
      <c r="P248" s="1" t="s">
        <v>5514</v>
      </c>
    </row>
    <row r="249" spans="1:16" ht="15" customHeight="1" x14ac:dyDescent="0.2">
      <c r="A249" s="1" t="s">
        <v>700</v>
      </c>
      <c r="B249" s="1" t="s">
        <v>701</v>
      </c>
      <c r="C249" s="1" t="s">
        <v>2</v>
      </c>
      <c r="D249" s="1" t="s">
        <v>3</v>
      </c>
      <c r="E249" s="5">
        <v>32098</v>
      </c>
      <c r="F249" s="5">
        <v>40486</v>
      </c>
      <c r="G249" s="2">
        <v>574.11300000000006</v>
      </c>
      <c r="H249" s="1" t="s">
        <v>4</v>
      </c>
      <c r="I249" s="2"/>
      <c r="J249" s="1" t="s">
        <v>15</v>
      </c>
      <c r="K249" s="1" t="s">
        <v>702</v>
      </c>
      <c r="L249" s="2">
        <v>36.07199</v>
      </c>
      <c r="M249">
        <f t="shared" si="9"/>
        <v>20709.398394870001</v>
      </c>
      <c r="N249">
        <f t="shared" si="10"/>
        <v>2779.7850194456378</v>
      </c>
      <c r="O249" t="str">
        <f t="shared" si="11"/>
        <v>FJERN</v>
      </c>
      <c r="P249" s="1" t="s">
        <v>5515</v>
      </c>
    </row>
    <row r="250" spans="1:16" ht="15" customHeight="1" x14ac:dyDescent="0.2">
      <c r="A250" s="1" t="s">
        <v>703</v>
      </c>
      <c r="B250" s="1" t="s">
        <v>704</v>
      </c>
      <c r="C250" s="1" t="s">
        <v>2</v>
      </c>
      <c r="D250" s="1" t="s">
        <v>3</v>
      </c>
      <c r="E250" s="5">
        <v>32748</v>
      </c>
      <c r="F250" s="5">
        <v>36888</v>
      </c>
      <c r="G250" s="2"/>
      <c r="H250" s="1" t="s">
        <v>4</v>
      </c>
      <c r="I250" s="2"/>
      <c r="J250" s="1" t="s">
        <v>76</v>
      </c>
      <c r="K250" s="1" t="s">
        <v>705</v>
      </c>
      <c r="L250" s="2"/>
      <c r="M250" t="str">
        <f t="shared" si="9"/>
        <v/>
      </c>
      <c r="N250" t="str">
        <f t="shared" si="10"/>
        <v/>
      </c>
      <c r="O250" t="str">
        <f t="shared" si="11"/>
        <v>FJERN</v>
      </c>
      <c r="P250" s="1"/>
    </row>
    <row r="251" spans="1:16" ht="15" customHeight="1" x14ac:dyDescent="0.2">
      <c r="A251" s="1" t="s">
        <v>706</v>
      </c>
      <c r="B251" s="1" t="s">
        <v>707</v>
      </c>
      <c r="C251" s="1" t="s">
        <v>9</v>
      </c>
      <c r="D251" s="1" t="s">
        <v>3</v>
      </c>
      <c r="E251" s="5">
        <v>34309</v>
      </c>
      <c r="F251" s="5">
        <v>37371</v>
      </c>
      <c r="G251" s="2"/>
      <c r="H251" s="1" t="s">
        <v>10</v>
      </c>
      <c r="I251" s="2"/>
      <c r="J251" s="1" t="s">
        <v>19</v>
      </c>
      <c r="K251" s="1" t="s">
        <v>708</v>
      </c>
      <c r="L251" s="2"/>
      <c r="M251" t="str">
        <f t="shared" si="9"/>
        <v/>
      </c>
      <c r="N251" t="str">
        <f t="shared" si="10"/>
        <v/>
      </c>
      <c r="O251" t="str">
        <f t="shared" si="11"/>
        <v>FJERN</v>
      </c>
      <c r="P251" s="1" t="s">
        <v>5516</v>
      </c>
    </row>
    <row r="252" spans="1:16" ht="15" customHeight="1" x14ac:dyDescent="0.2">
      <c r="A252" s="1" t="s">
        <v>709</v>
      </c>
      <c r="B252" s="1" t="s">
        <v>710</v>
      </c>
      <c r="C252" s="1" t="s">
        <v>9</v>
      </c>
      <c r="D252" s="1" t="s">
        <v>3</v>
      </c>
      <c r="E252" s="5">
        <v>32000</v>
      </c>
      <c r="F252" s="5">
        <v>33269</v>
      </c>
      <c r="G252" s="2"/>
      <c r="H252" s="1" t="s">
        <v>10</v>
      </c>
      <c r="I252" s="2"/>
      <c r="J252" s="1" t="s">
        <v>19</v>
      </c>
      <c r="K252" s="1"/>
      <c r="L252" s="2"/>
      <c r="M252" t="str">
        <f t="shared" si="9"/>
        <v/>
      </c>
      <c r="N252" t="str">
        <f t="shared" si="10"/>
        <v/>
      </c>
      <c r="O252" t="str">
        <f t="shared" si="11"/>
        <v>FJERN</v>
      </c>
      <c r="P252" s="1"/>
    </row>
    <row r="253" spans="1:16" ht="15" customHeight="1" x14ac:dyDescent="0.2">
      <c r="A253" s="1" t="s">
        <v>711</v>
      </c>
      <c r="B253" s="1" t="s">
        <v>712</v>
      </c>
      <c r="C253" s="1" t="s">
        <v>9</v>
      </c>
      <c r="D253" s="1" t="s">
        <v>3</v>
      </c>
      <c r="E253" s="5">
        <v>34247</v>
      </c>
      <c r="F253" s="5">
        <v>34410</v>
      </c>
      <c r="G253" s="2"/>
      <c r="H253" s="1" t="s">
        <v>10</v>
      </c>
      <c r="I253" s="2"/>
      <c r="J253" s="1" t="s">
        <v>51</v>
      </c>
      <c r="K253" s="1" t="s">
        <v>713</v>
      </c>
      <c r="L253" s="2"/>
      <c r="M253" t="str">
        <f t="shared" si="9"/>
        <v/>
      </c>
      <c r="N253" t="str">
        <f t="shared" si="10"/>
        <v/>
      </c>
      <c r="O253" t="str">
        <f t="shared" si="11"/>
        <v>FJERN</v>
      </c>
      <c r="P253" s="1"/>
    </row>
    <row r="254" spans="1:16" ht="15" customHeight="1" x14ac:dyDescent="0.2">
      <c r="A254" s="1" t="s">
        <v>714</v>
      </c>
      <c r="B254" s="1" t="s">
        <v>715</v>
      </c>
      <c r="C254" s="1" t="s">
        <v>9</v>
      </c>
      <c r="D254" s="1" t="s">
        <v>3</v>
      </c>
      <c r="E254" s="5">
        <v>35866</v>
      </c>
      <c r="F254" s="5">
        <v>38184</v>
      </c>
      <c r="G254" s="2"/>
      <c r="H254" s="1" t="s">
        <v>10</v>
      </c>
      <c r="I254" s="2"/>
      <c r="J254" s="1" t="s">
        <v>328</v>
      </c>
      <c r="K254" s="1" t="s">
        <v>716</v>
      </c>
      <c r="L254" s="2"/>
      <c r="M254" t="str">
        <f t="shared" si="9"/>
        <v/>
      </c>
      <c r="N254" t="str">
        <f t="shared" si="10"/>
        <v/>
      </c>
      <c r="O254" t="str">
        <f t="shared" si="11"/>
        <v>FJERN</v>
      </c>
      <c r="P254" s="1" t="s">
        <v>5517</v>
      </c>
    </row>
    <row r="255" spans="1:16" ht="15" customHeight="1" x14ac:dyDescent="0.2">
      <c r="A255" s="1" t="s">
        <v>717</v>
      </c>
      <c r="B255" s="1" t="s">
        <v>718</v>
      </c>
      <c r="C255" s="1" t="s">
        <v>9</v>
      </c>
      <c r="D255" s="1" t="s">
        <v>3</v>
      </c>
      <c r="E255" s="5">
        <v>31679</v>
      </c>
      <c r="F255" s="5">
        <v>34246</v>
      </c>
      <c r="G255" s="2"/>
      <c r="H255" s="1" t="s">
        <v>10</v>
      </c>
      <c r="I255" s="2"/>
      <c r="J255" s="1" t="s">
        <v>51</v>
      </c>
      <c r="K255" s="1"/>
      <c r="L255" s="2"/>
      <c r="M255" t="str">
        <f t="shared" si="9"/>
        <v/>
      </c>
      <c r="N255" t="str">
        <f t="shared" si="10"/>
        <v/>
      </c>
      <c r="O255" t="str">
        <f t="shared" si="11"/>
        <v>FJERN</v>
      </c>
      <c r="P255" s="1"/>
    </row>
    <row r="256" spans="1:16" ht="15" customHeight="1" x14ac:dyDescent="0.2">
      <c r="A256" s="1" t="s">
        <v>719</v>
      </c>
      <c r="B256" s="1" t="s">
        <v>720</v>
      </c>
      <c r="C256" s="1" t="s">
        <v>9</v>
      </c>
      <c r="D256" s="1" t="s">
        <v>3</v>
      </c>
      <c r="E256" s="5">
        <v>32968</v>
      </c>
      <c r="F256" s="5">
        <v>34484</v>
      </c>
      <c r="G256" s="2"/>
      <c r="H256" s="1" t="s">
        <v>10</v>
      </c>
      <c r="I256" s="2"/>
      <c r="J256" s="1" t="s">
        <v>184</v>
      </c>
      <c r="K256" s="1"/>
      <c r="L256" s="2"/>
      <c r="M256" t="str">
        <f t="shared" si="9"/>
        <v/>
      </c>
      <c r="N256" t="str">
        <f t="shared" si="10"/>
        <v/>
      </c>
      <c r="O256" t="str">
        <f t="shared" si="11"/>
        <v>FJERN</v>
      </c>
      <c r="P256" s="1"/>
    </row>
    <row r="257" spans="1:16" ht="15" customHeight="1" x14ac:dyDescent="0.2">
      <c r="A257" s="1" t="s">
        <v>721</v>
      </c>
      <c r="B257" s="1" t="s">
        <v>722</v>
      </c>
      <c r="C257" s="1" t="s">
        <v>9</v>
      </c>
      <c r="D257" s="1" t="s">
        <v>3</v>
      </c>
      <c r="E257" s="5">
        <v>36819</v>
      </c>
      <c r="F257" s="5">
        <v>40336</v>
      </c>
      <c r="G257" s="2">
        <v>16.510439999999999</v>
      </c>
      <c r="H257" s="1" t="s">
        <v>10</v>
      </c>
      <c r="I257" s="2"/>
      <c r="J257" s="1" t="s">
        <v>76</v>
      </c>
      <c r="K257" s="1" t="s">
        <v>723</v>
      </c>
      <c r="L257" s="2">
        <v>97438.88</v>
      </c>
      <c r="M257">
        <f t="shared" si="9"/>
        <v>1608758.7819071999</v>
      </c>
      <c r="N257">
        <f t="shared" si="10"/>
        <v>142368.03379709733</v>
      </c>
      <c r="O257" t="str">
        <f t="shared" si="11"/>
        <v>BEHOLD</v>
      </c>
      <c r="P257" s="1" t="s">
        <v>5518</v>
      </c>
    </row>
    <row r="258" spans="1:16" ht="15" customHeight="1" x14ac:dyDescent="0.2">
      <c r="A258" s="1" t="s">
        <v>724</v>
      </c>
      <c r="B258" s="1" t="s">
        <v>725</v>
      </c>
      <c r="C258" s="1" t="s">
        <v>9</v>
      </c>
      <c r="D258" s="1" t="s">
        <v>3</v>
      </c>
      <c r="E258" s="5">
        <v>36818</v>
      </c>
      <c r="F258" s="5">
        <v>46155</v>
      </c>
      <c r="G258" s="2">
        <v>3.4892110000000001</v>
      </c>
      <c r="H258" s="1" t="s">
        <v>10</v>
      </c>
      <c r="I258" s="2">
        <v>62.017919999999997</v>
      </c>
      <c r="J258" s="1" t="s">
        <v>38</v>
      </c>
      <c r="K258" s="1" t="s">
        <v>726</v>
      </c>
      <c r="L258" s="2">
        <v>33671.839999999997</v>
      </c>
      <c r="M258">
        <f t="shared" si="9"/>
        <v>117488.15451823999</v>
      </c>
      <c r="N258">
        <f t="shared" si="10"/>
        <v>10397.181815773449</v>
      </c>
      <c r="O258" t="str">
        <f t="shared" si="11"/>
        <v>FJERN</v>
      </c>
      <c r="P258" s="1" t="s">
        <v>5519</v>
      </c>
    </row>
    <row r="259" spans="1:16" ht="15" customHeight="1" x14ac:dyDescent="0.2">
      <c r="A259" s="1" t="s">
        <v>727</v>
      </c>
      <c r="B259" s="1" t="s">
        <v>728</v>
      </c>
      <c r="C259" s="1" t="s">
        <v>9</v>
      </c>
      <c r="D259" s="1" t="s">
        <v>3</v>
      </c>
      <c r="E259" s="5">
        <v>32132</v>
      </c>
      <c r="F259" s="5">
        <v>34410</v>
      </c>
      <c r="G259" s="2"/>
      <c r="H259" s="1" t="s">
        <v>10</v>
      </c>
      <c r="I259" s="2"/>
      <c r="J259" s="1" t="s">
        <v>51</v>
      </c>
      <c r="K259" s="1"/>
      <c r="L259" s="2"/>
      <c r="M259" t="str">
        <f t="shared" ref="M259:M322" si="12">IF(OR(G259="",L259=""),"",G259*L259)</f>
        <v/>
      </c>
      <c r="N259" t="str">
        <f t="shared" ref="N259:N322" si="13">IF(M259="","",IF(H259="DKK",M259/7.45,IF(H259="SEK",M259/11.3,M259)))</f>
        <v/>
      </c>
      <c r="O259" t="str">
        <f t="shared" ref="O259:O322" si="14">IF(AND(E259&lt;=DATE(2024,12,31),F259&gt;=DATE(2010,1,1),D259="SHARE",N259&gt;=100000),"BEHOLD","FJERN")</f>
        <v>FJERN</v>
      </c>
      <c r="P259" s="1"/>
    </row>
    <row r="260" spans="1:16" ht="15" customHeight="1" x14ac:dyDescent="0.2">
      <c r="A260" s="1" t="s">
        <v>729</v>
      </c>
      <c r="B260" s="1" t="s">
        <v>730</v>
      </c>
      <c r="C260" s="1" t="s">
        <v>2</v>
      </c>
      <c r="D260" s="1" t="s">
        <v>3</v>
      </c>
      <c r="E260" s="5">
        <v>33456</v>
      </c>
      <c r="F260" s="5">
        <v>38866</v>
      </c>
      <c r="G260" s="2"/>
      <c r="H260" s="1" t="s">
        <v>4</v>
      </c>
      <c r="I260" s="2"/>
      <c r="J260" s="1" t="s">
        <v>30</v>
      </c>
      <c r="K260" s="1" t="s">
        <v>731</v>
      </c>
      <c r="L260" s="2"/>
      <c r="M260" t="str">
        <f t="shared" si="12"/>
        <v/>
      </c>
      <c r="N260" t="str">
        <f t="shared" si="13"/>
        <v/>
      </c>
      <c r="O260" t="str">
        <f t="shared" si="14"/>
        <v>FJERN</v>
      </c>
      <c r="P260" s="1" t="s">
        <v>5520</v>
      </c>
    </row>
    <row r="261" spans="1:16" ht="15" customHeight="1" x14ac:dyDescent="0.2">
      <c r="A261" s="1" t="s">
        <v>732</v>
      </c>
      <c r="B261" s="1" t="s">
        <v>733</v>
      </c>
      <c r="C261" s="1" t="s">
        <v>2</v>
      </c>
      <c r="D261" s="1" t="s">
        <v>3</v>
      </c>
      <c r="E261" s="5">
        <v>33077</v>
      </c>
      <c r="F261" s="5">
        <v>38797</v>
      </c>
      <c r="G261" s="2"/>
      <c r="H261" s="1" t="s">
        <v>4</v>
      </c>
      <c r="I261" s="2"/>
      <c r="J261" s="1" t="s">
        <v>289</v>
      </c>
      <c r="K261" s="1" t="s">
        <v>734</v>
      </c>
      <c r="L261" s="2"/>
      <c r="M261" t="str">
        <f t="shared" si="12"/>
        <v/>
      </c>
      <c r="N261" t="str">
        <f t="shared" si="13"/>
        <v/>
      </c>
      <c r="O261" t="str">
        <f t="shared" si="14"/>
        <v>FJERN</v>
      </c>
      <c r="P261" s="1" t="s">
        <v>5521</v>
      </c>
    </row>
    <row r="262" spans="1:16" ht="15" customHeight="1" x14ac:dyDescent="0.2">
      <c r="A262" s="1" t="s">
        <v>735</v>
      </c>
      <c r="B262" s="1" t="s">
        <v>736</v>
      </c>
      <c r="C262" s="1" t="s">
        <v>9</v>
      </c>
      <c r="D262" s="1" t="s">
        <v>3</v>
      </c>
      <c r="E262" s="5">
        <v>36825</v>
      </c>
      <c r="F262" s="5">
        <v>37376</v>
      </c>
      <c r="G262" s="2"/>
      <c r="H262" s="1" t="s">
        <v>10</v>
      </c>
      <c r="I262" s="2"/>
      <c r="J262" s="1" t="s">
        <v>76</v>
      </c>
      <c r="K262" s="1" t="s">
        <v>737</v>
      </c>
      <c r="L262" s="2"/>
      <c r="M262" t="str">
        <f t="shared" si="12"/>
        <v/>
      </c>
      <c r="N262" t="str">
        <f t="shared" si="13"/>
        <v/>
      </c>
      <c r="O262" t="str">
        <f t="shared" si="14"/>
        <v>FJERN</v>
      </c>
      <c r="P262" s="1"/>
    </row>
    <row r="263" spans="1:16" ht="15" customHeight="1" x14ac:dyDescent="0.2">
      <c r="A263" s="1" t="s">
        <v>738</v>
      </c>
      <c r="B263" s="1" t="s">
        <v>739</v>
      </c>
      <c r="C263" s="1" t="s">
        <v>9</v>
      </c>
      <c r="D263" s="1" t="s">
        <v>3</v>
      </c>
      <c r="E263" s="5">
        <v>32638</v>
      </c>
      <c r="F263" s="5">
        <v>37694</v>
      </c>
      <c r="G263" s="2"/>
      <c r="H263" s="1" t="s">
        <v>10</v>
      </c>
      <c r="I263" s="2"/>
      <c r="J263" s="1" t="s">
        <v>76</v>
      </c>
      <c r="K263" s="1" t="s">
        <v>740</v>
      </c>
      <c r="L263" s="2"/>
      <c r="M263" t="str">
        <f t="shared" si="12"/>
        <v/>
      </c>
      <c r="N263" t="str">
        <f t="shared" si="13"/>
        <v/>
      </c>
      <c r="O263" t="str">
        <f t="shared" si="14"/>
        <v>FJERN</v>
      </c>
      <c r="P263" s="1" t="s">
        <v>5522</v>
      </c>
    </row>
    <row r="264" spans="1:16" ht="15" customHeight="1" x14ac:dyDescent="0.2">
      <c r="A264" s="1" t="s">
        <v>741</v>
      </c>
      <c r="B264" s="1" t="s">
        <v>742</v>
      </c>
      <c r="C264" s="1" t="s">
        <v>9</v>
      </c>
      <c r="D264" s="1" t="s">
        <v>3</v>
      </c>
      <c r="E264" s="5">
        <v>32115</v>
      </c>
      <c r="F264" s="5">
        <v>35885</v>
      </c>
      <c r="G264" s="2"/>
      <c r="H264" s="1" t="s">
        <v>10</v>
      </c>
      <c r="I264" s="2"/>
      <c r="J264" s="1" t="s">
        <v>11</v>
      </c>
      <c r="K264" s="1" t="s">
        <v>743</v>
      </c>
      <c r="L264" s="2"/>
      <c r="M264" t="str">
        <f t="shared" si="12"/>
        <v/>
      </c>
      <c r="N264" t="str">
        <f t="shared" si="13"/>
        <v/>
      </c>
      <c r="O264" t="str">
        <f t="shared" si="14"/>
        <v>FJERN</v>
      </c>
      <c r="P264" s="1"/>
    </row>
    <row r="265" spans="1:16" ht="15" customHeight="1" x14ac:dyDescent="0.2">
      <c r="A265" s="1" t="s">
        <v>744</v>
      </c>
      <c r="B265" s="1" t="s">
        <v>745</v>
      </c>
      <c r="C265" s="1" t="s">
        <v>2</v>
      </c>
      <c r="D265" s="1" t="s">
        <v>3</v>
      </c>
      <c r="E265" s="5">
        <v>32099</v>
      </c>
      <c r="F265" s="5">
        <v>36290</v>
      </c>
      <c r="G265" s="2"/>
      <c r="H265" s="1" t="s">
        <v>4</v>
      </c>
      <c r="I265" s="2"/>
      <c r="J265" s="1" t="s">
        <v>11</v>
      </c>
      <c r="K265" s="1" t="s">
        <v>746</v>
      </c>
      <c r="L265" s="2"/>
      <c r="M265" t="str">
        <f t="shared" si="12"/>
        <v/>
      </c>
      <c r="N265" t="str">
        <f t="shared" si="13"/>
        <v/>
      </c>
      <c r="O265" t="str">
        <f t="shared" si="14"/>
        <v>FJERN</v>
      </c>
      <c r="P265" s="1"/>
    </row>
    <row r="266" spans="1:16" ht="15" customHeight="1" x14ac:dyDescent="0.2">
      <c r="A266" s="1" t="s">
        <v>747</v>
      </c>
      <c r="B266" s="1" t="s">
        <v>748</v>
      </c>
      <c r="C266" s="1" t="s">
        <v>2</v>
      </c>
      <c r="D266" s="1" t="s">
        <v>3</v>
      </c>
      <c r="E266" s="5">
        <v>32099</v>
      </c>
      <c r="F266" s="5">
        <v>38832</v>
      </c>
      <c r="G266" s="2"/>
      <c r="H266" s="1" t="s">
        <v>4</v>
      </c>
      <c r="I266" s="2"/>
      <c r="J266" s="1" t="s">
        <v>11</v>
      </c>
      <c r="K266" s="1" t="s">
        <v>749</v>
      </c>
      <c r="L266" s="2"/>
      <c r="M266" t="str">
        <f t="shared" si="12"/>
        <v/>
      </c>
      <c r="N266" t="str">
        <f t="shared" si="13"/>
        <v/>
      </c>
      <c r="O266" t="str">
        <f t="shared" si="14"/>
        <v>FJERN</v>
      </c>
      <c r="P266" s="1" t="s">
        <v>5523</v>
      </c>
    </row>
    <row r="267" spans="1:16" ht="15" customHeight="1" x14ac:dyDescent="0.2">
      <c r="A267" s="1" t="s">
        <v>750</v>
      </c>
      <c r="B267" s="1" t="s">
        <v>751</v>
      </c>
      <c r="C267" s="1" t="s">
        <v>2</v>
      </c>
      <c r="D267" s="1" t="s">
        <v>3</v>
      </c>
      <c r="E267" s="5">
        <v>32895</v>
      </c>
      <c r="F267" s="5">
        <v>42102</v>
      </c>
      <c r="G267" s="2">
        <v>194.8288</v>
      </c>
      <c r="H267" s="1" t="s">
        <v>4</v>
      </c>
      <c r="I267" s="2"/>
      <c r="J267" s="1" t="s">
        <v>15</v>
      </c>
      <c r="K267" s="1" t="s">
        <v>752</v>
      </c>
      <c r="L267" s="2">
        <v>1215.377</v>
      </c>
      <c r="M267">
        <f t="shared" si="12"/>
        <v>236790.4424576</v>
      </c>
      <c r="N267">
        <f t="shared" si="13"/>
        <v>31783.952007731543</v>
      </c>
      <c r="O267" t="str">
        <f t="shared" si="14"/>
        <v>FJERN</v>
      </c>
      <c r="P267" s="1" t="s">
        <v>5524</v>
      </c>
    </row>
    <row r="268" spans="1:16" ht="15" customHeight="1" x14ac:dyDescent="0.2">
      <c r="A268" s="1" t="s">
        <v>753</v>
      </c>
      <c r="B268" s="1" t="s">
        <v>754</v>
      </c>
      <c r="C268" s="1" t="s">
        <v>9</v>
      </c>
      <c r="D268" s="1" t="s">
        <v>3</v>
      </c>
      <c r="E268" s="5">
        <v>32638</v>
      </c>
      <c r="F268" s="5">
        <v>33823</v>
      </c>
      <c r="G268" s="2"/>
      <c r="H268" s="1" t="s">
        <v>10</v>
      </c>
      <c r="I268" s="2"/>
      <c r="J268" s="1"/>
      <c r="K268" s="1"/>
      <c r="L268" s="2"/>
      <c r="M268" t="str">
        <f t="shared" si="12"/>
        <v/>
      </c>
      <c r="N268" t="str">
        <f t="shared" si="13"/>
        <v/>
      </c>
      <c r="O268" t="str">
        <f t="shared" si="14"/>
        <v>FJERN</v>
      </c>
      <c r="P268" s="1"/>
    </row>
    <row r="269" spans="1:16" ht="15" customHeight="1" x14ac:dyDescent="0.2">
      <c r="A269" s="1" t="s">
        <v>755</v>
      </c>
      <c r="B269" s="1" t="s">
        <v>756</v>
      </c>
      <c r="C269" s="1" t="s">
        <v>9</v>
      </c>
      <c r="D269" s="1" t="s">
        <v>3</v>
      </c>
      <c r="E269" s="5">
        <v>32638</v>
      </c>
      <c r="F269" s="5">
        <v>46155</v>
      </c>
      <c r="G269" s="2">
        <v>137.1414</v>
      </c>
      <c r="H269" s="1" t="s">
        <v>10</v>
      </c>
      <c r="I269" s="2">
        <v>21533.8792134</v>
      </c>
      <c r="J269" s="1" t="s">
        <v>11</v>
      </c>
      <c r="K269" s="1" t="s">
        <v>757</v>
      </c>
      <c r="L269" s="2">
        <v>353609.2</v>
      </c>
      <c r="M269">
        <f t="shared" si="12"/>
        <v>48494460.740880005</v>
      </c>
      <c r="N269">
        <f t="shared" si="13"/>
        <v>4291545.198307965</v>
      </c>
      <c r="O269" t="str">
        <f t="shared" si="14"/>
        <v>BEHOLD</v>
      </c>
      <c r="P269" s="1" t="s">
        <v>5525</v>
      </c>
    </row>
    <row r="270" spans="1:16" ht="15" customHeight="1" x14ac:dyDescent="0.2">
      <c r="A270" s="1" t="s">
        <v>758</v>
      </c>
      <c r="B270" s="1" t="s">
        <v>759</v>
      </c>
      <c r="C270" s="1" t="s">
        <v>9</v>
      </c>
      <c r="D270" s="1" t="s">
        <v>3</v>
      </c>
      <c r="E270" s="5">
        <v>33176</v>
      </c>
      <c r="F270" s="5">
        <v>34159</v>
      </c>
      <c r="G270" s="2"/>
      <c r="H270" s="1" t="s">
        <v>10</v>
      </c>
      <c r="I270" s="2"/>
      <c r="J270" s="1" t="s">
        <v>222</v>
      </c>
      <c r="K270" s="1"/>
      <c r="L270" s="2"/>
      <c r="M270" t="str">
        <f t="shared" si="12"/>
        <v/>
      </c>
      <c r="N270" t="str">
        <f t="shared" si="13"/>
        <v/>
      </c>
      <c r="O270" t="str">
        <f t="shared" si="14"/>
        <v>FJERN</v>
      </c>
      <c r="P270" s="1"/>
    </row>
    <row r="271" spans="1:16" ht="15" customHeight="1" x14ac:dyDescent="0.2">
      <c r="A271" s="1" t="s">
        <v>760</v>
      </c>
      <c r="B271" s="1" t="s">
        <v>761</v>
      </c>
      <c r="C271" s="1" t="s">
        <v>2</v>
      </c>
      <c r="D271" s="1" t="s">
        <v>3</v>
      </c>
      <c r="E271" s="5">
        <v>33219</v>
      </c>
      <c r="F271" s="5">
        <v>43153</v>
      </c>
      <c r="G271" s="2">
        <v>27.151299999999999</v>
      </c>
      <c r="H271" s="1" t="s">
        <v>4</v>
      </c>
      <c r="I271" s="2"/>
      <c r="J271" s="1" t="s">
        <v>15</v>
      </c>
      <c r="K271" s="1" t="s">
        <v>762</v>
      </c>
      <c r="L271" s="2">
        <v>94504.78</v>
      </c>
      <c r="M271">
        <f t="shared" si="12"/>
        <v>2565927.6332139997</v>
      </c>
      <c r="N271">
        <f t="shared" si="13"/>
        <v>344419.81653879187</v>
      </c>
      <c r="O271" t="str">
        <f t="shared" si="14"/>
        <v>BEHOLD</v>
      </c>
      <c r="P271" s="1" t="s">
        <v>5526</v>
      </c>
    </row>
    <row r="272" spans="1:16" ht="15" customHeight="1" x14ac:dyDescent="0.2">
      <c r="A272" s="1" t="s">
        <v>763</v>
      </c>
      <c r="B272" s="1" t="s">
        <v>764</v>
      </c>
      <c r="C272" s="1" t="s">
        <v>9</v>
      </c>
      <c r="D272" s="1" t="s">
        <v>3</v>
      </c>
      <c r="E272" s="5">
        <v>32213</v>
      </c>
      <c r="F272" s="5">
        <v>35415</v>
      </c>
      <c r="G272" s="2"/>
      <c r="H272" s="1" t="s">
        <v>10</v>
      </c>
      <c r="I272" s="2"/>
      <c r="J272" s="1" t="s">
        <v>122</v>
      </c>
      <c r="K272" s="1" t="s">
        <v>765</v>
      </c>
      <c r="L272" s="2"/>
      <c r="M272" t="str">
        <f t="shared" si="12"/>
        <v/>
      </c>
      <c r="N272" t="str">
        <f t="shared" si="13"/>
        <v/>
      </c>
      <c r="O272" t="str">
        <f t="shared" si="14"/>
        <v>FJERN</v>
      </c>
      <c r="P272" s="1"/>
    </row>
    <row r="273" spans="1:16" ht="15" customHeight="1" x14ac:dyDescent="0.2">
      <c r="A273" s="1" t="s">
        <v>766</v>
      </c>
      <c r="B273" s="1" t="s">
        <v>767</v>
      </c>
      <c r="C273" s="1" t="s">
        <v>9</v>
      </c>
      <c r="D273" s="1" t="s">
        <v>3</v>
      </c>
      <c r="E273" s="5">
        <v>31891</v>
      </c>
      <c r="F273" s="5">
        <v>35600</v>
      </c>
      <c r="G273" s="2"/>
      <c r="H273" s="1" t="s">
        <v>10</v>
      </c>
      <c r="I273" s="2"/>
      <c r="J273" s="1" t="s">
        <v>15</v>
      </c>
      <c r="K273" s="1"/>
      <c r="L273" s="2"/>
      <c r="M273" t="str">
        <f t="shared" si="12"/>
        <v/>
      </c>
      <c r="N273" t="str">
        <f t="shared" si="13"/>
        <v/>
      </c>
      <c r="O273" t="str">
        <f t="shared" si="14"/>
        <v>FJERN</v>
      </c>
      <c r="P273" s="1"/>
    </row>
    <row r="274" spans="1:16" ht="15" customHeight="1" x14ac:dyDescent="0.2">
      <c r="A274" s="1" t="s">
        <v>768</v>
      </c>
      <c r="B274" s="1" t="s">
        <v>769</v>
      </c>
      <c r="C274" s="1" t="s">
        <v>2</v>
      </c>
      <c r="D274" s="1" t="s">
        <v>3</v>
      </c>
      <c r="E274" s="5">
        <v>32031</v>
      </c>
      <c r="F274" s="5">
        <v>43648</v>
      </c>
      <c r="G274" s="2">
        <v>817.9778</v>
      </c>
      <c r="H274" s="1" t="s">
        <v>4</v>
      </c>
      <c r="I274" s="2"/>
      <c r="J274" s="1" t="s">
        <v>11</v>
      </c>
      <c r="K274" s="1" t="s">
        <v>770</v>
      </c>
      <c r="L274" s="2">
        <v>328.06939999999997</v>
      </c>
      <c r="M274">
        <f t="shared" si="12"/>
        <v>268353.48605931998</v>
      </c>
      <c r="N274">
        <f t="shared" si="13"/>
        <v>36020.602155613422</v>
      </c>
      <c r="O274" t="str">
        <f t="shared" si="14"/>
        <v>FJERN</v>
      </c>
      <c r="P274" s="1" t="s">
        <v>5527</v>
      </c>
    </row>
    <row r="275" spans="1:16" ht="15" customHeight="1" x14ac:dyDescent="0.2">
      <c r="A275" s="1" t="s">
        <v>771</v>
      </c>
      <c r="B275" s="1" t="s">
        <v>772</v>
      </c>
      <c r="C275" s="1" t="s">
        <v>9</v>
      </c>
      <c r="D275" s="1" t="s">
        <v>3</v>
      </c>
      <c r="E275" s="5">
        <v>32003</v>
      </c>
      <c r="F275" s="5">
        <v>32426</v>
      </c>
      <c r="G275" s="2"/>
      <c r="H275" s="1" t="s">
        <v>10</v>
      </c>
      <c r="I275" s="2"/>
      <c r="J275" s="1" t="s">
        <v>11</v>
      </c>
      <c r="K275" s="1"/>
      <c r="L275" s="2"/>
      <c r="M275" t="str">
        <f t="shared" si="12"/>
        <v/>
      </c>
      <c r="N275" t="str">
        <f t="shared" si="13"/>
        <v/>
      </c>
      <c r="O275" t="str">
        <f t="shared" si="14"/>
        <v>FJERN</v>
      </c>
      <c r="P275" s="1"/>
    </row>
    <row r="276" spans="1:16" ht="15" customHeight="1" x14ac:dyDescent="0.2">
      <c r="A276" s="1" t="s">
        <v>773</v>
      </c>
      <c r="B276" s="1" t="s">
        <v>774</v>
      </c>
      <c r="C276" s="1" t="s">
        <v>9</v>
      </c>
      <c r="D276" s="1" t="s">
        <v>3</v>
      </c>
      <c r="E276" s="5">
        <v>35347</v>
      </c>
      <c r="F276" s="5">
        <v>46155</v>
      </c>
      <c r="G276" s="2">
        <v>10.416180000000001</v>
      </c>
      <c r="H276" s="1" t="s">
        <v>10</v>
      </c>
      <c r="I276" s="2">
        <v>678.12809400000003</v>
      </c>
      <c r="J276" s="1" t="s">
        <v>38</v>
      </c>
      <c r="K276" s="1" t="s">
        <v>775</v>
      </c>
      <c r="L276" s="2">
        <v>383469.7</v>
      </c>
      <c r="M276">
        <f t="shared" si="12"/>
        <v>3994289.4197460003</v>
      </c>
      <c r="N276">
        <f t="shared" si="13"/>
        <v>353476.93980053096</v>
      </c>
      <c r="O276" t="str">
        <f t="shared" si="14"/>
        <v>BEHOLD</v>
      </c>
      <c r="P276" s="1" t="s">
        <v>5528</v>
      </c>
    </row>
    <row r="277" spans="1:16" ht="15" customHeight="1" x14ac:dyDescent="0.2">
      <c r="A277" s="1" t="s">
        <v>776</v>
      </c>
      <c r="B277" s="1" t="s">
        <v>777</v>
      </c>
      <c r="C277" s="1" t="s">
        <v>2</v>
      </c>
      <c r="D277" s="1" t="s">
        <v>3</v>
      </c>
      <c r="E277" s="5">
        <v>34838</v>
      </c>
      <c r="F277" s="5">
        <v>37162</v>
      </c>
      <c r="G277" s="2"/>
      <c r="H277" s="1" t="s">
        <v>4</v>
      </c>
      <c r="I277" s="2"/>
      <c r="J277" s="1" t="s">
        <v>76</v>
      </c>
      <c r="K277" s="1"/>
      <c r="L277" s="2"/>
      <c r="M277" t="str">
        <f t="shared" si="12"/>
        <v/>
      </c>
      <c r="N277" t="str">
        <f t="shared" si="13"/>
        <v/>
      </c>
      <c r="O277" t="str">
        <f t="shared" si="14"/>
        <v>FJERN</v>
      </c>
      <c r="P277" s="1"/>
    </row>
    <row r="278" spans="1:16" ht="15" customHeight="1" x14ac:dyDescent="0.2">
      <c r="A278" s="1" t="s">
        <v>778</v>
      </c>
      <c r="B278" s="1" t="s">
        <v>779</v>
      </c>
      <c r="C278" s="1" t="s">
        <v>2</v>
      </c>
      <c r="D278" s="1" t="s">
        <v>3</v>
      </c>
      <c r="E278" s="5">
        <v>32232</v>
      </c>
      <c r="F278" s="5">
        <v>39776</v>
      </c>
      <c r="G278" s="2">
        <v>756</v>
      </c>
      <c r="H278" s="1" t="s">
        <v>4</v>
      </c>
      <c r="I278" s="2"/>
      <c r="J278" s="1" t="s">
        <v>5</v>
      </c>
      <c r="K278" s="1" t="s">
        <v>780</v>
      </c>
      <c r="L278" s="2">
        <v>0</v>
      </c>
      <c r="M278">
        <f t="shared" si="12"/>
        <v>0</v>
      </c>
      <c r="N278">
        <f t="shared" si="13"/>
        <v>0</v>
      </c>
      <c r="O278" t="str">
        <f t="shared" si="14"/>
        <v>FJERN</v>
      </c>
      <c r="P278" s="1" t="s">
        <v>5529</v>
      </c>
    </row>
    <row r="279" spans="1:16" ht="15" customHeight="1" x14ac:dyDescent="0.2">
      <c r="A279" s="1" t="s">
        <v>781</v>
      </c>
      <c r="B279" s="1" t="s">
        <v>782</v>
      </c>
      <c r="C279" s="1" t="s">
        <v>9</v>
      </c>
      <c r="D279" s="1" t="s">
        <v>3</v>
      </c>
      <c r="E279" s="5">
        <v>31106</v>
      </c>
      <c r="F279" s="5">
        <v>33893</v>
      </c>
      <c r="G279" s="2"/>
      <c r="H279" s="1" t="s">
        <v>10</v>
      </c>
      <c r="I279" s="2"/>
      <c r="J279" s="1" t="s">
        <v>51</v>
      </c>
      <c r="K279" s="1"/>
      <c r="L279" s="2"/>
      <c r="M279" t="str">
        <f t="shared" si="12"/>
        <v/>
      </c>
      <c r="N279" t="str">
        <f t="shared" si="13"/>
        <v/>
      </c>
      <c r="O279" t="str">
        <f t="shared" si="14"/>
        <v>FJERN</v>
      </c>
      <c r="P279" s="1"/>
    </row>
    <row r="280" spans="1:16" ht="15" customHeight="1" x14ac:dyDescent="0.2">
      <c r="A280" s="1" t="s">
        <v>783</v>
      </c>
      <c r="B280" s="1" t="s">
        <v>784</v>
      </c>
      <c r="C280" s="1" t="s">
        <v>9</v>
      </c>
      <c r="D280" s="1" t="s">
        <v>3</v>
      </c>
      <c r="E280" s="5">
        <v>31106</v>
      </c>
      <c r="F280" s="5">
        <v>37092</v>
      </c>
      <c r="G280" s="2"/>
      <c r="H280" s="1" t="s">
        <v>10</v>
      </c>
      <c r="I280" s="2"/>
      <c r="J280" s="1" t="s">
        <v>51</v>
      </c>
      <c r="K280" s="1" t="s">
        <v>785</v>
      </c>
      <c r="L280" s="2"/>
      <c r="M280" t="str">
        <f t="shared" si="12"/>
        <v/>
      </c>
      <c r="N280" t="str">
        <f t="shared" si="13"/>
        <v/>
      </c>
      <c r="O280" t="str">
        <f t="shared" si="14"/>
        <v>FJERN</v>
      </c>
      <c r="P280" s="1" t="s">
        <v>5530</v>
      </c>
    </row>
    <row r="281" spans="1:16" ht="15" customHeight="1" x14ac:dyDescent="0.2">
      <c r="A281" s="1" t="s">
        <v>786</v>
      </c>
      <c r="B281" s="1" t="s">
        <v>787</v>
      </c>
      <c r="C281" s="1" t="s">
        <v>9</v>
      </c>
      <c r="D281" s="1" t="s">
        <v>3</v>
      </c>
      <c r="E281" s="5">
        <v>34092</v>
      </c>
      <c r="F281" s="5">
        <v>36600</v>
      </c>
      <c r="G281" s="2"/>
      <c r="H281" s="1" t="s">
        <v>10</v>
      </c>
      <c r="I281" s="2"/>
      <c r="J281" s="1" t="s">
        <v>236</v>
      </c>
      <c r="K281" s="1" t="s">
        <v>788</v>
      </c>
      <c r="L281" s="2"/>
      <c r="M281" t="str">
        <f t="shared" si="12"/>
        <v/>
      </c>
      <c r="N281" t="str">
        <f t="shared" si="13"/>
        <v/>
      </c>
      <c r="O281" t="str">
        <f t="shared" si="14"/>
        <v>FJERN</v>
      </c>
      <c r="P281" s="1"/>
    </row>
    <row r="282" spans="1:16" ht="15" customHeight="1" x14ac:dyDescent="0.2">
      <c r="A282" s="1" t="s">
        <v>789</v>
      </c>
      <c r="B282" s="1" t="s">
        <v>790</v>
      </c>
      <c r="C282" s="1" t="s">
        <v>9</v>
      </c>
      <c r="D282" s="1" t="s">
        <v>3</v>
      </c>
      <c r="E282" s="5">
        <v>32379</v>
      </c>
      <c r="F282" s="5">
        <v>36273</v>
      </c>
      <c r="G282" s="2"/>
      <c r="H282" s="1" t="s">
        <v>10</v>
      </c>
      <c r="I282" s="2"/>
      <c r="J282" s="1" t="s">
        <v>115</v>
      </c>
      <c r="K282" s="1" t="s">
        <v>791</v>
      </c>
      <c r="L282" s="2"/>
      <c r="M282" t="str">
        <f t="shared" si="12"/>
        <v/>
      </c>
      <c r="N282" t="str">
        <f t="shared" si="13"/>
        <v/>
      </c>
      <c r="O282" t="str">
        <f t="shared" si="14"/>
        <v>FJERN</v>
      </c>
      <c r="P282" s="1"/>
    </row>
    <row r="283" spans="1:16" ht="15" customHeight="1" x14ac:dyDescent="0.2">
      <c r="A283" s="1" t="s">
        <v>792</v>
      </c>
      <c r="B283" s="1" t="s">
        <v>793</v>
      </c>
      <c r="C283" s="1" t="s">
        <v>2</v>
      </c>
      <c r="D283" s="1" t="s">
        <v>3</v>
      </c>
      <c r="E283" s="5">
        <v>32898</v>
      </c>
      <c r="F283" s="5">
        <v>35600</v>
      </c>
      <c r="G283" s="2"/>
      <c r="H283" s="1" t="s">
        <v>4</v>
      </c>
      <c r="I283" s="2"/>
      <c r="J283" s="1" t="s">
        <v>11</v>
      </c>
      <c r="K283" s="1"/>
      <c r="L283" s="2"/>
      <c r="M283" t="str">
        <f t="shared" si="12"/>
        <v/>
      </c>
      <c r="N283" t="str">
        <f t="shared" si="13"/>
        <v/>
      </c>
      <c r="O283" t="str">
        <f t="shared" si="14"/>
        <v>FJERN</v>
      </c>
      <c r="P283" s="1"/>
    </row>
    <row r="284" spans="1:16" ht="15" customHeight="1" x14ac:dyDescent="0.2">
      <c r="A284" s="1" t="s">
        <v>794</v>
      </c>
      <c r="B284" s="1" t="s">
        <v>795</v>
      </c>
      <c r="C284" s="1" t="s">
        <v>9</v>
      </c>
      <c r="D284" s="1" t="s">
        <v>3</v>
      </c>
      <c r="E284" s="5">
        <v>32927</v>
      </c>
      <c r="F284" s="5">
        <v>33756</v>
      </c>
      <c r="G284" s="2"/>
      <c r="H284" s="1" t="s">
        <v>10</v>
      </c>
      <c r="I284" s="2"/>
      <c r="J284" s="1" t="s">
        <v>61</v>
      </c>
      <c r="K284" s="1"/>
      <c r="L284" s="2"/>
      <c r="M284" t="str">
        <f t="shared" si="12"/>
        <v/>
      </c>
      <c r="N284" t="str">
        <f t="shared" si="13"/>
        <v/>
      </c>
      <c r="O284" t="str">
        <f t="shared" si="14"/>
        <v>FJERN</v>
      </c>
      <c r="P284" s="1"/>
    </row>
    <row r="285" spans="1:16" ht="15" customHeight="1" x14ac:dyDescent="0.2">
      <c r="A285" s="1" t="s">
        <v>796</v>
      </c>
      <c r="B285" s="1" t="s">
        <v>797</v>
      </c>
      <c r="C285" s="1" t="s">
        <v>9</v>
      </c>
      <c r="D285" s="1" t="s">
        <v>3</v>
      </c>
      <c r="E285" s="5">
        <v>33585</v>
      </c>
      <c r="F285" s="5">
        <v>37106</v>
      </c>
      <c r="G285" s="2"/>
      <c r="H285" s="1" t="s">
        <v>10</v>
      </c>
      <c r="I285" s="2"/>
      <c r="J285" s="1" t="s">
        <v>61</v>
      </c>
      <c r="K285" s="1"/>
      <c r="L285" s="2"/>
      <c r="M285" t="str">
        <f t="shared" si="12"/>
        <v/>
      </c>
      <c r="N285" t="str">
        <f t="shared" si="13"/>
        <v/>
      </c>
      <c r="O285" t="str">
        <f t="shared" si="14"/>
        <v>FJERN</v>
      </c>
      <c r="P285" s="1"/>
    </row>
    <row r="286" spans="1:16" ht="15" customHeight="1" x14ac:dyDescent="0.2">
      <c r="A286" s="1" t="s">
        <v>798</v>
      </c>
      <c r="B286" s="1" t="s">
        <v>799</v>
      </c>
      <c r="C286" s="1" t="s">
        <v>9</v>
      </c>
      <c r="D286" s="1" t="s">
        <v>3</v>
      </c>
      <c r="E286" s="5">
        <v>33155</v>
      </c>
      <c r="F286" s="5">
        <v>33879</v>
      </c>
      <c r="G286" s="2"/>
      <c r="H286" s="1" t="s">
        <v>10</v>
      </c>
      <c r="I286" s="2"/>
      <c r="J286" s="1" t="s">
        <v>366</v>
      </c>
      <c r="K286" s="1"/>
      <c r="L286" s="2"/>
      <c r="M286" t="str">
        <f t="shared" si="12"/>
        <v/>
      </c>
      <c r="N286" t="str">
        <f t="shared" si="13"/>
        <v/>
      </c>
      <c r="O286" t="str">
        <f t="shared" si="14"/>
        <v>FJERN</v>
      </c>
      <c r="P286" s="1"/>
    </row>
    <row r="287" spans="1:16" ht="15" customHeight="1" x14ac:dyDescent="0.2">
      <c r="A287" s="1" t="s">
        <v>800</v>
      </c>
      <c r="B287" s="1" t="s">
        <v>801</v>
      </c>
      <c r="C287" s="1" t="s">
        <v>9</v>
      </c>
      <c r="D287" s="1" t="s">
        <v>3</v>
      </c>
      <c r="E287" s="5">
        <v>32716</v>
      </c>
      <c r="F287" s="5">
        <v>33879</v>
      </c>
      <c r="G287" s="2"/>
      <c r="H287" s="1" t="s">
        <v>10</v>
      </c>
      <c r="I287" s="2"/>
      <c r="J287" s="1" t="s">
        <v>366</v>
      </c>
      <c r="K287" s="1"/>
      <c r="L287" s="2"/>
      <c r="M287" t="str">
        <f t="shared" si="12"/>
        <v/>
      </c>
      <c r="N287" t="str">
        <f t="shared" si="13"/>
        <v/>
      </c>
      <c r="O287" t="str">
        <f t="shared" si="14"/>
        <v>FJERN</v>
      </c>
      <c r="P287" s="1"/>
    </row>
    <row r="288" spans="1:16" ht="15" customHeight="1" x14ac:dyDescent="0.2">
      <c r="A288" s="1" t="s">
        <v>802</v>
      </c>
      <c r="B288" s="1" t="s">
        <v>803</v>
      </c>
      <c r="C288" s="1" t="s">
        <v>9</v>
      </c>
      <c r="D288" s="1" t="s">
        <v>3</v>
      </c>
      <c r="E288" s="5">
        <v>32380</v>
      </c>
      <c r="F288" s="5">
        <v>35242</v>
      </c>
      <c r="G288" s="2"/>
      <c r="H288" s="1" t="s">
        <v>10</v>
      </c>
      <c r="I288" s="2"/>
      <c r="J288" s="1" t="s">
        <v>61</v>
      </c>
      <c r="K288" s="1" t="s">
        <v>804</v>
      </c>
      <c r="L288" s="2"/>
      <c r="M288" t="str">
        <f t="shared" si="12"/>
        <v/>
      </c>
      <c r="N288" t="str">
        <f t="shared" si="13"/>
        <v/>
      </c>
      <c r="O288" t="str">
        <f t="shared" si="14"/>
        <v>FJERN</v>
      </c>
      <c r="P288" s="1"/>
    </row>
    <row r="289" spans="1:16" ht="15" customHeight="1" x14ac:dyDescent="0.2">
      <c r="A289" s="1" t="s">
        <v>805</v>
      </c>
      <c r="B289" s="1" t="s">
        <v>806</v>
      </c>
      <c r="C289" s="1" t="s">
        <v>9</v>
      </c>
      <c r="D289" s="1" t="s">
        <v>3</v>
      </c>
      <c r="E289" s="5">
        <v>32029</v>
      </c>
      <c r="F289" s="5">
        <v>33624</v>
      </c>
      <c r="G289" s="2"/>
      <c r="H289" s="1" t="s">
        <v>10</v>
      </c>
      <c r="I289" s="2"/>
      <c r="J289" s="1" t="s">
        <v>23</v>
      </c>
      <c r="K289" s="1" t="s">
        <v>807</v>
      </c>
      <c r="L289" s="2"/>
      <c r="M289" t="str">
        <f t="shared" si="12"/>
        <v/>
      </c>
      <c r="N289" t="str">
        <f t="shared" si="13"/>
        <v/>
      </c>
      <c r="O289" t="str">
        <f t="shared" si="14"/>
        <v>FJERN</v>
      </c>
      <c r="P289" s="1"/>
    </row>
    <row r="290" spans="1:16" ht="15" customHeight="1" x14ac:dyDescent="0.2">
      <c r="A290" s="1" t="s">
        <v>808</v>
      </c>
      <c r="B290" s="1" t="s">
        <v>809</v>
      </c>
      <c r="C290" s="1" t="s">
        <v>9</v>
      </c>
      <c r="D290" s="1" t="s">
        <v>3</v>
      </c>
      <c r="E290" s="5">
        <v>31196</v>
      </c>
      <c r="F290" s="5">
        <v>33645</v>
      </c>
      <c r="G290" s="2"/>
      <c r="H290" s="1" t="s">
        <v>10</v>
      </c>
      <c r="I290" s="2"/>
      <c r="J290" s="1" t="s">
        <v>76</v>
      </c>
      <c r="K290" s="1" t="s">
        <v>810</v>
      </c>
      <c r="L290" s="2"/>
      <c r="M290" t="str">
        <f t="shared" si="12"/>
        <v/>
      </c>
      <c r="N290" t="str">
        <f t="shared" si="13"/>
        <v/>
      </c>
      <c r="O290" t="str">
        <f t="shared" si="14"/>
        <v>FJERN</v>
      </c>
      <c r="P290" s="1"/>
    </row>
    <row r="291" spans="1:16" ht="15" customHeight="1" x14ac:dyDescent="0.2">
      <c r="A291" s="1" t="s">
        <v>811</v>
      </c>
      <c r="B291" s="1" t="s">
        <v>812</v>
      </c>
      <c r="C291" s="1" t="s">
        <v>9</v>
      </c>
      <c r="D291" s="1" t="s">
        <v>3</v>
      </c>
      <c r="E291" s="5">
        <v>31049</v>
      </c>
      <c r="F291" s="5">
        <v>33794</v>
      </c>
      <c r="G291" s="2"/>
      <c r="H291" s="1" t="s">
        <v>10</v>
      </c>
      <c r="I291" s="2"/>
      <c r="J291" s="1" t="s">
        <v>76</v>
      </c>
      <c r="K291" s="1"/>
      <c r="L291" s="2"/>
      <c r="M291" t="str">
        <f t="shared" si="12"/>
        <v/>
      </c>
      <c r="N291" t="str">
        <f t="shared" si="13"/>
        <v/>
      </c>
      <c r="O291" t="str">
        <f t="shared" si="14"/>
        <v>FJERN</v>
      </c>
      <c r="P291" s="1"/>
    </row>
    <row r="292" spans="1:16" ht="15" customHeight="1" x14ac:dyDescent="0.2">
      <c r="A292" s="1" t="s">
        <v>813</v>
      </c>
      <c r="B292" s="1" t="s">
        <v>814</v>
      </c>
      <c r="C292" s="1" t="s">
        <v>9</v>
      </c>
      <c r="D292" s="1" t="s">
        <v>3</v>
      </c>
      <c r="E292" s="5">
        <v>32002</v>
      </c>
      <c r="F292" s="5">
        <v>33765</v>
      </c>
      <c r="G292" s="2"/>
      <c r="H292" s="1" t="s">
        <v>10</v>
      </c>
      <c r="I292" s="2"/>
      <c r="J292" s="1" t="s">
        <v>76</v>
      </c>
      <c r="K292" s="1" t="s">
        <v>815</v>
      </c>
      <c r="L292" s="2"/>
      <c r="M292" t="str">
        <f t="shared" si="12"/>
        <v/>
      </c>
      <c r="N292" t="str">
        <f t="shared" si="13"/>
        <v/>
      </c>
      <c r="O292" t="str">
        <f t="shared" si="14"/>
        <v>FJERN</v>
      </c>
      <c r="P292" s="1"/>
    </row>
    <row r="293" spans="1:16" ht="15" customHeight="1" x14ac:dyDescent="0.2">
      <c r="A293" s="1" t="s">
        <v>816</v>
      </c>
      <c r="B293" s="1" t="s">
        <v>817</v>
      </c>
      <c r="C293" s="1" t="s">
        <v>9</v>
      </c>
      <c r="D293" s="1" t="s">
        <v>3</v>
      </c>
      <c r="E293" s="5">
        <v>32134</v>
      </c>
      <c r="F293" s="5">
        <v>34859</v>
      </c>
      <c r="G293" s="2"/>
      <c r="H293" s="1" t="s">
        <v>10</v>
      </c>
      <c r="I293" s="2"/>
      <c r="J293" s="1" t="s">
        <v>76</v>
      </c>
      <c r="K293" s="1"/>
      <c r="L293" s="2"/>
      <c r="M293" t="str">
        <f t="shared" si="12"/>
        <v/>
      </c>
      <c r="N293" t="str">
        <f t="shared" si="13"/>
        <v/>
      </c>
      <c r="O293" t="str">
        <f t="shared" si="14"/>
        <v>FJERN</v>
      </c>
      <c r="P293" s="1"/>
    </row>
    <row r="294" spans="1:16" ht="15" customHeight="1" x14ac:dyDescent="0.2">
      <c r="A294" s="1" t="s">
        <v>818</v>
      </c>
      <c r="B294" s="1" t="s">
        <v>819</v>
      </c>
      <c r="C294" s="1" t="s">
        <v>2</v>
      </c>
      <c r="D294" s="1" t="s">
        <v>3</v>
      </c>
      <c r="E294" s="5">
        <v>33088</v>
      </c>
      <c r="F294" s="5">
        <v>36427</v>
      </c>
      <c r="G294" s="2"/>
      <c r="H294" s="1" t="s">
        <v>4</v>
      </c>
      <c r="I294" s="2"/>
      <c r="J294" s="1" t="s">
        <v>122</v>
      </c>
      <c r="K294" s="1" t="s">
        <v>820</v>
      </c>
      <c r="L294" s="2"/>
      <c r="M294" t="str">
        <f t="shared" si="12"/>
        <v/>
      </c>
      <c r="N294" t="str">
        <f t="shared" si="13"/>
        <v/>
      </c>
      <c r="O294" t="str">
        <f t="shared" si="14"/>
        <v>FJERN</v>
      </c>
      <c r="P294" s="1"/>
    </row>
    <row r="295" spans="1:16" ht="15" customHeight="1" x14ac:dyDescent="0.2">
      <c r="A295" s="1" t="s">
        <v>821</v>
      </c>
      <c r="B295" s="1" t="s">
        <v>822</v>
      </c>
      <c r="C295" s="1" t="s">
        <v>2</v>
      </c>
      <c r="D295" s="1" t="s">
        <v>3</v>
      </c>
      <c r="E295" s="5">
        <v>32231</v>
      </c>
      <c r="F295" s="5">
        <v>38063</v>
      </c>
      <c r="G295" s="2"/>
      <c r="H295" s="1" t="s">
        <v>4</v>
      </c>
      <c r="I295" s="2"/>
      <c r="J295" s="1" t="s">
        <v>64</v>
      </c>
      <c r="K295" s="1" t="s">
        <v>823</v>
      </c>
      <c r="L295" s="2"/>
      <c r="M295" t="str">
        <f t="shared" si="12"/>
        <v/>
      </c>
      <c r="N295" t="str">
        <f t="shared" si="13"/>
        <v/>
      </c>
      <c r="O295" t="str">
        <f t="shared" si="14"/>
        <v>FJERN</v>
      </c>
      <c r="P295" s="1" t="s">
        <v>5531</v>
      </c>
    </row>
    <row r="296" spans="1:16" ht="15" customHeight="1" x14ac:dyDescent="0.2">
      <c r="A296" s="1" t="s">
        <v>824</v>
      </c>
      <c r="B296" s="1" t="s">
        <v>825</v>
      </c>
      <c r="C296" s="1" t="s">
        <v>2</v>
      </c>
      <c r="D296" s="1" t="s">
        <v>3</v>
      </c>
      <c r="E296" s="5">
        <v>32232</v>
      </c>
      <c r="F296" s="5">
        <v>38335</v>
      </c>
      <c r="G296" s="2"/>
      <c r="H296" s="1" t="s">
        <v>4</v>
      </c>
      <c r="I296" s="2"/>
      <c r="J296" s="1" t="s">
        <v>86</v>
      </c>
      <c r="K296" s="1" t="s">
        <v>826</v>
      </c>
      <c r="L296" s="2"/>
      <c r="M296" t="str">
        <f t="shared" si="12"/>
        <v/>
      </c>
      <c r="N296" t="str">
        <f t="shared" si="13"/>
        <v/>
      </c>
      <c r="O296" t="str">
        <f t="shared" si="14"/>
        <v>FJERN</v>
      </c>
      <c r="P296" s="1" t="s">
        <v>5532</v>
      </c>
    </row>
    <row r="297" spans="1:16" ht="15" customHeight="1" x14ac:dyDescent="0.2">
      <c r="A297" s="1" t="s">
        <v>827</v>
      </c>
      <c r="B297" s="1" t="s">
        <v>828</v>
      </c>
      <c r="C297" s="1" t="s">
        <v>2</v>
      </c>
      <c r="D297" s="1" t="s">
        <v>3</v>
      </c>
      <c r="E297" s="5">
        <v>34981</v>
      </c>
      <c r="F297" s="5">
        <v>37074</v>
      </c>
      <c r="G297" s="2"/>
      <c r="H297" s="1" t="s">
        <v>4</v>
      </c>
      <c r="I297" s="2"/>
      <c r="J297" s="1" t="s">
        <v>23</v>
      </c>
      <c r="K297" s="1" t="s">
        <v>829</v>
      </c>
      <c r="L297" s="2"/>
      <c r="M297" t="str">
        <f t="shared" si="12"/>
        <v/>
      </c>
      <c r="N297" t="str">
        <f t="shared" si="13"/>
        <v/>
      </c>
      <c r="O297" t="str">
        <f t="shared" si="14"/>
        <v>FJERN</v>
      </c>
      <c r="P297" s="1" t="s">
        <v>5533</v>
      </c>
    </row>
    <row r="298" spans="1:16" ht="15" customHeight="1" x14ac:dyDescent="0.2">
      <c r="A298" s="1" t="s">
        <v>830</v>
      </c>
      <c r="B298" s="1" t="s">
        <v>831</v>
      </c>
      <c r="C298" s="1" t="s">
        <v>2</v>
      </c>
      <c r="D298" s="1" t="s">
        <v>3</v>
      </c>
      <c r="E298" s="5">
        <v>32101</v>
      </c>
      <c r="F298" s="5">
        <v>46038</v>
      </c>
      <c r="G298" s="2">
        <v>6.2880320000000003</v>
      </c>
      <c r="H298" s="1" t="s">
        <v>4</v>
      </c>
      <c r="I298" s="2">
        <v>10.047281999999999</v>
      </c>
      <c r="J298" s="1" t="s">
        <v>11</v>
      </c>
      <c r="K298" s="1" t="s">
        <v>832</v>
      </c>
      <c r="L298" s="2">
        <v>1983.7719999999999</v>
      </c>
      <c r="M298">
        <f t="shared" si="12"/>
        <v>12474.021816704</v>
      </c>
      <c r="N298">
        <f t="shared" si="13"/>
        <v>1674.3653445240268</v>
      </c>
      <c r="O298" t="str">
        <f t="shared" si="14"/>
        <v>FJERN</v>
      </c>
      <c r="P298" s="1" t="s">
        <v>5534</v>
      </c>
    </row>
    <row r="299" spans="1:16" ht="15" customHeight="1" x14ac:dyDescent="0.2">
      <c r="A299" s="1" t="s">
        <v>833</v>
      </c>
      <c r="B299" s="1" t="s">
        <v>834</v>
      </c>
      <c r="C299" s="1" t="s">
        <v>2</v>
      </c>
      <c r="D299" s="1" t="s">
        <v>3</v>
      </c>
      <c r="E299" s="5">
        <v>32101</v>
      </c>
      <c r="F299" s="5">
        <v>35535</v>
      </c>
      <c r="G299" s="2"/>
      <c r="H299" s="1" t="s">
        <v>4</v>
      </c>
      <c r="I299" s="2"/>
      <c r="J299" s="1" t="s">
        <v>86</v>
      </c>
      <c r="K299" s="1" t="s">
        <v>835</v>
      </c>
      <c r="L299" s="2"/>
      <c r="M299" t="str">
        <f t="shared" si="12"/>
        <v/>
      </c>
      <c r="N299" t="str">
        <f t="shared" si="13"/>
        <v/>
      </c>
      <c r="O299" t="str">
        <f t="shared" si="14"/>
        <v>FJERN</v>
      </c>
      <c r="P299" s="1"/>
    </row>
    <row r="300" spans="1:16" ht="15" customHeight="1" x14ac:dyDescent="0.2">
      <c r="A300" s="1" t="s">
        <v>836</v>
      </c>
      <c r="B300" s="1" t="s">
        <v>837</v>
      </c>
      <c r="C300" s="1" t="s">
        <v>2</v>
      </c>
      <c r="D300" s="1" t="s">
        <v>3</v>
      </c>
      <c r="E300" s="5">
        <v>32101</v>
      </c>
      <c r="F300" s="5">
        <v>35544</v>
      </c>
      <c r="G300" s="2"/>
      <c r="H300" s="1" t="s">
        <v>4</v>
      </c>
      <c r="I300" s="2"/>
      <c r="J300" s="1" t="s">
        <v>86</v>
      </c>
      <c r="K300" s="1" t="s">
        <v>838</v>
      </c>
      <c r="L300" s="2"/>
      <c r="M300" t="str">
        <f t="shared" si="12"/>
        <v/>
      </c>
      <c r="N300" t="str">
        <f t="shared" si="13"/>
        <v/>
      </c>
      <c r="O300" t="str">
        <f t="shared" si="14"/>
        <v>FJERN</v>
      </c>
      <c r="P300" s="1"/>
    </row>
    <row r="301" spans="1:16" ht="15" customHeight="1" x14ac:dyDescent="0.2">
      <c r="A301" s="1" t="s">
        <v>839</v>
      </c>
      <c r="B301" s="1" t="s">
        <v>840</v>
      </c>
      <c r="C301" s="1" t="s">
        <v>9</v>
      </c>
      <c r="D301" s="1" t="s">
        <v>3</v>
      </c>
      <c r="E301" s="5">
        <v>32672</v>
      </c>
      <c r="F301" s="5">
        <v>35242</v>
      </c>
      <c r="G301" s="2"/>
      <c r="H301" s="1" t="s">
        <v>10</v>
      </c>
      <c r="I301" s="2"/>
      <c r="J301" s="1" t="s">
        <v>61</v>
      </c>
      <c r="K301" s="1"/>
      <c r="L301" s="2"/>
      <c r="M301" t="str">
        <f t="shared" si="12"/>
        <v/>
      </c>
      <c r="N301" t="str">
        <f t="shared" si="13"/>
        <v/>
      </c>
      <c r="O301" t="str">
        <f t="shared" si="14"/>
        <v>FJERN</v>
      </c>
      <c r="P301" s="1"/>
    </row>
    <row r="302" spans="1:16" ht="15" customHeight="1" x14ac:dyDescent="0.2">
      <c r="A302" s="1" t="s">
        <v>841</v>
      </c>
      <c r="B302" s="1" t="s">
        <v>842</v>
      </c>
      <c r="C302" s="1" t="s">
        <v>2</v>
      </c>
      <c r="D302" s="1" t="s">
        <v>3</v>
      </c>
      <c r="E302" s="5">
        <v>36868</v>
      </c>
      <c r="F302" s="5">
        <v>40408</v>
      </c>
      <c r="G302" s="2">
        <v>10.10853</v>
      </c>
      <c r="H302" s="1" t="s">
        <v>4</v>
      </c>
      <c r="I302" s="2"/>
      <c r="J302" s="1" t="s">
        <v>38</v>
      </c>
      <c r="K302" s="1" t="s">
        <v>843</v>
      </c>
      <c r="L302" s="2">
        <v>46657.16</v>
      </c>
      <c r="M302">
        <f t="shared" si="12"/>
        <v>471635.30157480005</v>
      </c>
      <c r="N302">
        <f t="shared" si="13"/>
        <v>63306.751889234904</v>
      </c>
      <c r="O302" t="str">
        <f t="shared" si="14"/>
        <v>FJERN</v>
      </c>
      <c r="P302" s="1" t="s">
        <v>5535</v>
      </c>
    </row>
    <row r="303" spans="1:16" ht="15" customHeight="1" x14ac:dyDescent="0.2">
      <c r="A303" s="1" t="s">
        <v>844</v>
      </c>
      <c r="B303" s="1" t="s">
        <v>845</v>
      </c>
      <c r="C303" s="1" t="s">
        <v>2</v>
      </c>
      <c r="D303" s="1" t="s">
        <v>3</v>
      </c>
      <c r="E303" s="5">
        <v>32785</v>
      </c>
      <c r="F303" s="5">
        <v>46155</v>
      </c>
      <c r="G303" s="2">
        <v>496.63839999999999</v>
      </c>
      <c r="H303" s="1" t="s">
        <v>4</v>
      </c>
      <c r="I303" s="2">
        <v>151.06264999999999</v>
      </c>
      <c r="J303" s="1" t="s">
        <v>11</v>
      </c>
      <c r="K303" s="1" t="s">
        <v>846</v>
      </c>
      <c r="L303" s="2">
        <v>99.749120000000005</v>
      </c>
      <c r="M303">
        <f t="shared" si="12"/>
        <v>49539.243358208005</v>
      </c>
      <c r="N303">
        <f t="shared" si="13"/>
        <v>6649.5628668735571</v>
      </c>
      <c r="O303" t="str">
        <f t="shared" si="14"/>
        <v>FJERN</v>
      </c>
      <c r="P303" s="1" t="s">
        <v>5536</v>
      </c>
    </row>
    <row r="304" spans="1:16" ht="15" customHeight="1" x14ac:dyDescent="0.2">
      <c r="A304" s="1" t="s">
        <v>847</v>
      </c>
      <c r="B304" s="1" t="s">
        <v>848</v>
      </c>
      <c r="C304" s="1" t="s">
        <v>2</v>
      </c>
      <c r="D304" s="1" t="s">
        <v>3</v>
      </c>
      <c r="E304" s="5">
        <v>33801</v>
      </c>
      <c r="F304" s="5">
        <v>40445</v>
      </c>
      <c r="G304" s="2">
        <v>37.370710000000003</v>
      </c>
      <c r="H304" s="1" t="s">
        <v>4</v>
      </c>
      <c r="I304" s="2"/>
      <c r="J304" s="1" t="s">
        <v>23</v>
      </c>
      <c r="K304" s="1" t="s">
        <v>849</v>
      </c>
      <c r="L304" s="2">
        <v>1473.568</v>
      </c>
      <c r="M304">
        <f t="shared" si="12"/>
        <v>55068.282393280002</v>
      </c>
      <c r="N304">
        <f t="shared" si="13"/>
        <v>7391.7157574872481</v>
      </c>
      <c r="O304" t="str">
        <f t="shared" si="14"/>
        <v>FJERN</v>
      </c>
      <c r="P304" s="1" t="s">
        <v>5537</v>
      </c>
    </row>
    <row r="305" spans="1:16" ht="15" customHeight="1" x14ac:dyDescent="0.2">
      <c r="A305" s="1" t="s">
        <v>850</v>
      </c>
      <c r="B305" s="1" t="s">
        <v>851</v>
      </c>
      <c r="C305" s="1" t="s">
        <v>2</v>
      </c>
      <c r="D305" s="1" t="s">
        <v>3</v>
      </c>
      <c r="E305" s="5">
        <v>32099</v>
      </c>
      <c r="F305" s="5">
        <v>46155</v>
      </c>
      <c r="G305" s="2">
        <v>2.5306980000000001</v>
      </c>
      <c r="H305" s="1" t="s">
        <v>4</v>
      </c>
      <c r="I305" s="2">
        <v>505.01106473999999</v>
      </c>
      <c r="J305" s="1" t="s">
        <v>34</v>
      </c>
      <c r="K305" s="1" t="s">
        <v>852</v>
      </c>
      <c r="L305" s="2">
        <v>511774.5</v>
      </c>
      <c r="M305">
        <f t="shared" si="12"/>
        <v>1295146.7036010001</v>
      </c>
      <c r="N305">
        <f t="shared" si="13"/>
        <v>173845.19511422821</v>
      </c>
      <c r="O305" t="str">
        <f t="shared" si="14"/>
        <v>BEHOLD</v>
      </c>
      <c r="P305" s="1" t="s">
        <v>5538</v>
      </c>
    </row>
    <row r="306" spans="1:16" ht="15" customHeight="1" x14ac:dyDescent="0.2">
      <c r="A306" s="1" t="s">
        <v>853</v>
      </c>
      <c r="B306" s="1" t="s">
        <v>854</v>
      </c>
      <c r="C306" s="1" t="s">
        <v>2</v>
      </c>
      <c r="D306" s="1" t="s">
        <v>3</v>
      </c>
      <c r="E306" s="5">
        <v>33459</v>
      </c>
      <c r="F306" s="5">
        <v>36095</v>
      </c>
      <c r="G306" s="2"/>
      <c r="H306" s="1" t="s">
        <v>4</v>
      </c>
      <c r="I306" s="2"/>
      <c r="J306" s="1" t="s">
        <v>11</v>
      </c>
      <c r="K306" s="1"/>
      <c r="L306" s="2"/>
      <c r="M306" t="str">
        <f t="shared" si="12"/>
        <v/>
      </c>
      <c r="N306" t="str">
        <f t="shared" si="13"/>
        <v/>
      </c>
      <c r="O306" t="str">
        <f t="shared" si="14"/>
        <v>FJERN</v>
      </c>
      <c r="P306" s="1"/>
    </row>
    <row r="307" spans="1:16" ht="15" customHeight="1" x14ac:dyDescent="0.2">
      <c r="A307" s="1" t="s">
        <v>855</v>
      </c>
      <c r="B307" s="1" t="s">
        <v>856</v>
      </c>
      <c r="C307" s="1" t="s">
        <v>9</v>
      </c>
      <c r="D307" s="1" t="s">
        <v>3</v>
      </c>
      <c r="E307" s="5">
        <v>33555</v>
      </c>
      <c r="F307" s="5">
        <v>46155</v>
      </c>
      <c r="G307" s="2">
        <v>5.6287260000000003</v>
      </c>
      <c r="H307" s="1" t="s">
        <v>10</v>
      </c>
      <c r="I307" s="2">
        <v>774.30251720000001</v>
      </c>
      <c r="J307" s="1" t="s">
        <v>19</v>
      </c>
      <c r="K307" s="1" t="s">
        <v>857</v>
      </c>
      <c r="L307" s="2">
        <v>328772.5</v>
      </c>
      <c r="M307">
        <f t="shared" si="12"/>
        <v>1850570.318835</v>
      </c>
      <c r="N307">
        <f t="shared" si="13"/>
        <v>163767.28485265485</v>
      </c>
      <c r="O307" t="str">
        <f t="shared" si="14"/>
        <v>BEHOLD</v>
      </c>
      <c r="P307" s="1" t="s">
        <v>5539</v>
      </c>
    </row>
    <row r="308" spans="1:16" ht="15" customHeight="1" x14ac:dyDescent="0.2">
      <c r="A308" s="1" t="s">
        <v>858</v>
      </c>
      <c r="B308" s="1" t="s">
        <v>859</v>
      </c>
      <c r="C308" s="1" t="s">
        <v>2</v>
      </c>
      <c r="D308" s="1" t="s">
        <v>3</v>
      </c>
      <c r="E308" s="5">
        <v>32051</v>
      </c>
      <c r="F308" s="5">
        <v>35780</v>
      </c>
      <c r="G308" s="2"/>
      <c r="H308" s="1" t="s">
        <v>4</v>
      </c>
      <c r="I308" s="2"/>
      <c r="J308" s="1" t="s">
        <v>122</v>
      </c>
      <c r="K308" s="1"/>
      <c r="L308" s="2"/>
      <c r="M308" t="str">
        <f t="shared" si="12"/>
        <v/>
      </c>
      <c r="N308" t="str">
        <f t="shared" si="13"/>
        <v/>
      </c>
      <c r="O308" t="str">
        <f t="shared" si="14"/>
        <v>FJERN</v>
      </c>
      <c r="P308" s="1"/>
    </row>
    <row r="309" spans="1:16" ht="15" customHeight="1" x14ac:dyDescent="0.2">
      <c r="A309" s="1" t="s">
        <v>860</v>
      </c>
      <c r="B309" s="1" t="s">
        <v>861</v>
      </c>
      <c r="C309" s="1" t="s">
        <v>2</v>
      </c>
      <c r="D309" s="1" t="s">
        <v>3</v>
      </c>
      <c r="E309" s="5">
        <v>32106</v>
      </c>
      <c r="F309" s="5">
        <v>35220</v>
      </c>
      <c r="G309" s="2"/>
      <c r="H309" s="1" t="s">
        <v>4</v>
      </c>
      <c r="I309" s="2"/>
      <c r="J309" s="1" t="s">
        <v>51</v>
      </c>
      <c r="K309" s="1" t="s">
        <v>862</v>
      </c>
      <c r="L309" s="2"/>
      <c r="M309" t="str">
        <f t="shared" si="12"/>
        <v/>
      </c>
      <c r="N309" t="str">
        <f t="shared" si="13"/>
        <v/>
      </c>
      <c r="O309" t="str">
        <f t="shared" si="14"/>
        <v>FJERN</v>
      </c>
      <c r="P309" s="1"/>
    </row>
    <row r="310" spans="1:16" ht="15" customHeight="1" x14ac:dyDescent="0.2">
      <c r="A310" s="1" t="s">
        <v>863</v>
      </c>
      <c r="B310" s="1" t="s">
        <v>864</v>
      </c>
      <c r="C310" s="1" t="s">
        <v>9</v>
      </c>
      <c r="D310" s="1" t="s">
        <v>3</v>
      </c>
      <c r="E310" s="5">
        <v>32000</v>
      </c>
      <c r="F310" s="5">
        <v>33449</v>
      </c>
      <c r="G310" s="2"/>
      <c r="H310" s="1" t="s">
        <v>10</v>
      </c>
      <c r="I310" s="2"/>
      <c r="J310" s="1" t="s">
        <v>548</v>
      </c>
      <c r="K310" s="1"/>
      <c r="L310" s="2"/>
      <c r="M310" t="str">
        <f t="shared" si="12"/>
        <v/>
      </c>
      <c r="N310" t="str">
        <f t="shared" si="13"/>
        <v/>
      </c>
      <c r="O310" t="str">
        <f t="shared" si="14"/>
        <v>FJERN</v>
      </c>
      <c r="P310" s="1"/>
    </row>
    <row r="311" spans="1:16" ht="15" customHeight="1" x14ac:dyDescent="0.2">
      <c r="A311" s="1" t="s">
        <v>865</v>
      </c>
      <c r="B311" s="1" t="s">
        <v>866</v>
      </c>
      <c r="C311" s="1" t="s">
        <v>9</v>
      </c>
      <c r="D311" s="1" t="s">
        <v>3</v>
      </c>
      <c r="E311" s="5">
        <v>32000</v>
      </c>
      <c r="F311" s="5">
        <v>33451</v>
      </c>
      <c r="G311" s="2"/>
      <c r="H311" s="1" t="s">
        <v>10</v>
      </c>
      <c r="I311" s="2"/>
      <c r="J311" s="1" t="s">
        <v>548</v>
      </c>
      <c r="K311" s="1" t="s">
        <v>867</v>
      </c>
      <c r="L311" s="2"/>
      <c r="M311" t="str">
        <f t="shared" si="12"/>
        <v/>
      </c>
      <c r="N311" t="str">
        <f t="shared" si="13"/>
        <v/>
      </c>
      <c r="O311" t="str">
        <f t="shared" si="14"/>
        <v>FJERN</v>
      </c>
      <c r="P311" s="1"/>
    </row>
    <row r="312" spans="1:16" ht="15" customHeight="1" x14ac:dyDescent="0.2">
      <c r="A312" s="1" t="s">
        <v>868</v>
      </c>
      <c r="B312" s="1" t="s">
        <v>866</v>
      </c>
      <c r="C312" s="1" t="s">
        <v>9</v>
      </c>
      <c r="D312" s="1" t="s">
        <v>3</v>
      </c>
      <c r="E312" s="5">
        <v>32064</v>
      </c>
      <c r="F312" s="5">
        <v>33448</v>
      </c>
      <c r="G312" s="2"/>
      <c r="H312" s="1" t="s">
        <v>10</v>
      </c>
      <c r="I312" s="2"/>
      <c r="J312" s="1" t="s">
        <v>548</v>
      </c>
      <c r="K312" s="1"/>
      <c r="L312" s="2"/>
      <c r="M312" t="str">
        <f t="shared" si="12"/>
        <v/>
      </c>
      <c r="N312" t="str">
        <f t="shared" si="13"/>
        <v/>
      </c>
      <c r="O312" t="str">
        <f t="shared" si="14"/>
        <v>FJERN</v>
      </c>
      <c r="P312" s="1"/>
    </row>
    <row r="313" spans="1:16" ht="15" customHeight="1" x14ac:dyDescent="0.2">
      <c r="A313" s="1" t="s">
        <v>869</v>
      </c>
      <c r="B313" s="1" t="s">
        <v>870</v>
      </c>
      <c r="C313" s="1" t="s">
        <v>9</v>
      </c>
      <c r="D313" s="1" t="s">
        <v>3</v>
      </c>
      <c r="E313" s="5">
        <v>32651</v>
      </c>
      <c r="F313" s="5">
        <v>33864</v>
      </c>
      <c r="G313" s="2"/>
      <c r="H313" s="1" t="s">
        <v>10</v>
      </c>
      <c r="I313" s="2"/>
      <c r="J313" s="1" t="s">
        <v>86</v>
      </c>
      <c r="K313" s="1" t="s">
        <v>871</v>
      </c>
      <c r="L313" s="2"/>
      <c r="M313" t="str">
        <f t="shared" si="12"/>
        <v/>
      </c>
      <c r="N313" t="str">
        <f t="shared" si="13"/>
        <v/>
      </c>
      <c r="O313" t="str">
        <f t="shared" si="14"/>
        <v>FJERN</v>
      </c>
      <c r="P313" s="1"/>
    </row>
    <row r="314" spans="1:16" ht="15" customHeight="1" x14ac:dyDescent="0.2">
      <c r="A314" s="1" t="s">
        <v>872</v>
      </c>
      <c r="B314" s="1" t="s">
        <v>873</v>
      </c>
      <c r="C314" s="1" t="s">
        <v>9</v>
      </c>
      <c r="D314" s="1" t="s">
        <v>3</v>
      </c>
      <c r="E314" s="5">
        <v>33947</v>
      </c>
      <c r="F314" s="5">
        <v>46155</v>
      </c>
      <c r="G314" s="2">
        <v>19.918399999999998</v>
      </c>
      <c r="H314" s="1" t="s">
        <v>10</v>
      </c>
      <c r="I314" s="2">
        <v>2526.7691592000001</v>
      </c>
      <c r="J314" s="1" t="s">
        <v>76</v>
      </c>
      <c r="K314" s="1" t="s">
        <v>874</v>
      </c>
      <c r="L314" s="2">
        <v>87320.77</v>
      </c>
      <c r="M314">
        <f t="shared" si="12"/>
        <v>1739290.025168</v>
      </c>
      <c r="N314">
        <f t="shared" si="13"/>
        <v>153919.4712538053</v>
      </c>
      <c r="O314" t="str">
        <f t="shared" si="14"/>
        <v>BEHOLD</v>
      </c>
      <c r="P314" s="1" t="s">
        <v>5540</v>
      </c>
    </row>
    <row r="315" spans="1:16" ht="15" customHeight="1" x14ac:dyDescent="0.2">
      <c r="A315" s="1" t="s">
        <v>875</v>
      </c>
      <c r="B315" s="1" t="s">
        <v>876</v>
      </c>
      <c r="C315" s="1" t="s">
        <v>9</v>
      </c>
      <c r="D315" s="1" t="s">
        <v>3</v>
      </c>
      <c r="E315" s="5">
        <v>33555</v>
      </c>
      <c r="F315" s="5">
        <v>36098</v>
      </c>
      <c r="G315" s="2"/>
      <c r="H315" s="1" t="s">
        <v>10</v>
      </c>
      <c r="I315" s="2"/>
      <c r="J315" s="1" t="s">
        <v>61</v>
      </c>
      <c r="K315" s="1"/>
      <c r="L315" s="2"/>
      <c r="M315" t="str">
        <f t="shared" si="12"/>
        <v/>
      </c>
      <c r="N315" t="str">
        <f t="shared" si="13"/>
        <v/>
      </c>
      <c r="O315" t="str">
        <f t="shared" si="14"/>
        <v>FJERN</v>
      </c>
      <c r="P315" s="1"/>
    </row>
    <row r="316" spans="1:16" ht="15" customHeight="1" x14ac:dyDescent="0.2">
      <c r="A316" s="1" t="s">
        <v>877</v>
      </c>
      <c r="B316" s="1" t="s">
        <v>878</v>
      </c>
      <c r="C316" s="1" t="s">
        <v>2</v>
      </c>
      <c r="D316" s="1" t="s">
        <v>3</v>
      </c>
      <c r="E316" s="5">
        <v>33137</v>
      </c>
      <c r="F316" s="5">
        <v>44132</v>
      </c>
      <c r="G316" s="2">
        <v>203.36089999999999</v>
      </c>
      <c r="H316" s="1" t="s">
        <v>4</v>
      </c>
      <c r="I316" s="2"/>
      <c r="J316" s="1" t="s">
        <v>15</v>
      </c>
      <c r="K316" s="1" t="s">
        <v>879</v>
      </c>
      <c r="L316" s="2">
        <v>526.82410000000004</v>
      </c>
      <c r="M316">
        <f t="shared" si="12"/>
        <v>107135.42311769001</v>
      </c>
      <c r="N316">
        <f t="shared" si="13"/>
        <v>14380.593707072483</v>
      </c>
      <c r="O316" t="str">
        <f t="shared" si="14"/>
        <v>FJERN</v>
      </c>
      <c r="P316" s="1" t="s">
        <v>5541</v>
      </c>
    </row>
    <row r="317" spans="1:16" ht="15" customHeight="1" x14ac:dyDescent="0.2">
      <c r="A317" s="1" t="s">
        <v>880</v>
      </c>
      <c r="B317" s="1" t="s">
        <v>881</v>
      </c>
      <c r="C317" s="1" t="s">
        <v>9</v>
      </c>
      <c r="D317" s="1" t="s">
        <v>3</v>
      </c>
      <c r="E317" s="5">
        <v>32007</v>
      </c>
      <c r="F317" s="5">
        <v>35832</v>
      </c>
      <c r="G317" s="2"/>
      <c r="H317" s="1" t="s">
        <v>10</v>
      </c>
      <c r="I317" s="2"/>
      <c r="J317" s="1" t="s">
        <v>55</v>
      </c>
      <c r="K317" s="1"/>
      <c r="L317" s="2"/>
      <c r="M317" t="str">
        <f t="shared" si="12"/>
        <v/>
      </c>
      <c r="N317" t="str">
        <f t="shared" si="13"/>
        <v/>
      </c>
      <c r="O317" t="str">
        <f t="shared" si="14"/>
        <v>FJERN</v>
      </c>
      <c r="P317" s="1"/>
    </row>
    <row r="318" spans="1:16" ht="15" customHeight="1" x14ac:dyDescent="0.2">
      <c r="A318" s="1" t="s">
        <v>882</v>
      </c>
      <c r="B318" s="1" t="s">
        <v>883</v>
      </c>
      <c r="C318" s="1" t="s">
        <v>2</v>
      </c>
      <c r="D318" s="1" t="s">
        <v>3</v>
      </c>
      <c r="E318" s="5">
        <v>33196</v>
      </c>
      <c r="F318" s="5">
        <v>37756</v>
      </c>
      <c r="G318" s="2"/>
      <c r="H318" s="1" t="s">
        <v>4</v>
      </c>
      <c r="I318" s="2"/>
      <c r="J318" s="1"/>
      <c r="K318" s="1" t="s">
        <v>884</v>
      </c>
      <c r="L318" s="2"/>
      <c r="M318" t="str">
        <f t="shared" si="12"/>
        <v/>
      </c>
      <c r="N318" t="str">
        <f t="shared" si="13"/>
        <v/>
      </c>
      <c r="O318" t="str">
        <f t="shared" si="14"/>
        <v>FJERN</v>
      </c>
      <c r="P318" s="1"/>
    </row>
    <row r="319" spans="1:16" ht="15" customHeight="1" x14ac:dyDescent="0.2">
      <c r="A319" s="1" t="s">
        <v>885</v>
      </c>
      <c r="B319" s="1" t="s">
        <v>886</v>
      </c>
      <c r="C319" s="1" t="s">
        <v>2</v>
      </c>
      <c r="D319" s="1" t="s">
        <v>3</v>
      </c>
      <c r="E319" s="5">
        <v>32232</v>
      </c>
      <c r="F319" s="5">
        <v>44956</v>
      </c>
      <c r="G319" s="2">
        <v>67.344660000000005</v>
      </c>
      <c r="H319" s="1" t="s">
        <v>4</v>
      </c>
      <c r="I319" s="2"/>
      <c r="J319" s="1" t="s">
        <v>11</v>
      </c>
      <c r="K319" s="1" t="s">
        <v>887</v>
      </c>
      <c r="L319" s="2">
        <v>6112.2629999999999</v>
      </c>
      <c r="M319">
        <f t="shared" si="12"/>
        <v>411628.27356558002</v>
      </c>
      <c r="N319">
        <f t="shared" si="13"/>
        <v>55252.117257124832</v>
      </c>
      <c r="O319" t="str">
        <f t="shared" si="14"/>
        <v>FJERN</v>
      </c>
      <c r="P319" s="1" t="s">
        <v>5542</v>
      </c>
    </row>
    <row r="320" spans="1:16" ht="15" customHeight="1" x14ac:dyDescent="0.2">
      <c r="A320" s="1" t="s">
        <v>888</v>
      </c>
      <c r="B320" s="1" t="s">
        <v>889</v>
      </c>
      <c r="C320" s="1" t="s">
        <v>9</v>
      </c>
      <c r="D320" s="1" t="s">
        <v>3</v>
      </c>
      <c r="E320" s="5">
        <v>31582</v>
      </c>
      <c r="F320" s="5">
        <v>33778</v>
      </c>
      <c r="G320" s="2"/>
      <c r="H320" s="1" t="s">
        <v>10</v>
      </c>
      <c r="I320" s="2"/>
      <c r="J320" s="1"/>
      <c r="K320" s="1"/>
      <c r="L320" s="2"/>
      <c r="M320" t="str">
        <f t="shared" si="12"/>
        <v/>
      </c>
      <c r="N320" t="str">
        <f t="shared" si="13"/>
        <v/>
      </c>
      <c r="O320" t="str">
        <f t="shared" si="14"/>
        <v>FJERN</v>
      </c>
      <c r="P320" s="1"/>
    </row>
    <row r="321" spans="1:16" ht="15" customHeight="1" x14ac:dyDescent="0.2">
      <c r="A321" s="1" t="s">
        <v>890</v>
      </c>
      <c r="B321" s="1" t="s">
        <v>891</v>
      </c>
      <c r="C321" s="1" t="s">
        <v>2</v>
      </c>
      <c r="D321" s="1" t="s">
        <v>3</v>
      </c>
      <c r="E321" s="5">
        <v>32647</v>
      </c>
      <c r="F321" s="5">
        <v>37144</v>
      </c>
      <c r="G321" s="2"/>
      <c r="H321" s="1" t="s">
        <v>4</v>
      </c>
      <c r="I321" s="2"/>
      <c r="J321" s="1" t="s">
        <v>256</v>
      </c>
      <c r="K321" s="1"/>
      <c r="L321" s="2"/>
      <c r="M321" t="str">
        <f t="shared" si="12"/>
        <v/>
      </c>
      <c r="N321" t="str">
        <f t="shared" si="13"/>
        <v/>
      </c>
      <c r="O321" t="str">
        <f t="shared" si="14"/>
        <v>FJERN</v>
      </c>
      <c r="P321" s="1"/>
    </row>
    <row r="322" spans="1:16" ht="15" customHeight="1" x14ac:dyDescent="0.2">
      <c r="A322" s="1" t="s">
        <v>892</v>
      </c>
      <c r="B322" s="1" t="s">
        <v>893</v>
      </c>
      <c r="C322" s="1" t="s">
        <v>9</v>
      </c>
      <c r="D322" s="1" t="s">
        <v>3</v>
      </c>
      <c r="E322" s="5">
        <v>36865</v>
      </c>
      <c r="F322" s="5">
        <v>39794</v>
      </c>
      <c r="G322" s="2">
        <v>55</v>
      </c>
      <c r="H322" s="1" t="s">
        <v>10</v>
      </c>
      <c r="I322" s="2"/>
      <c r="J322" s="1" t="s">
        <v>76</v>
      </c>
      <c r="K322" s="1" t="s">
        <v>894</v>
      </c>
      <c r="L322" s="2">
        <v>0</v>
      </c>
      <c r="M322">
        <f t="shared" si="12"/>
        <v>0</v>
      </c>
      <c r="N322">
        <f t="shared" si="13"/>
        <v>0</v>
      </c>
      <c r="O322" t="str">
        <f t="shared" si="14"/>
        <v>FJERN</v>
      </c>
      <c r="P322" s="1" t="s">
        <v>5543</v>
      </c>
    </row>
    <row r="323" spans="1:16" ht="15" customHeight="1" x14ac:dyDescent="0.2">
      <c r="A323" s="1" t="s">
        <v>895</v>
      </c>
      <c r="B323" s="1" t="s">
        <v>896</v>
      </c>
      <c r="C323" s="1" t="s">
        <v>2</v>
      </c>
      <c r="D323" s="1" t="s">
        <v>3</v>
      </c>
      <c r="E323" s="5">
        <v>32106</v>
      </c>
      <c r="F323" s="5">
        <v>36432</v>
      </c>
      <c r="G323" s="2"/>
      <c r="H323" s="1" t="s">
        <v>4</v>
      </c>
      <c r="I323" s="2"/>
      <c r="J323" s="1" t="s">
        <v>19</v>
      </c>
      <c r="K323" s="1" t="s">
        <v>897</v>
      </c>
      <c r="L323" s="2"/>
      <c r="M323" t="str">
        <f t="shared" ref="M323:M386" si="15">IF(OR(G323="",L323=""),"",G323*L323)</f>
        <v/>
      </c>
      <c r="N323" t="str">
        <f t="shared" ref="N323:N386" si="16">IF(M323="","",IF(H323="DKK",M323/7.45,IF(H323="SEK",M323/11.3,M323)))</f>
        <v/>
      </c>
      <c r="O323" t="str">
        <f t="shared" ref="O323:O386" si="17">IF(AND(E323&lt;=DATE(2024,12,31),F323&gt;=DATE(2010,1,1),D323="SHARE",N323&gt;=100000),"BEHOLD","FJERN")</f>
        <v>FJERN</v>
      </c>
      <c r="P323" s="1"/>
    </row>
    <row r="324" spans="1:16" ht="15" customHeight="1" x14ac:dyDescent="0.2">
      <c r="A324" s="1" t="s">
        <v>898</v>
      </c>
      <c r="B324" s="1" t="s">
        <v>899</v>
      </c>
      <c r="C324" s="1" t="s">
        <v>9</v>
      </c>
      <c r="D324" s="1" t="s">
        <v>3</v>
      </c>
      <c r="E324" s="5">
        <v>32030</v>
      </c>
      <c r="F324" s="5">
        <v>35611</v>
      </c>
      <c r="G324" s="2"/>
      <c r="H324" s="1" t="s">
        <v>10</v>
      </c>
      <c r="I324" s="2"/>
      <c r="J324" s="1" t="s">
        <v>11</v>
      </c>
      <c r="K324" s="1"/>
      <c r="L324" s="2"/>
      <c r="M324" t="str">
        <f t="shared" si="15"/>
        <v/>
      </c>
      <c r="N324" t="str">
        <f t="shared" si="16"/>
        <v/>
      </c>
      <c r="O324" t="str">
        <f t="shared" si="17"/>
        <v>FJERN</v>
      </c>
      <c r="P324" s="1"/>
    </row>
    <row r="325" spans="1:16" ht="15" customHeight="1" x14ac:dyDescent="0.2">
      <c r="A325" s="1" t="s">
        <v>900</v>
      </c>
      <c r="B325" s="1" t="s">
        <v>901</v>
      </c>
      <c r="C325" s="1" t="s">
        <v>2</v>
      </c>
      <c r="D325" s="1" t="s">
        <v>3</v>
      </c>
      <c r="E325" s="5">
        <v>33708</v>
      </c>
      <c r="F325" s="5">
        <v>46155</v>
      </c>
      <c r="G325" s="2">
        <v>13.88893</v>
      </c>
      <c r="H325" s="1" t="s">
        <v>4</v>
      </c>
      <c r="I325" s="2">
        <v>307.93969779999998</v>
      </c>
      <c r="J325" s="1" t="s">
        <v>61</v>
      </c>
      <c r="K325" s="1" t="s">
        <v>902</v>
      </c>
      <c r="L325" s="2">
        <v>2730.027</v>
      </c>
      <c r="M325">
        <f t="shared" si="15"/>
        <v>37917.153901110003</v>
      </c>
      <c r="N325">
        <f t="shared" si="16"/>
        <v>5089.5508592093965</v>
      </c>
      <c r="O325" t="str">
        <f t="shared" si="17"/>
        <v>FJERN</v>
      </c>
      <c r="P325" s="1" t="s">
        <v>5544</v>
      </c>
    </row>
    <row r="326" spans="1:16" ht="15" customHeight="1" x14ac:dyDescent="0.2">
      <c r="A326" s="1" t="s">
        <v>903</v>
      </c>
      <c r="B326" s="1" t="s">
        <v>904</v>
      </c>
      <c r="C326" s="1" t="s">
        <v>2</v>
      </c>
      <c r="D326" s="1" t="s">
        <v>3</v>
      </c>
      <c r="E326" s="5">
        <v>33855</v>
      </c>
      <c r="F326" s="5">
        <v>36217</v>
      </c>
      <c r="G326" s="2"/>
      <c r="H326" s="1" t="s">
        <v>4</v>
      </c>
      <c r="I326" s="2"/>
      <c r="J326" s="1" t="s">
        <v>115</v>
      </c>
      <c r="K326" s="1"/>
      <c r="L326" s="2"/>
      <c r="M326" t="str">
        <f t="shared" si="15"/>
        <v/>
      </c>
      <c r="N326" t="str">
        <f t="shared" si="16"/>
        <v/>
      </c>
      <c r="O326" t="str">
        <f t="shared" si="17"/>
        <v>FJERN</v>
      </c>
      <c r="P326" s="1"/>
    </row>
    <row r="327" spans="1:16" ht="15" customHeight="1" x14ac:dyDescent="0.2">
      <c r="A327" s="1" t="s">
        <v>905</v>
      </c>
      <c r="B327" s="1" t="s">
        <v>906</v>
      </c>
      <c r="C327" s="1" t="s">
        <v>9</v>
      </c>
      <c r="D327" s="1" t="s">
        <v>3</v>
      </c>
      <c r="E327" s="5">
        <v>31049</v>
      </c>
      <c r="F327" s="5">
        <v>36179</v>
      </c>
      <c r="G327" s="2"/>
      <c r="H327" s="1" t="s">
        <v>10</v>
      </c>
      <c r="I327" s="2"/>
      <c r="J327" s="1" t="s">
        <v>86</v>
      </c>
      <c r="K327" s="1"/>
      <c r="L327" s="2"/>
      <c r="M327" t="str">
        <f t="shared" si="15"/>
        <v/>
      </c>
      <c r="N327" t="str">
        <f t="shared" si="16"/>
        <v/>
      </c>
      <c r="O327" t="str">
        <f t="shared" si="17"/>
        <v>FJERN</v>
      </c>
      <c r="P327" s="1"/>
    </row>
    <row r="328" spans="1:16" ht="15" customHeight="1" x14ac:dyDescent="0.2">
      <c r="A328" s="1" t="s">
        <v>907</v>
      </c>
      <c r="B328" s="1" t="s">
        <v>908</v>
      </c>
      <c r="C328" s="1" t="s">
        <v>9</v>
      </c>
      <c r="D328" s="1" t="s">
        <v>3</v>
      </c>
      <c r="E328" s="5">
        <v>34242</v>
      </c>
      <c r="F328" s="5">
        <v>34268</v>
      </c>
      <c r="G328" s="2"/>
      <c r="H328" s="1" t="s">
        <v>10</v>
      </c>
      <c r="I328" s="2"/>
      <c r="J328" s="1" t="s">
        <v>15</v>
      </c>
      <c r="K328" s="1"/>
      <c r="L328" s="2"/>
      <c r="M328" t="str">
        <f t="shared" si="15"/>
        <v/>
      </c>
      <c r="N328" t="str">
        <f t="shared" si="16"/>
        <v/>
      </c>
      <c r="O328" t="str">
        <f t="shared" si="17"/>
        <v>FJERN</v>
      </c>
      <c r="P328" s="1"/>
    </row>
    <row r="329" spans="1:16" ht="15" customHeight="1" x14ac:dyDescent="0.2">
      <c r="A329" s="1" t="s">
        <v>909</v>
      </c>
      <c r="B329" s="1" t="s">
        <v>910</v>
      </c>
      <c r="C329" s="1" t="s">
        <v>2</v>
      </c>
      <c r="D329" s="1" t="s">
        <v>3</v>
      </c>
      <c r="E329" s="5">
        <v>32643</v>
      </c>
      <c r="F329" s="5">
        <v>41214</v>
      </c>
      <c r="G329" s="2">
        <v>2.4705360000000001</v>
      </c>
      <c r="H329" s="1" t="s">
        <v>4</v>
      </c>
      <c r="I329" s="2"/>
      <c r="J329" s="1" t="s">
        <v>61</v>
      </c>
      <c r="K329" s="1" t="s">
        <v>911</v>
      </c>
      <c r="L329" s="2">
        <v>52028.21</v>
      </c>
      <c r="M329">
        <f t="shared" si="15"/>
        <v>128537.56582056</v>
      </c>
      <c r="N329">
        <f t="shared" si="16"/>
        <v>17253.364539672482</v>
      </c>
      <c r="O329" t="str">
        <f t="shared" si="17"/>
        <v>FJERN</v>
      </c>
      <c r="P329" s="1" t="s">
        <v>5545</v>
      </c>
    </row>
    <row r="330" spans="1:16" ht="15" customHeight="1" x14ac:dyDescent="0.2">
      <c r="A330" s="1" t="s">
        <v>912</v>
      </c>
      <c r="B330" s="1" t="s">
        <v>913</v>
      </c>
      <c r="C330" s="1" t="s">
        <v>2</v>
      </c>
      <c r="D330" s="1" t="s">
        <v>3</v>
      </c>
      <c r="E330" s="5">
        <v>33353</v>
      </c>
      <c r="F330" s="5">
        <v>37833</v>
      </c>
      <c r="G330" s="2"/>
      <c r="H330" s="1" t="s">
        <v>4</v>
      </c>
      <c r="I330" s="2"/>
      <c r="J330" s="1" t="s">
        <v>19</v>
      </c>
      <c r="K330" s="1" t="s">
        <v>914</v>
      </c>
      <c r="L330" s="2"/>
      <c r="M330" t="str">
        <f t="shared" si="15"/>
        <v/>
      </c>
      <c r="N330" t="str">
        <f t="shared" si="16"/>
        <v/>
      </c>
      <c r="O330" t="str">
        <f t="shared" si="17"/>
        <v>FJERN</v>
      </c>
      <c r="P330" s="1"/>
    </row>
    <row r="331" spans="1:16" ht="15" customHeight="1" x14ac:dyDescent="0.2">
      <c r="A331" s="1" t="s">
        <v>915</v>
      </c>
      <c r="B331" s="1" t="s">
        <v>916</v>
      </c>
      <c r="C331" s="1" t="s">
        <v>9</v>
      </c>
      <c r="D331" s="1" t="s">
        <v>3</v>
      </c>
      <c r="E331" s="5">
        <v>32133</v>
      </c>
      <c r="F331" s="5">
        <v>35725</v>
      </c>
      <c r="G331" s="2"/>
      <c r="H331" s="1" t="s">
        <v>10</v>
      </c>
      <c r="I331" s="2"/>
      <c r="J331" s="1" t="s">
        <v>23</v>
      </c>
      <c r="K331" s="1"/>
      <c r="L331" s="2"/>
      <c r="M331" t="str">
        <f t="shared" si="15"/>
        <v/>
      </c>
      <c r="N331" t="str">
        <f t="shared" si="16"/>
        <v/>
      </c>
      <c r="O331" t="str">
        <f t="shared" si="17"/>
        <v>FJERN</v>
      </c>
      <c r="P331" s="1"/>
    </row>
    <row r="332" spans="1:16" ht="15" customHeight="1" x14ac:dyDescent="0.2">
      <c r="A332" s="1" t="s">
        <v>917</v>
      </c>
      <c r="B332" s="1" t="s">
        <v>918</v>
      </c>
      <c r="C332" s="1" t="s">
        <v>9</v>
      </c>
      <c r="D332" s="1" t="s">
        <v>3</v>
      </c>
      <c r="E332" s="5">
        <v>32134</v>
      </c>
      <c r="F332" s="5">
        <v>35334</v>
      </c>
      <c r="G332" s="2"/>
      <c r="H332" s="1" t="s">
        <v>10</v>
      </c>
      <c r="I332" s="2"/>
      <c r="J332" s="1" t="s">
        <v>122</v>
      </c>
      <c r="K332" s="1" t="s">
        <v>919</v>
      </c>
      <c r="L332" s="2"/>
      <c r="M332" t="str">
        <f t="shared" si="15"/>
        <v/>
      </c>
      <c r="N332" t="str">
        <f t="shared" si="16"/>
        <v/>
      </c>
      <c r="O332" t="str">
        <f t="shared" si="17"/>
        <v>FJERN</v>
      </c>
      <c r="P332" s="1"/>
    </row>
    <row r="333" spans="1:16" ht="15" customHeight="1" x14ac:dyDescent="0.2">
      <c r="A333" s="1" t="s">
        <v>920</v>
      </c>
      <c r="B333" s="1" t="s">
        <v>921</v>
      </c>
      <c r="C333" s="1" t="s">
        <v>9</v>
      </c>
      <c r="D333" s="1" t="s">
        <v>3</v>
      </c>
      <c r="E333" s="5">
        <v>32512</v>
      </c>
      <c r="F333" s="5">
        <v>32986</v>
      </c>
      <c r="G333" s="2"/>
      <c r="H333" s="1" t="s">
        <v>10</v>
      </c>
      <c r="I333" s="2"/>
      <c r="J333" s="1" t="s">
        <v>15</v>
      </c>
      <c r="K333" s="1"/>
      <c r="L333" s="2"/>
      <c r="M333" t="str">
        <f t="shared" si="15"/>
        <v/>
      </c>
      <c r="N333" t="str">
        <f t="shared" si="16"/>
        <v/>
      </c>
      <c r="O333" t="str">
        <f t="shared" si="17"/>
        <v>FJERN</v>
      </c>
      <c r="P333" s="1"/>
    </row>
    <row r="334" spans="1:16" ht="15" customHeight="1" x14ac:dyDescent="0.2">
      <c r="A334" s="1" t="s">
        <v>922</v>
      </c>
      <c r="B334" s="1" t="s">
        <v>923</v>
      </c>
      <c r="C334" s="1" t="s">
        <v>9</v>
      </c>
      <c r="D334" s="1" t="s">
        <v>3</v>
      </c>
      <c r="E334" s="5">
        <v>33268</v>
      </c>
      <c r="F334" s="5">
        <v>33268</v>
      </c>
      <c r="G334" s="2"/>
      <c r="H334" s="1" t="s">
        <v>10</v>
      </c>
      <c r="I334" s="2"/>
      <c r="J334" s="1" t="s">
        <v>83</v>
      </c>
      <c r="K334" s="1"/>
      <c r="L334" s="2"/>
      <c r="M334" t="str">
        <f t="shared" si="15"/>
        <v/>
      </c>
      <c r="N334" t="str">
        <f t="shared" si="16"/>
        <v/>
      </c>
      <c r="O334" t="str">
        <f t="shared" si="17"/>
        <v>FJERN</v>
      </c>
      <c r="P334" s="1"/>
    </row>
    <row r="335" spans="1:16" ht="15" customHeight="1" x14ac:dyDescent="0.2">
      <c r="A335" s="1" t="s">
        <v>924</v>
      </c>
      <c r="B335" s="1" t="s">
        <v>925</v>
      </c>
      <c r="C335" s="1" t="s">
        <v>9</v>
      </c>
      <c r="D335" s="1" t="s">
        <v>3</v>
      </c>
      <c r="E335" s="5">
        <v>31049</v>
      </c>
      <c r="F335" s="5">
        <v>46155</v>
      </c>
      <c r="G335" s="2">
        <v>93.788600000000002</v>
      </c>
      <c r="H335" s="1" t="s">
        <v>10</v>
      </c>
      <c r="I335" s="2">
        <v>382703.569597864</v>
      </c>
      <c r="J335" s="1" t="s">
        <v>76</v>
      </c>
      <c r="K335" s="1" t="s">
        <v>926</v>
      </c>
      <c r="L335" s="2">
        <v>5764056</v>
      </c>
      <c r="M335">
        <f t="shared" si="15"/>
        <v>540602742.56159997</v>
      </c>
      <c r="N335">
        <f t="shared" si="16"/>
        <v>47840950.669168137</v>
      </c>
      <c r="O335" t="str">
        <f t="shared" si="17"/>
        <v>BEHOLD</v>
      </c>
      <c r="P335" s="1" t="s">
        <v>5546</v>
      </c>
    </row>
    <row r="336" spans="1:16" ht="15" customHeight="1" x14ac:dyDescent="0.2">
      <c r="A336" s="1" t="s">
        <v>927</v>
      </c>
      <c r="B336" s="1" t="s">
        <v>928</v>
      </c>
      <c r="C336" s="1" t="s">
        <v>9</v>
      </c>
      <c r="D336" s="1" t="s">
        <v>3</v>
      </c>
      <c r="E336" s="5">
        <v>31049</v>
      </c>
      <c r="F336" s="5">
        <v>35334</v>
      </c>
      <c r="G336" s="2"/>
      <c r="H336" s="1" t="s">
        <v>10</v>
      </c>
      <c r="I336" s="2"/>
      <c r="J336" s="1" t="s">
        <v>122</v>
      </c>
      <c r="K336" s="1"/>
      <c r="L336" s="2"/>
      <c r="M336" t="str">
        <f t="shared" si="15"/>
        <v/>
      </c>
      <c r="N336" t="str">
        <f t="shared" si="16"/>
        <v/>
      </c>
      <c r="O336" t="str">
        <f t="shared" si="17"/>
        <v>FJERN</v>
      </c>
      <c r="P336" s="1"/>
    </row>
    <row r="337" spans="1:16" ht="15" customHeight="1" x14ac:dyDescent="0.2">
      <c r="A337" s="1" t="s">
        <v>929</v>
      </c>
      <c r="B337" s="1" t="s">
        <v>930</v>
      </c>
      <c r="C337" s="1" t="s">
        <v>2</v>
      </c>
      <c r="D337" s="1" t="s">
        <v>3</v>
      </c>
      <c r="E337" s="5">
        <v>32157</v>
      </c>
      <c r="F337" s="5">
        <v>46155</v>
      </c>
      <c r="G337" s="2">
        <v>350.80450000000002</v>
      </c>
      <c r="H337" s="1" t="s">
        <v>4</v>
      </c>
      <c r="I337" s="2">
        <v>1605.735774</v>
      </c>
      <c r="J337" s="1" t="s">
        <v>11</v>
      </c>
      <c r="K337" s="1" t="s">
        <v>931</v>
      </c>
      <c r="L337" s="2">
        <v>10312.65</v>
      </c>
      <c r="M337">
        <f t="shared" si="15"/>
        <v>3617724.0269249999</v>
      </c>
      <c r="N337">
        <f t="shared" si="16"/>
        <v>485600.54052684561</v>
      </c>
      <c r="O337" t="str">
        <f t="shared" si="17"/>
        <v>BEHOLD</v>
      </c>
      <c r="P337" s="1" t="s">
        <v>5547</v>
      </c>
    </row>
    <row r="338" spans="1:16" ht="15" customHeight="1" x14ac:dyDescent="0.2">
      <c r="A338" s="1" t="s">
        <v>932</v>
      </c>
      <c r="B338" s="1" t="s">
        <v>933</v>
      </c>
      <c r="C338" s="1" t="s">
        <v>2</v>
      </c>
      <c r="D338" s="1" t="s">
        <v>3</v>
      </c>
      <c r="E338" s="5">
        <v>31049</v>
      </c>
      <c r="F338" s="5">
        <v>33863</v>
      </c>
      <c r="G338" s="2"/>
      <c r="H338" s="1" t="s">
        <v>4</v>
      </c>
      <c r="I338" s="2"/>
      <c r="J338" s="1" t="s">
        <v>55</v>
      </c>
      <c r="K338" s="1" t="s">
        <v>934</v>
      </c>
      <c r="L338" s="2"/>
      <c r="M338" t="str">
        <f t="shared" si="15"/>
        <v/>
      </c>
      <c r="N338" t="str">
        <f t="shared" si="16"/>
        <v/>
      </c>
      <c r="O338" t="str">
        <f t="shared" si="17"/>
        <v>FJERN</v>
      </c>
      <c r="P338" s="1"/>
    </row>
    <row r="339" spans="1:16" ht="15" customHeight="1" x14ac:dyDescent="0.2">
      <c r="A339" s="1" t="s">
        <v>935</v>
      </c>
      <c r="B339" s="1" t="s">
        <v>936</v>
      </c>
      <c r="C339" s="1" t="s">
        <v>2</v>
      </c>
      <c r="D339" s="1" t="s">
        <v>3</v>
      </c>
      <c r="E339" s="5">
        <v>33941</v>
      </c>
      <c r="F339" s="5">
        <v>35822</v>
      </c>
      <c r="G339" s="2"/>
      <c r="H339" s="1" t="s">
        <v>4</v>
      </c>
      <c r="I339" s="2"/>
      <c r="J339" s="1" t="s">
        <v>122</v>
      </c>
      <c r="K339" s="1" t="s">
        <v>937</v>
      </c>
      <c r="L339" s="2"/>
      <c r="M339" t="str">
        <f t="shared" si="15"/>
        <v/>
      </c>
      <c r="N339" t="str">
        <f t="shared" si="16"/>
        <v/>
      </c>
      <c r="O339" t="str">
        <f t="shared" si="17"/>
        <v>FJERN</v>
      </c>
      <c r="P339" s="1"/>
    </row>
    <row r="340" spans="1:16" ht="15" customHeight="1" x14ac:dyDescent="0.2">
      <c r="A340" s="1" t="s">
        <v>938</v>
      </c>
      <c r="B340" s="1" t="s">
        <v>939</v>
      </c>
      <c r="C340" s="1" t="s">
        <v>2</v>
      </c>
      <c r="D340" s="1" t="s">
        <v>3</v>
      </c>
      <c r="E340" s="5">
        <v>32105</v>
      </c>
      <c r="F340" s="5">
        <v>40651</v>
      </c>
      <c r="G340" s="2">
        <v>893.2944</v>
      </c>
      <c r="H340" s="1" t="s">
        <v>4</v>
      </c>
      <c r="I340" s="2"/>
      <c r="J340" s="1" t="s">
        <v>86</v>
      </c>
      <c r="K340" s="1" t="s">
        <v>940</v>
      </c>
      <c r="L340" s="2">
        <v>3.507612</v>
      </c>
      <c r="M340">
        <f t="shared" si="15"/>
        <v>3133.3301569728001</v>
      </c>
      <c r="N340">
        <f t="shared" si="16"/>
        <v>420.5812291238658</v>
      </c>
      <c r="O340" t="str">
        <f t="shared" si="17"/>
        <v>FJERN</v>
      </c>
      <c r="P340" s="1" t="s">
        <v>5548</v>
      </c>
    </row>
    <row r="341" spans="1:16" ht="15" customHeight="1" x14ac:dyDescent="0.2">
      <c r="A341" s="1" t="s">
        <v>941</v>
      </c>
      <c r="B341" s="1" t="s">
        <v>942</v>
      </c>
      <c r="C341" s="1" t="s">
        <v>2</v>
      </c>
      <c r="D341" s="1" t="s">
        <v>3</v>
      </c>
      <c r="E341" s="5">
        <v>33000</v>
      </c>
      <c r="F341" s="5">
        <v>41554</v>
      </c>
      <c r="G341" s="2">
        <v>511.34859999999998</v>
      </c>
      <c r="H341" s="1" t="s">
        <v>4</v>
      </c>
      <c r="I341" s="2"/>
      <c r="J341" s="1" t="s">
        <v>15</v>
      </c>
      <c r="K341" s="1" t="s">
        <v>943</v>
      </c>
      <c r="L341" s="2">
        <v>149.84790000000001</v>
      </c>
      <c r="M341">
        <f t="shared" si="15"/>
        <v>76624.51387794</v>
      </c>
      <c r="N341">
        <f t="shared" si="16"/>
        <v>10285.169648045638</v>
      </c>
      <c r="O341" t="str">
        <f t="shared" si="17"/>
        <v>FJERN</v>
      </c>
      <c r="P341" s="1" t="s">
        <v>5549</v>
      </c>
    </row>
    <row r="342" spans="1:16" ht="15" customHeight="1" x14ac:dyDescent="0.2">
      <c r="A342" s="1" t="s">
        <v>944</v>
      </c>
      <c r="B342" s="1" t="s">
        <v>945</v>
      </c>
      <c r="C342" s="1" t="s">
        <v>9</v>
      </c>
      <c r="D342" s="1" t="s">
        <v>3</v>
      </c>
      <c r="E342" s="5">
        <v>33669</v>
      </c>
      <c r="F342" s="5">
        <v>37124</v>
      </c>
      <c r="G342" s="2"/>
      <c r="H342" s="1" t="s">
        <v>10</v>
      </c>
      <c r="I342" s="2"/>
      <c r="J342" s="1" t="s">
        <v>5</v>
      </c>
      <c r="K342" s="1"/>
      <c r="L342" s="2"/>
      <c r="M342" t="str">
        <f t="shared" si="15"/>
        <v/>
      </c>
      <c r="N342" t="str">
        <f t="shared" si="16"/>
        <v/>
      </c>
      <c r="O342" t="str">
        <f t="shared" si="17"/>
        <v>FJERN</v>
      </c>
      <c r="P342" s="1"/>
    </row>
    <row r="343" spans="1:16" ht="15" customHeight="1" x14ac:dyDescent="0.2">
      <c r="A343" s="1" t="s">
        <v>946</v>
      </c>
      <c r="B343" s="1" t="s">
        <v>947</v>
      </c>
      <c r="C343" s="1" t="s">
        <v>9</v>
      </c>
      <c r="D343" s="1" t="s">
        <v>3</v>
      </c>
      <c r="E343" s="5">
        <v>32933</v>
      </c>
      <c r="F343" s="5">
        <v>33641</v>
      </c>
      <c r="G343" s="2"/>
      <c r="H343" s="1" t="s">
        <v>10</v>
      </c>
      <c r="I343" s="2"/>
      <c r="J343" s="1"/>
      <c r="K343" s="1"/>
      <c r="L343" s="2"/>
      <c r="M343" t="str">
        <f t="shared" si="15"/>
        <v/>
      </c>
      <c r="N343" t="str">
        <f t="shared" si="16"/>
        <v/>
      </c>
      <c r="O343" t="str">
        <f t="shared" si="17"/>
        <v>FJERN</v>
      </c>
      <c r="P343" s="1"/>
    </row>
    <row r="344" spans="1:16" ht="15" customHeight="1" x14ac:dyDescent="0.2">
      <c r="A344" s="1" t="s">
        <v>948</v>
      </c>
      <c r="B344" s="1" t="s">
        <v>949</v>
      </c>
      <c r="C344" s="1" t="s">
        <v>9</v>
      </c>
      <c r="D344" s="1" t="s">
        <v>3</v>
      </c>
      <c r="E344" s="5">
        <v>32821</v>
      </c>
      <c r="F344" s="5">
        <v>36941</v>
      </c>
      <c r="G344" s="2"/>
      <c r="H344" s="1" t="s">
        <v>10</v>
      </c>
      <c r="I344" s="2"/>
      <c r="J344" s="1" t="s">
        <v>11</v>
      </c>
      <c r="K344" s="1" t="s">
        <v>950</v>
      </c>
      <c r="L344" s="2"/>
      <c r="M344" t="str">
        <f t="shared" si="15"/>
        <v/>
      </c>
      <c r="N344" t="str">
        <f t="shared" si="16"/>
        <v/>
      </c>
      <c r="O344" t="str">
        <f t="shared" si="17"/>
        <v>FJERN</v>
      </c>
      <c r="P344" s="1"/>
    </row>
    <row r="345" spans="1:16" ht="15" customHeight="1" x14ac:dyDescent="0.2">
      <c r="A345" s="1" t="s">
        <v>951</v>
      </c>
      <c r="B345" s="1" t="s">
        <v>952</v>
      </c>
      <c r="C345" s="1" t="s">
        <v>9</v>
      </c>
      <c r="D345" s="1" t="s">
        <v>3</v>
      </c>
      <c r="E345" s="5">
        <v>34859</v>
      </c>
      <c r="F345" s="5">
        <v>46155</v>
      </c>
      <c r="G345" s="2">
        <v>164.88220000000001</v>
      </c>
      <c r="H345" s="1" t="s">
        <v>10</v>
      </c>
      <c r="I345" s="2">
        <v>360988.82250325498</v>
      </c>
      <c r="J345" s="1" t="s">
        <v>15</v>
      </c>
      <c r="K345" s="1" t="s">
        <v>953</v>
      </c>
      <c r="L345" s="2">
        <v>4043507</v>
      </c>
      <c r="M345">
        <f t="shared" si="15"/>
        <v>666702329.87540007</v>
      </c>
      <c r="N345">
        <f t="shared" si="16"/>
        <v>59000206.183663718</v>
      </c>
      <c r="O345" t="str">
        <f t="shared" si="17"/>
        <v>BEHOLD</v>
      </c>
      <c r="P345" s="1" t="s">
        <v>5550</v>
      </c>
    </row>
    <row r="346" spans="1:16" ht="15" customHeight="1" x14ac:dyDescent="0.2">
      <c r="A346" s="1" t="s">
        <v>954</v>
      </c>
      <c r="B346" s="1" t="s">
        <v>955</v>
      </c>
      <c r="C346" s="1" t="s">
        <v>9</v>
      </c>
      <c r="D346" s="1" t="s">
        <v>3</v>
      </c>
      <c r="E346" s="5">
        <v>31049</v>
      </c>
      <c r="F346" s="5">
        <v>33780</v>
      </c>
      <c r="G346" s="2"/>
      <c r="H346" s="1" t="s">
        <v>10</v>
      </c>
      <c r="I346" s="2"/>
      <c r="J346" s="1" t="s">
        <v>86</v>
      </c>
      <c r="K346" s="1" t="s">
        <v>956</v>
      </c>
      <c r="L346" s="2"/>
      <c r="M346" t="str">
        <f t="shared" si="15"/>
        <v/>
      </c>
      <c r="N346" t="str">
        <f t="shared" si="16"/>
        <v/>
      </c>
      <c r="O346" t="str">
        <f t="shared" si="17"/>
        <v>FJERN</v>
      </c>
      <c r="P346" s="1"/>
    </row>
    <row r="347" spans="1:16" ht="15" customHeight="1" x14ac:dyDescent="0.2">
      <c r="A347" s="1" t="s">
        <v>957</v>
      </c>
      <c r="B347" s="1" t="s">
        <v>958</v>
      </c>
      <c r="C347" s="1" t="s">
        <v>2</v>
      </c>
      <c r="D347" s="1" t="s">
        <v>3</v>
      </c>
      <c r="E347" s="5">
        <v>32091</v>
      </c>
      <c r="F347" s="5">
        <v>38527</v>
      </c>
      <c r="G347" s="2"/>
      <c r="H347" s="1" t="s">
        <v>4</v>
      </c>
      <c r="I347" s="2"/>
      <c r="J347" s="1" t="s">
        <v>76</v>
      </c>
      <c r="K347" s="1" t="s">
        <v>959</v>
      </c>
      <c r="L347" s="2"/>
      <c r="M347" t="str">
        <f t="shared" si="15"/>
        <v/>
      </c>
      <c r="N347" t="str">
        <f t="shared" si="16"/>
        <v/>
      </c>
      <c r="O347" t="str">
        <f t="shared" si="17"/>
        <v>FJERN</v>
      </c>
      <c r="P347" s="1" t="s">
        <v>5551</v>
      </c>
    </row>
    <row r="348" spans="1:16" ht="15" customHeight="1" x14ac:dyDescent="0.2">
      <c r="A348" s="1" t="s">
        <v>960</v>
      </c>
      <c r="B348" s="1" t="s">
        <v>961</v>
      </c>
      <c r="C348" s="1" t="s">
        <v>9</v>
      </c>
      <c r="D348" s="1" t="s">
        <v>3</v>
      </c>
      <c r="E348" s="5">
        <v>33155</v>
      </c>
      <c r="F348" s="5">
        <v>37161</v>
      </c>
      <c r="G348" s="2"/>
      <c r="H348" s="1" t="s">
        <v>10</v>
      </c>
      <c r="I348" s="2"/>
      <c r="J348" s="1" t="s">
        <v>23</v>
      </c>
      <c r="K348" s="1" t="s">
        <v>962</v>
      </c>
      <c r="L348" s="2"/>
      <c r="M348" t="str">
        <f t="shared" si="15"/>
        <v/>
      </c>
      <c r="N348" t="str">
        <f t="shared" si="16"/>
        <v/>
      </c>
      <c r="O348" t="str">
        <f t="shared" si="17"/>
        <v>FJERN</v>
      </c>
      <c r="P348" s="1" t="s">
        <v>5552</v>
      </c>
    </row>
    <row r="349" spans="1:16" ht="15" customHeight="1" x14ac:dyDescent="0.2">
      <c r="A349" s="1" t="s">
        <v>963</v>
      </c>
      <c r="B349" s="1" t="s">
        <v>964</v>
      </c>
      <c r="C349" s="1" t="s">
        <v>9</v>
      </c>
      <c r="D349" s="1" t="s">
        <v>3</v>
      </c>
      <c r="E349" s="5">
        <v>32617</v>
      </c>
      <c r="F349" s="5">
        <v>34879</v>
      </c>
      <c r="G349" s="2"/>
      <c r="H349" s="1" t="s">
        <v>10</v>
      </c>
      <c r="I349" s="2"/>
      <c r="J349" s="1" t="s">
        <v>23</v>
      </c>
      <c r="K349" s="1" t="s">
        <v>965</v>
      </c>
      <c r="L349" s="2"/>
      <c r="M349" t="str">
        <f t="shared" si="15"/>
        <v/>
      </c>
      <c r="N349" t="str">
        <f t="shared" si="16"/>
        <v/>
      </c>
      <c r="O349" t="str">
        <f t="shared" si="17"/>
        <v>FJERN</v>
      </c>
      <c r="P349" s="1"/>
    </row>
    <row r="350" spans="1:16" ht="15" customHeight="1" x14ac:dyDescent="0.2">
      <c r="A350" s="1" t="s">
        <v>966</v>
      </c>
      <c r="B350" s="1" t="s">
        <v>967</v>
      </c>
      <c r="C350" s="1" t="s">
        <v>9</v>
      </c>
      <c r="D350" s="1" t="s">
        <v>3</v>
      </c>
      <c r="E350" s="5">
        <v>32128</v>
      </c>
      <c r="F350" s="5">
        <v>33850</v>
      </c>
      <c r="G350" s="2"/>
      <c r="H350" s="1" t="s">
        <v>10</v>
      </c>
      <c r="I350" s="2"/>
      <c r="J350" s="1" t="s">
        <v>83</v>
      </c>
      <c r="K350" s="1"/>
      <c r="L350" s="2"/>
      <c r="M350" t="str">
        <f t="shared" si="15"/>
        <v/>
      </c>
      <c r="N350" t="str">
        <f t="shared" si="16"/>
        <v/>
      </c>
      <c r="O350" t="str">
        <f t="shared" si="17"/>
        <v>FJERN</v>
      </c>
      <c r="P350" s="1"/>
    </row>
    <row r="351" spans="1:16" ht="15" customHeight="1" x14ac:dyDescent="0.2">
      <c r="A351" s="1" t="s">
        <v>968</v>
      </c>
      <c r="B351" s="1" t="s">
        <v>969</v>
      </c>
      <c r="C351" s="1" t="s">
        <v>9</v>
      </c>
      <c r="D351" s="1" t="s">
        <v>3</v>
      </c>
      <c r="E351" s="5">
        <v>33973</v>
      </c>
      <c r="F351" s="5">
        <v>33973</v>
      </c>
      <c r="G351" s="2"/>
      <c r="H351" s="1" t="s">
        <v>10</v>
      </c>
      <c r="I351" s="2"/>
      <c r="J351" s="1" t="s">
        <v>5</v>
      </c>
      <c r="K351" s="1" t="s">
        <v>970</v>
      </c>
      <c r="L351" s="2"/>
      <c r="M351" t="str">
        <f t="shared" si="15"/>
        <v/>
      </c>
      <c r="N351" t="str">
        <f t="shared" si="16"/>
        <v/>
      </c>
      <c r="O351" t="str">
        <f t="shared" si="17"/>
        <v>FJERN</v>
      </c>
      <c r="P351" s="1"/>
    </row>
    <row r="352" spans="1:16" ht="15" customHeight="1" x14ac:dyDescent="0.2">
      <c r="A352" s="1" t="s">
        <v>971</v>
      </c>
      <c r="B352" s="1" t="s">
        <v>972</v>
      </c>
      <c r="C352" s="1" t="s">
        <v>9</v>
      </c>
      <c r="D352" s="1" t="s">
        <v>3</v>
      </c>
      <c r="E352" s="5">
        <v>32755</v>
      </c>
      <c r="F352" s="5">
        <v>37162</v>
      </c>
      <c r="G352" s="2"/>
      <c r="H352" s="1" t="s">
        <v>10</v>
      </c>
      <c r="I352" s="2"/>
      <c r="J352" s="1" t="s">
        <v>30</v>
      </c>
      <c r="K352" s="1" t="s">
        <v>973</v>
      </c>
      <c r="L352" s="2"/>
      <c r="M352" t="str">
        <f t="shared" si="15"/>
        <v/>
      </c>
      <c r="N352" t="str">
        <f t="shared" si="16"/>
        <v/>
      </c>
      <c r="O352" t="str">
        <f t="shared" si="17"/>
        <v>FJERN</v>
      </c>
      <c r="P352" s="1" t="s">
        <v>5553</v>
      </c>
    </row>
    <row r="353" spans="1:16" ht="15" customHeight="1" x14ac:dyDescent="0.2">
      <c r="A353" s="1" t="s">
        <v>974</v>
      </c>
      <c r="B353" s="1" t="s">
        <v>975</v>
      </c>
      <c r="C353" s="1" t="s">
        <v>2</v>
      </c>
      <c r="D353" s="1" t="s">
        <v>3</v>
      </c>
      <c r="E353" s="5">
        <v>33170</v>
      </c>
      <c r="F353" s="5">
        <v>36615</v>
      </c>
      <c r="G353" s="2"/>
      <c r="H353" s="1" t="s">
        <v>4</v>
      </c>
      <c r="I353" s="2"/>
      <c r="J353" s="1" t="s">
        <v>122</v>
      </c>
      <c r="K353" s="1"/>
      <c r="L353" s="2"/>
      <c r="M353" t="str">
        <f t="shared" si="15"/>
        <v/>
      </c>
      <c r="N353" t="str">
        <f t="shared" si="16"/>
        <v/>
      </c>
      <c r="O353" t="str">
        <f t="shared" si="17"/>
        <v>FJERN</v>
      </c>
      <c r="P353" s="1"/>
    </row>
    <row r="354" spans="1:16" ht="15" customHeight="1" x14ac:dyDescent="0.2">
      <c r="A354" s="1" t="s">
        <v>976</v>
      </c>
      <c r="B354" s="1" t="s">
        <v>977</v>
      </c>
      <c r="C354" s="1" t="s">
        <v>9</v>
      </c>
      <c r="D354" s="1" t="s">
        <v>3</v>
      </c>
      <c r="E354" s="5">
        <v>34277</v>
      </c>
      <c r="F354" s="5">
        <v>35439</v>
      </c>
      <c r="G354" s="2"/>
      <c r="H354" s="1" t="s">
        <v>10</v>
      </c>
      <c r="I354" s="2"/>
      <c r="J354" s="1" t="s">
        <v>86</v>
      </c>
      <c r="K354" s="1"/>
      <c r="L354" s="2"/>
      <c r="M354" t="str">
        <f t="shared" si="15"/>
        <v/>
      </c>
      <c r="N354" t="str">
        <f t="shared" si="16"/>
        <v/>
      </c>
      <c r="O354" t="str">
        <f t="shared" si="17"/>
        <v>FJERN</v>
      </c>
      <c r="P354" s="1"/>
    </row>
    <row r="355" spans="1:16" ht="15" customHeight="1" x14ac:dyDescent="0.2">
      <c r="A355" s="1" t="s">
        <v>978</v>
      </c>
      <c r="B355" s="1" t="s">
        <v>979</v>
      </c>
      <c r="C355" s="1" t="s">
        <v>9</v>
      </c>
      <c r="D355" s="1" t="s">
        <v>3</v>
      </c>
      <c r="E355" s="5">
        <v>34439</v>
      </c>
      <c r="F355" s="5">
        <v>39143</v>
      </c>
      <c r="G355" s="2"/>
      <c r="H355" s="1" t="s">
        <v>10</v>
      </c>
      <c r="I355" s="2"/>
      <c r="J355" s="1" t="s">
        <v>256</v>
      </c>
      <c r="K355" s="1" t="s">
        <v>980</v>
      </c>
      <c r="L355" s="2"/>
      <c r="M355" t="str">
        <f t="shared" si="15"/>
        <v/>
      </c>
      <c r="N355" t="str">
        <f t="shared" si="16"/>
        <v/>
      </c>
      <c r="O355" t="str">
        <f t="shared" si="17"/>
        <v>FJERN</v>
      </c>
      <c r="P355" s="1" t="s">
        <v>5554</v>
      </c>
    </row>
    <row r="356" spans="1:16" ht="15" customHeight="1" x14ac:dyDescent="0.2">
      <c r="A356" s="1" t="s">
        <v>981</v>
      </c>
      <c r="B356" s="1" t="s">
        <v>982</v>
      </c>
      <c r="C356" s="1" t="s">
        <v>2</v>
      </c>
      <c r="D356" s="1" t="s">
        <v>3</v>
      </c>
      <c r="E356" s="5">
        <v>32107</v>
      </c>
      <c r="F356" s="5">
        <v>37477</v>
      </c>
      <c r="G356" s="2"/>
      <c r="H356" s="1" t="s">
        <v>4</v>
      </c>
      <c r="I356" s="2"/>
      <c r="J356" s="1" t="s">
        <v>15</v>
      </c>
      <c r="K356" s="1" t="s">
        <v>983</v>
      </c>
      <c r="L356" s="2"/>
      <c r="M356" t="str">
        <f t="shared" si="15"/>
        <v/>
      </c>
      <c r="N356" t="str">
        <f t="shared" si="16"/>
        <v/>
      </c>
      <c r="O356" t="str">
        <f t="shared" si="17"/>
        <v>FJERN</v>
      </c>
      <c r="P356" s="1"/>
    </row>
    <row r="357" spans="1:16" ht="15" customHeight="1" x14ac:dyDescent="0.2">
      <c r="A357" s="1" t="s">
        <v>984</v>
      </c>
      <c r="B357" s="1" t="s">
        <v>985</v>
      </c>
      <c r="C357" s="1" t="s">
        <v>9</v>
      </c>
      <c r="D357" s="1" t="s">
        <v>3</v>
      </c>
      <c r="E357" s="5">
        <v>34810</v>
      </c>
      <c r="F357" s="5">
        <v>40312</v>
      </c>
      <c r="G357" s="2">
        <v>29.757729999999999</v>
      </c>
      <c r="H357" s="1" t="s">
        <v>10</v>
      </c>
      <c r="I357" s="2"/>
      <c r="J357" s="1" t="s">
        <v>76</v>
      </c>
      <c r="K357" s="1" t="s">
        <v>986</v>
      </c>
      <c r="L357" s="2">
        <v>9307.08</v>
      </c>
      <c r="M357">
        <f t="shared" si="15"/>
        <v>276957.57372839999</v>
      </c>
      <c r="N357">
        <f t="shared" si="16"/>
        <v>24509.519798973448</v>
      </c>
      <c r="O357" t="str">
        <f t="shared" si="17"/>
        <v>FJERN</v>
      </c>
      <c r="P357" s="1" t="s">
        <v>5555</v>
      </c>
    </row>
    <row r="358" spans="1:16" ht="15" customHeight="1" x14ac:dyDescent="0.2">
      <c r="A358" s="1" t="s">
        <v>987</v>
      </c>
      <c r="B358" s="1" t="s">
        <v>988</v>
      </c>
      <c r="C358" s="1" t="s">
        <v>2</v>
      </c>
      <c r="D358" s="1" t="s">
        <v>3</v>
      </c>
      <c r="E358" s="5">
        <v>32801</v>
      </c>
      <c r="F358" s="5">
        <v>35123</v>
      </c>
      <c r="G358" s="2"/>
      <c r="H358" s="1" t="s">
        <v>4</v>
      </c>
      <c r="I358" s="2"/>
      <c r="J358" s="1" t="s">
        <v>61</v>
      </c>
      <c r="K358" s="1" t="s">
        <v>989</v>
      </c>
      <c r="L358" s="2"/>
      <c r="M358" t="str">
        <f t="shared" si="15"/>
        <v/>
      </c>
      <c r="N358" t="str">
        <f t="shared" si="16"/>
        <v/>
      </c>
      <c r="O358" t="str">
        <f t="shared" si="17"/>
        <v>FJERN</v>
      </c>
      <c r="P358" s="1"/>
    </row>
    <row r="359" spans="1:16" ht="15" customHeight="1" x14ac:dyDescent="0.2">
      <c r="A359" s="1" t="s">
        <v>990</v>
      </c>
      <c r="B359" s="1" t="s">
        <v>991</v>
      </c>
      <c r="C359" s="1" t="s">
        <v>9</v>
      </c>
      <c r="D359" s="1" t="s">
        <v>3</v>
      </c>
      <c r="E359" s="5">
        <v>34614</v>
      </c>
      <c r="F359" s="5">
        <v>35611</v>
      </c>
      <c r="G359" s="2"/>
      <c r="H359" s="1" t="s">
        <v>10</v>
      </c>
      <c r="I359" s="2"/>
      <c r="J359" s="1" t="s">
        <v>15</v>
      </c>
      <c r="K359" s="1" t="s">
        <v>992</v>
      </c>
      <c r="L359" s="2"/>
      <c r="M359" t="str">
        <f t="shared" si="15"/>
        <v/>
      </c>
      <c r="N359" t="str">
        <f t="shared" si="16"/>
        <v/>
      </c>
      <c r="O359" t="str">
        <f t="shared" si="17"/>
        <v>FJERN</v>
      </c>
      <c r="P359" s="1"/>
    </row>
    <row r="360" spans="1:16" ht="15" customHeight="1" x14ac:dyDescent="0.2">
      <c r="A360" s="1" t="s">
        <v>993</v>
      </c>
      <c r="B360" s="1" t="s">
        <v>994</v>
      </c>
      <c r="C360" s="1" t="s">
        <v>2</v>
      </c>
      <c r="D360" s="1" t="s">
        <v>3</v>
      </c>
      <c r="E360" s="5">
        <v>32232</v>
      </c>
      <c r="F360" s="5">
        <v>36969</v>
      </c>
      <c r="G360" s="2"/>
      <c r="H360" s="1" t="s">
        <v>4</v>
      </c>
      <c r="I360" s="2"/>
      <c r="J360" s="1" t="s">
        <v>23</v>
      </c>
      <c r="K360" s="1"/>
      <c r="L360" s="2"/>
      <c r="M360" t="str">
        <f t="shared" si="15"/>
        <v/>
      </c>
      <c r="N360" t="str">
        <f t="shared" si="16"/>
        <v/>
      </c>
      <c r="O360" t="str">
        <f t="shared" si="17"/>
        <v>FJERN</v>
      </c>
      <c r="P360" s="1"/>
    </row>
    <row r="361" spans="1:16" ht="15" customHeight="1" x14ac:dyDescent="0.2">
      <c r="A361" s="1" t="s">
        <v>995</v>
      </c>
      <c r="B361" s="1" t="s">
        <v>996</v>
      </c>
      <c r="C361" s="1" t="s">
        <v>9</v>
      </c>
      <c r="D361" s="1" t="s">
        <v>3</v>
      </c>
      <c r="E361" s="5">
        <v>33669</v>
      </c>
      <c r="F361" s="5">
        <v>38587</v>
      </c>
      <c r="G361" s="2"/>
      <c r="H361" s="1" t="s">
        <v>10</v>
      </c>
      <c r="I361" s="2"/>
      <c r="J361" s="1"/>
      <c r="K361" s="1" t="s">
        <v>997</v>
      </c>
      <c r="L361" s="2"/>
      <c r="M361" t="str">
        <f t="shared" si="15"/>
        <v/>
      </c>
      <c r="N361" t="str">
        <f t="shared" si="16"/>
        <v/>
      </c>
      <c r="O361" t="str">
        <f t="shared" si="17"/>
        <v>FJERN</v>
      </c>
      <c r="P361" s="1" t="s">
        <v>5556</v>
      </c>
    </row>
    <row r="362" spans="1:16" ht="15" customHeight="1" x14ac:dyDescent="0.2">
      <c r="A362" s="1" t="s">
        <v>998</v>
      </c>
      <c r="B362" s="1" t="s">
        <v>999</v>
      </c>
      <c r="C362" s="1" t="s">
        <v>9</v>
      </c>
      <c r="D362" s="1" t="s">
        <v>3</v>
      </c>
      <c r="E362" s="5">
        <v>31049</v>
      </c>
      <c r="F362" s="5">
        <v>33798</v>
      </c>
      <c r="G362" s="2"/>
      <c r="H362" s="1" t="s">
        <v>10</v>
      </c>
      <c r="I362" s="2"/>
      <c r="J362" s="1" t="s">
        <v>23</v>
      </c>
      <c r="K362" s="1" t="s">
        <v>1000</v>
      </c>
      <c r="L362" s="2"/>
      <c r="M362" t="str">
        <f t="shared" si="15"/>
        <v/>
      </c>
      <c r="N362" t="str">
        <f t="shared" si="16"/>
        <v/>
      </c>
      <c r="O362" t="str">
        <f t="shared" si="17"/>
        <v>FJERN</v>
      </c>
      <c r="P362" s="1"/>
    </row>
    <row r="363" spans="1:16" ht="15" customHeight="1" x14ac:dyDescent="0.2">
      <c r="A363" s="1" t="s">
        <v>1001</v>
      </c>
      <c r="B363" s="1" t="s">
        <v>1002</v>
      </c>
      <c r="C363" s="1" t="s">
        <v>9</v>
      </c>
      <c r="D363" s="1" t="s">
        <v>3</v>
      </c>
      <c r="E363" s="5">
        <v>32108</v>
      </c>
      <c r="F363" s="5">
        <v>46155</v>
      </c>
      <c r="G363" s="2">
        <v>175.2835</v>
      </c>
      <c r="H363" s="1" t="s">
        <v>10</v>
      </c>
      <c r="I363" s="2">
        <v>88518.216692592599</v>
      </c>
      <c r="J363" s="1" t="s">
        <v>51</v>
      </c>
      <c r="K363" s="1" t="s">
        <v>1003</v>
      </c>
      <c r="L363" s="2">
        <v>914110.2</v>
      </c>
      <c r="M363">
        <f t="shared" si="15"/>
        <v>160228435.24169999</v>
      </c>
      <c r="N363">
        <f t="shared" si="16"/>
        <v>14179507.543513272</v>
      </c>
      <c r="O363" t="str">
        <f t="shared" si="17"/>
        <v>BEHOLD</v>
      </c>
      <c r="P363" s="1" t="s">
        <v>5557</v>
      </c>
    </row>
    <row r="364" spans="1:16" ht="15" customHeight="1" x14ac:dyDescent="0.2">
      <c r="A364" s="1" t="s">
        <v>1004</v>
      </c>
      <c r="B364" s="1" t="s">
        <v>1005</v>
      </c>
      <c r="C364" s="1" t="s">
        <v>9</v>
      </c>
      <c r="D364" s="1" t="s">
        <v>3</v>
      </c>
      <c r="E364" s="5">
        <v>32364</v>
      </c>
      <c r="F364" s="5">
        <v>33798</v>
      </c>
      <c r="G364" s="2"/>
      <c r="H364" s="1" t="s">
        <v>10</v>
      </c>
      <c r="I364" s="2"/>
      <c r="J364" s="1" t="s">
        <v>23</v>
      </c>
      <c r="K364" s="1"/>
      <c r="L364" s="2"/>
      <c r="M364" t="str">
        <f t="shared" si="15"/>
        <v/>
      </c>
      <c r="N364" t="str">
        <f t="shared" si="16"/>
        <v/>
      </c>
      <c r="O364" t="str">
        <f t="shared" si="17"/>
        <v>FJERN</v>
      </c>
      <c r="P364" s="1"/>
    </row>
    <row r="365" spans="1:16" ht="15" customHeight="1" x14ac:dyDescent="0.2">
      <c r="A365" s="1" t="s">
        <v>1006</v>
      </c>
      <c r="B365" s="1" t="s">
        <v>1007</v>
      </c>
      <c r="C365" s="1" t="s">
        <v>9</v>
      </c>
      <c r="D365" s="1" t="s">
        <v>3</v>
      </c>
      <c r="E365" s="5">
        <v>34092</v>
      </c>
      <c r="F365" s="5">
        <v>37482</v>
      </c>
      <c r="G365" s="2"/>
      <c r="H365" s="1" t="s">
        <v>10</v>
      </c>
      <c r="I365" s="2"/>
      <c r="J365" s="1" t="s">
        <v>61</v>
      </c>
      <c r="K365" s="1" t="s">
        <v>1008</v>
      </c>
      <c r="L365" s="2"/>
      <c r="M365" t="str">
        <f t="shared" si="15"/>
        <v/>
      </c>
      <c r="N365" t="str">
        <f t="shared" si="16"/>
        <v/>
      </c>
      <c r="O365" t="str">
        <f t="shared" si="17"/>
        <v>FJERN</v>
      </c>
      <c r="P365" s="1"/>
    </row>
    <row r="366" spans="1:16" ht="15" customHeight="1" x14ac:dyDescent="0.2">
      <c r="A366" s="1" t="s">
        <v>1009</v>
      </c>
      <c r="B366" s="1" t="s">
        <v>1010</v>
      </c>
      <c r="C366" s="1" t="s">
        <v>9</v>
      </c>
      <c r="D366" s="1" t="s">
        <v>3</v>
      </c>
      <c r="E366" s="5">
        <v>32968</v>
      </c>
      <c r="F366" s="5">
        <v>35832</v>
      </c>
      <c r="G366" s="2"/>
      <c r="H366" s="1" t="s">
        <v>10</v>
      </c>
      <c r="I366" s="2"/>
      <c r="J366" s="1" t="s">
        <v>61</v>
      </c>
      <c r="K366" s="1" t="s">
        <v>1011</v>
      </c>
      <c r="L366" s="2"/>
      <c r="M366" t="str">
        <f t="shared" si="15"/>
        <v/>
      </c>
      <c r="N366" t="str">
        <f t="shared" si="16"/>
        <v/>
      </c>
      <c r="O366" t="str">
        <f t="shared" si="17"/>
        <v>FJERN</v>
      </c>
      <c r="P366" s="1"/>
    </row>
    <row r="367" spans="1:16" ht="15" customHeight="1" x14ac:dyDescent="0.2">
      <c r="A367" s="1" t="s">
        <v>1012</v>
      </c>
      <c r="B367" s="1" t="s">
        <v>1013</v>
      </c>
      <c r="C367" s="1" t="s">
        <v>9</v>
      </c>
      <c r="D367" s="1" t="s">
        <v>3</v>
      </c>
      <c r="E367" s="5">
        <v>36250</v>
      </c>
      <c r="F367" s="5">
        <v>36250</v>
      </c>
      <c r="G367" s="2"/>
      <c r="H367" s="1" t="s">
        <v>10</v>
      </c>
      <c r="I367" s="2"/>
      <c r="J367" s="1" t="s">
        <v>11</v>
      </c>
      <c r="K367" s="1"/>
      <c r="L367" s="2"/>
      <c r="M367" t="str">
        <f t="shared" si="15"/>
        <v/>
      </c>
      <c r="N367" t="str">
        <f t="shared" si="16"/>
        <v/>
      </c>
      <c r="O367" t="str">
        <f t="shared" si="17"/>
        <v>FJERN</v>
      </c>
      <c r="P367" s="1"/>
    </row>
    <row r="368" spans="1:16" ht="15" customHeight="1" x14ac:dyDescent="0.2">
      <c r="A368" s="1" t="s">
        <v>1014</v>
      </c>
      <c r="B368" s="1" t="s">
        <v>1015</v>
      </c>
      <c r="C368" s="1" t="s">
        <v>2</v>
      </c>
      <c r="D368" s="1" t="s">
        <v>3</v>
      </c>
      <c r="E368" s="5">
        <v>31049</v>
      </c>
      <c r="F368" s="5">
        <v>36700</v>
      </c>
      <c r="G368" s="2"/>
      <c r="H368" s="1" t="s">
        <v>4</v>
      </c>
      <c r="I368" s="2"/>
      <c r="J368" s="1" t="s">
        <v>15</v>
      </c>
      <c r="K368" s="1" t="s">
        <v>1016</v>
      </c>
      <c r="L368" s="2"/>
      <c r="M368" t="str">
        <f t="shared" si="15"/>
        <v/>
      </c>
      <c r="N368" t="str">
        <f t="shared" si="16"/>
        <v/>
      </c>
      <c r="O368" t="str">
        <f t="shared" si="17"/>
        <v>FJERN</v>
      </c>
      <c r="P368" s="1"/>
    </row>
    <row r="369" spans="1:16" ht="15" customHeight="1" x14ac:dyDescent="0.2">
      <c r="A369" s="1" t="s">
        <v>1017</v>
      </c>
      <c r="B369" s="1" t="s">
        <v>1018</v>
      </c>
      <c r="C369" s="1" t="s">
        <v>2</v>
      </c>
      <c r="D369" s="1" t="s">
        <v>3</v>
      </c>
      <c r="E369" s="5">
        <v>34334</v>
      </c>
      <c r="F369" s="5">
        <v>40400</v>
      </c>
      <c r="G369" s="2">
        <v>2.9330970000000001</v>
      </c>
      <c r="H369" s="1" t="s">
        <v>4</v>
      </c>
      <c r="I369" s="2"/>
      <c r="J369" s="1" t="s">
        <v>5</v>
      </c>
      <c r="K369" s="1" t="s">
        <v>1019</v>
      </c>
      <c r="L369" s="2">
        <v>2626.3870000000002</v>
      </c>
      <c r="M369">
        <f t="shared" si="15"/>
        <v>7703.4478305390003</v>
      </c>
      <c r="N369">
        <f t="shared" si="16"/>
        <v>1034.019843025369</v>
      </c>
      <c r="O369" t="str">
        <f t="shared" si="17"/>
        <v>FJERN</v>
      </c>
      <c r="P369" s="1" t="s">
        <v>5558</v>
      </c>
    </row>
    <row r="370" spans="1:16" ht="15" customHeight="1" x14ac:dyDescent="0.2">
      <c r="A370" s="1" t="s">
        <v>1020</v>
      </c>
      <c r="B370" s="1" t="s">
        <v>1021</v>
      </c>
      <c r="C370" s="1" t="s">
        <v>2</v>
      </c>
      <c r="D370" s="1" t="s">
        <v>3</v>
      </c>
      <c r="E370" s="5">
        <v>31937</v>
      </c>
      <c r="F370" s="5">
        <v>34516</v>
      </c>
      <c r="G370" s="2"/>
      <c r="H370" s="1" t="s">
        <v>4</v>
      </c>
      <c r="I370" s="2"/>
      <c r="J370" s="1" t="s">
        <v>15</v>
      </c>
      <c r="K370" s="1" t="s">
        <v>1022</v>
      </c>
      <c r="L370" s="2"/>
      <c r="M370" t="str">
        <f t="shared" si="15"/>
        <v/>
      </c>
      <c r="N370" t="str">
        <f t="shared" si="16"/>
        <v/>
      </c>
      <c r="O370" t="str">
        <f t="shared" si="17"/>
        <v>FJERN</v>
      </c>
      <c r="P370" s="1"/>
    </row>
    <row r="371" spans="1:16" ht="15" customHeight="1" x14ac:dyDescent="0.2">
      <c r="A371" s="1" t="s">
        <v>1023</v>
      </c>
      <c r="B371" s="1" t="s">
        <v>1024</v>
      </c>
      <c r="C371" s="1" t="s">
        <v>2</v>
      </c>
      <c r="D371" s="1" t="s">
        <v>3</v>
      </c>
      <c r="E371" s="5">
        <v>32106</v>
      </c>
      <c r="F371" s="5">
        <v>37670</v>
      </c>
      <c r="G371" s="2"/>
      <c r="H371" s="1" t="s">
        <v>4</v>
      </c>
      <c r="I371" s="2"/>
      <c r="J371" s="1" t="s">
        <v>15</v>
      </c>
      <c r="K371" s="1" t="s">
        <v>1025</v>
      </c>
      <c r="L371" s="2"/>
      <c r="M371" t="str">
        <f t="shared" si="15"/>
        <v/>
      </c>
      <c r="N371" t="str">
        <f t="shared" si="16"/>
        <v/>
      </c>
      <c r="O371" t="str">
        <f t="shared" si="17"/>
        <v>FJERN</v>
      </c>
      <c r="P371" s="1"/>
    </row>
    <row r="372" spans="1:16" ht="15" customHeight="1" x14ac:dyDescent="0.2">
      <c r="A372" s="1" t="s">
        <v>1026</v>
      </c>
      <c r="B372" s="1" t="s">
        <v>1027</v>
      </c>
      <c r="C372" s="1" t="s">
        <v>2</v>
      </c>
      <c r="D372" s="1" t="s">
        <v>3</v>
      </c>
      <c r="E372" s="5">
        <v>32232</v>
      </c>
      <c r="F372" s="5">
        <v>37966</v>
      </c>
      <c r="G372" s="2"/>
      <c r="H372" s="1" t="s">
        <v>4</v>
      </c>
      <c r="I372" s="2"/>
      <c r="J372" s="1" t="s">
        <v>184</v>
      </c>
      <c r="K372" s="1" t="s">
        <v>1028</v>
      </c>
      <c r="L372" s="2"/>
      <c r="M372" t="str">
        <f t="shared" si="15"/>
        <v/>
      </c>
      <c r="N372" t="str">
        <f t="shared" si="16"/>
        <v/>
      </c>
      <c r="O372" t="str">
        <f t="shared" si="17"/>
        <v>FJERN</v>
      </c>
      <c r="P372" s="1"/>
    </row>
    <row r="373" spans="1:16" ht="15" customHeight="1" x14ac:dyDescent="0.2">
      <c r="A373" s="1" t="s">
        <v>1029</v>
      </c>
      <c r="B373" s="1" t="s">
        <v>1030</v>
      </c>
      <c r="C373" s="1" t="s">
        <v>9</v>
      </c>
      <c r="D373" s="1" t="s">
        <v>255</v>
      </c>
      <c r="E373" s="5">
        <v>31049</v>
      </c>
      <c r="F373" s="5">
        <v>36643</v>
      </c>
      <c r="G373" s="2"/>
      <c r="H373" s="1" t="s">
        <v>10</v>
      </c>
      <c r="I373" s="2"/>
      <c r="J373" s="1" t="s">
        <v>366</v>
      </c>
      <c r="K373" s="1" t="s">
        <v>1031</v>
      </c>
      <c r="L373" s="2"/>
      <c r="M373" t="str">
        <f t="shared" si="15"/>
        <v/>
      </c>
      <c r="N373" t="str">
        <f t="shared" si="16"/>
        <v/>
      </c>
      <c r="O373" t="str">
        <f t="shared" si="17"/>
        <v>FJERN</v>
      </c>
      <c r="P373" s="1"/>
    </row>
    <row r="374" spans="1:16" ht="15" customHeight="1" x14ac:dyDescent="0.2">
      <c r="A374" s="1" t="s">
        <v>1032</v>
      </c>
      <c r="B374" s="1" t="s">
        <v>1033</v>
      </c>
      <c r="C374" s="1" t="s">
        <v>9</v>
      </c>
      <c r="D374" s="1" t="s">
        <v>3</v>
      </c>
      <c r="E374" s="5">
        <v>35016</v>
      </c>
      <c r="F374" s="5">
        <v>36224</v>
      </c>
      <c r="G374" s="2"/>
      <c r="H374" s="1" t="s">
        <v>10</v>
      </c>
      <c r="I374" s="2"/>
      <c r="J374" s="1" t="s">
        <v>19</v>
      </c>
      <c r="K374" s="1" t="s">
        <v>1034</v>
      </c>
      <c r="L374" s="2"/>
      <c r="M374" t="str">
        <f t="shared" si="15"/>
        <v/>
      </c>
      <c r="N374" t="str">
        <f t="shared" si="16"/>
        <v/>
      </c>
      <c r="O374" t="str">
        <f t="shared" si="17"/>
        <v>FJERN</v>
      </c>
      <c r="P374" s="1"/>
    </row>
    <row r="375" spans="1:16" ht="15" customHeight="1" x14ac:dyDescent="0.2">
      <c r="A375" s="1" t="s">
        <v>1035</v>
      </c>
      <c r="B375" s="1" t="s">
        <v>1036</v>
      </c>
      <c r="C375" s="1" t="s">
        <v>9</v>
      </c>
      <c r="D375" s="1" t="s">
        <v>3</v>
      </c>
      <c r="E375" s="5">
        <v>31049</v>
      </c>
      <c r="F375" s="5">
        <v>33968</v>
      </c>
      <c r="G375" s="2"/>
      <c r="H375" s="1" t="s">
        <v>10</v>
      </c>
      <c r="I375" s="2"/>
      <c r="J375" s="1" t="s">
        <v>23</v>
      </c>
      <c r="K375" s="1"/>
      <c r="L375" s="2"/>
      <c r="M375" t="str">
        <f t="shared" si="15"/>
        <v/>
      </c>
      <c r="N375" t="str">
        <f t="shared" si="16"/>
        <v/>
      </c>
      <c r="O375" t="str">
        <f t="shared" si="17"/>
        <v>FJERN</v>
      </c>
      <c r="P375" s="1"/>
    </row>
    <row r="376" spans="1:16" ht="15" customHeight="1" x14ac:dyDescent="0.2">
      <c r="A376" s="1" t="s">
        <v>1037</v>
      </c>
      <c r="B376" s="1" t="s">
        <v>1038</v>
      </c>
      <c r="C376" s="1" t="s">
        <v>9</v>
      </c>
      <c r="D376" s="1" t="s">
        <v>3</v>
      </c>
      <c r="E376" s="5">
        <v>31049</v>
      </c>
      <c r="F376" s="5">
        <v>33968</v>
      </c>
      <c r="G376" s="2"/>
      <c r="H376" s="1" t="s">
        <v>10</v>
      </c>
      <c r="I376" s="2"/>
      <c r="J376" s="1" t="s">
        <v>23</v>
      </c>
      <c r="K376" s="1"/>
      <c r="L376" s="2"/>
      <c r="M376" t="str">
        <f t="shared" si="15"/>
        <v/>
      </c>
      <c r="N376" t="str">
        <f t="shared" si="16"/>
        <v/>
      </c>
      <c r="O376" t="str">
        <f t="shared" si="17"/>
        <v>FJERN</v>
      </c>
      <c r="P376" s="1"/>
    </row>
    <row r="377" spans="1:16" ht="15" customHeight="1" x14ac:dyDescent="0.2">
      <c r="A377" s="1" t="s">
        <v>1039</v>
      </c>
      <c r="B377" s="1" t="s">
        <v>1040</v>
      </c>
      <c r="C377" s="1" t="s">
        <v>2</v>
      </c>
      <c r="D377" s="1" t="s">
        <v>3</v>
      </c>
      <c r="E377" s="5">
        <v>32104</v>
      </c>
      <c r="F377" s="5">
        <v>41619</v>
      </c>
      <c r="G377" s="2">
        <v>587.28750000000002</v>
      </c>
      <c r="H377" s="1" t="s">
        <v>4</v>
      </c>
      <c r="I377" s="2"/>
      <c r="J377" s="1" t="s">
        <v>15</v>
      </c>
      <c r="K377" s="1" t="s">
        <v>1041</v>
      </c>
      <c r="L377" s="2">
        <v>48.582500000000003</v>
      </c>
      <c r="M377">
        <f t="shared" si="15"/>
        <v>28531.894968750003</v>
      </c>
      <c r="N377">
        <f t="shared" si="16"/>
        <v>3829.7845595637586</v>
      </c>
      <c r="O377" t="str">
        <f t="shared" si="17"/>
        <v>FJERN</v>
      </c>
      <c r="P377" s="1" t="s">
        <v>5559</v>
      </c>
    </row>
    <row r="378" spans="1:16" ht="15" customHeight="1" x14ac:dyDescent="0.2">
      <c r="A378" s="1" t="s">
        <v>1042</v>
      </c>
      <c r="B378" s="1" t="s">
        <v>1043</v>
      </c>
      <c r="C378" s="1" t="s">
        <v>9</v>
      </c>
      <c r="D378" s="1" t="s">
        <v>3</v>
      </c>
      <c r="E378" s="5">
        <v>33528</v>
      </c>
      <c r="F378" s="5">
        <v>35684</v>
      </c>
      <c r="G378" s="2"/>
      <c r="H378" s="1" t="s">
        <v>10</v>
      </c>
      <c r="I378" s="2"/>
      <c r="J378" s="1" t="s">
        <v>289</v>
      </c>
      <c r="K378" s="1"/>
      <c r="L378" s="2"/>
      <c r="M378" t="str">
        <f t="shared" si="15"/>
        <v/>
      </c>
      <c r="N378" t="str">
        <f t="shared" si="16"/>
        <v/>
      </c>
      <c r="O378" t="str">
        <f t="shared" si="17"/>
        <v>FJERN</v>
      </c>
      <c r="P378" s="1"/>
    </row>
    <row r="379" spans="1:16" ht="15" customHeight="1" x14ac:dyDescent="0.2">
      <c r="A379" s="1" t="s">
        <v>1044</v>
      </c>
      <c r="B379" s="1" t="s">
        <v>1045</v>
      </c>
      <c r="C379" s="1" t="s">
        <v>9</v>
      </c>
      <c r="D379" s="1" t="s">
        <v>3</v>
      </c>
      <c r="E379" s="5">
        <v>34521</v>
      </c>
      <c r="F379" s="5">
        <v>36061</v>
      </c>
      <c r="G379" s="2"/>
      <c r="H379" s="1" t="s">
        <v>10</v>
      </c>
      <c r="I379" s="2"/>
      <c r="J379" s="1" t="s">
        <v>38</v>
      </c>
      <c r="K379" s="1"/>
      <c r="L379" s="2"/>
      <c r="M379" t="str">
        <f t="shared" si="15"/>
        <v/>
      </c>
      <c r="N379" t="str">
        <f t="shared" si="16"/>
        <v/>
      </c>
      <c r="O379" t="str">
        <f t="shared" si="17"/>
        <v>FJERN</v>
      </c>
      <c r="P379" s="1"/>
    </row>
    <row r="380" spans="1:16" ht="15" customHeight="1" x14ac:dyDescent="0.2">
      <c r="A380" s="1" t="s">
        <v>1046</v>
      </c>
      <c r="B380" s="1" t="s">
        <v>1047</v>
      </c>
      <c r="C380" s="1" t="s">
        <v>2</v>
      </c>
      <c r="D380" s="1" t="s">
        <v>3</v>
      </c>
      <c r="E380" s="5">
        <v>31133</v>
      </c>
      <c r="F380" s="5">
        <v>38428</v>
      </c>
      <c r="G380" s="2"/>
      <c r="H380" s="1" t="s">
        <v>4</v>
      </c>
      <c r="I380" s="2"/>
      <c r="J380" s="1" t="s">
        <v>222</v>
      </c>
      <c r="K380" s="1" t="s">
        <v>1048</v>
      </c>
      <c r="L380" s="2"/>
      <c r="M380" t="str">
        <f t="shared" si="15"/>
        <v/>
      </c>
      <c r="N380" t="str">
        <f t="shared" si="16"/>
        <v/>
      </c>
      <c r="O380" t="str">
        <f t="shared" si="17"/>
        <v>FJERN</v>
      </c>
      <c r="P380" s="1" t="s">
        <v>5560</v>
      </c>
    </row>
    <row r="381" spans="1:16" ht="15" customHeight="1" x14ac:dyDescent="0.2">
      <c r="A381" s="1" t="s">
        <v>1049</v>
      </c>
      <c r="B381" s="1" t="s">
        <v>1050</v>
      </c>
      <c r="C381" s="1" t="s">
        <v>2</v>
      </c>
      <c r="D381" s="1" t="s">
        <v>3</v>
      </c>
      <c r="E381" s="5">
        <v>34999</v>
      </c>
      <c r="F381" s="5">
        <v>36427</v>
      </c>
      <c r="G381" s="2"/>
      <c r="H381" s="1" t="s">
        <v>4</v>
      </c>
      <c r="I381" s="2"/>
      <c r="J381" s="1" t="s">
        <v>176</v>
      </c>
      <c r="K381" s="1" t="s">
        <v>1051</v>
      </c>
      <c r="L381" s="2"/>
      <c r="M381" t="str">
        <f t="shared" si="15"/>
        <v/>
      </c>
      <c r="N381" t="str">
        <f t="shared" si="16"/>
        <v/>
      </c>
      <c r="O381" t="str">
        <f t="shared" si="17"/>
        <v>FJERN</v>
      </c>
      <c r="P381" s="1"/>
    </row>
    <row r="382" spans="1:16" ht="15" customHeight="1" x14ac:dyDescent="0.2">
      <c r="A382" s="1" t="s">
        <v>1052</v>
      </c>
      <c r="B382" s="1" t="s">
        <v>1053</v>
      </c>
      <c r="C382" s="1" t="s">
        <v>9</v>
      </c>
      <c r="D382" s="1" t="s">
        <v>3</v>
      </c>
      <c r="E382" s="5">
        <v>34271</v>
      </c>
      <c r="F382" s="5">
        <v>36880</v>
      </c>
      <c r="G382" s="2"/>
      <c r="H382" s="1" t="s">
        <v>10</v>
      </c>
      <c r="I382" s="2"/>
      <c r="J382" s="1" t="s">
        <v>11</v>
      </c>
      <c r="K382" s="1"/>
      <c r="L382" s="2"/>
      <c r="M382" t="str">
        <f t="shared" si="15"/>
        <v/>
      </c>
      <c r="N382" t="str">
        <f t="shared" si="16"/>
        <v/>
      </c>
      <c r="O382" t="str">
        <f t="shared" si="17"/>
        <v>FJERN</v>
      </c>
      <c r="P382" s="1"/>
    </row>
    <row r="383" spans="1:16" ht="15" customHeight="1" x14ac:dyDescent="0.2">
      <c r="A383" s="1" t="s">
        <v>1054</v>
      </c>
      <c r="B383" s="1" t="s">
        <v>1055</v>
      </c>
      <c r="C383" s="1" t="s">
        <v>2</v>
      </c>
      <c r="D383" s="1" t="s">
        <v>3</v>
      </c>
      <c r="E383" s="5">
        <v>32064</v>
      </c>
      <c r="F383" s="5">
        <v>43560</v>
      </c>
      <c r="G383" s="2">
        <v>238.69630000000001</v>
      </c>
      <c r="H383" s="1" t="s">
        <v>4</v>
      </c>
      <c r="I383" s="2"/>
      <c r="J383" s="1" t="s">
        <v>11</v>
      </c>
      <c r="K383" s="1" t="s">
        <v>1056</v>
      </c>
      <c r="L383" s="2">
        <v>1576.212</v>
      </c>
      <c r="M383">
        <f t="shared" si="15"/>
        <v>376235.97241560003</v>
      </c>
      <c r="N383">
        <f t="shared" si="16"/>
        <v>50501.472807463091</v>
      </c>
      <c r="O383" t="str">
        <f t="shared" si="17"/>
        <v>FJERN</v>
      </c>
      <c r="P383" s="1" t="s">
        <v>5561</v>
      </c>
    </row>
    <row r="384" spans="1:16" ht="15" customHeight="1" x14ac:dyDescent="0.2">
      <c r="A384" s="1" t="s">
        <v>1057</v>
      </c>
      <c r="B384" s="1" t="s">
        <v>1058</v>
      </c>
      <c r="C384" s="1" t="s">
        <v>9</v>
      </c>
      <c r="D384" s="1" t="s">
        <v>3</v>
      </c>
      <c r="E384" s="5">
        <v>35816</v>
      </c>
      <c r="F384" s="5">
        <v>38940</v>
      </c>
      <c r="G384" s="2"/>
      <c r="H384" s="1" t="s">
        <v>10</v>
      </c>
      <c r="I384" s="2"/>
      <c r="J384" s="1" t="s">
        <v>391</v>
      </c>
      <c r="K384" s="1" t="s">
        <v>1059</v>
      </c>
      <c r="L384" s="2"/>
      <c r="M384" t="str">
        <f t="shared" si="15"/>
        <v/>
      </c>
      <c r="N384" t="str">
        <f t="shared" si="16"/>
        <v/>
      </c>
      <c r="O384" t="str">
        <f t="shared" si="17"/>
        <v>FJERN</v>
      </c>
      <c r="P384" s="1" t="s">
        <v>5562</v>
      </c>
    </row>
    <row r="385" spans="1:16" ht="15" customHeight="1" x14ac:dyDescent="0.2">
      <c r="A385" s="1" t="s">
        <v>1060</v>
      </c>
      <c r="B385" s="1" t="s">
        <v>1061</v>
      </c>
      <c r="C385" s="1" t="s">
        <v>9</v>
      </c>
      <c r="D385" s="1" t="s">
        <v>3</v>
      </c>
      <c r="E385" s="5">
        <v>35220</v>
      </c>
      <c r="F385" s="5">
        <v>36266</v>
      </c>
      <c r="G385" s="2"/>
      <c r="H385" s="1" t="s">
        <v>10</v>
      </c>
      <c r="I385" s="2"/>
      <c r="J385" s="1" t="s">
        <v>176</v>
      </c>
      <c r="K385" s="1" t="s">
        <v>1062</v>
      </c>
      <c r="L385" s="2"/>
      <c r="M385" t="str">
        <f t="shared" si="15"/>
        <v/>
      </c>
      <c r="N385" t="str">
        <f t="shared" si="16"/>
        <v/>
      </c>
      <c r="O385" t="str">
        <f t="shared" si="17"/>
        <v>FJERN</v>
      </c>
      <c r="P385" s="1"/>
    </row>
    <row r="386" spans="1:16" ht="15" customHeight="1" x14ac:dyDescent="0.2">
      <c r="A386" s="1" t="s">
        <v>1063</v>
      </c>
      <c r="B386" s="1" t="s">
        <v>1064</v>
      </c>
      <c r="C386" s="1" t="s">
        <v>2</v>
      </c>
      <c r="D386" s="1" t="s">
        <v>3</v>
      </c>
      <c r="E386" s="5">
        <v>34099</v>
      </c>
      <c r="F386" s="5">
        <v>36679</v>
      </c>
      <c r="G386" s="2"/>
      <c r="H386" s="1" t="s">
        <v>4</v>
      </c>
      <c r="I386" s="2"/>
      <c r="J386" s="1" t="s">
        <v>76</v>
      </c>
      <c r="K386" s="1"/>
      <c r="L386" s="2"/>
      <c r="M386" t="str">
        <f t="shared" si="15"/>
        <v/>
      </c>
      <c r="N386" t="str">
        <f t="shared" si="16"/>
        <v/>
      </c>
      <c r="O386" t="str">
        <f t="shared" si="17"/>
        <v>FJERN</v>
      </c>
      <c r="P386" s="1"/>
    </row>
    <row r="387" spans="1:16" ht="15" customHeight="1" x14ac:dyDescent="0.2">
      <c r="A387" s="1" t="s">
        <v>1065</v>
      </c>
      <c r="B387" s="1" t="s">
        <v>1066</v>
      </c>
      <c r="C387" s="1" t="s">
        <v>9</v>
      </c>
      <c r="D387" s="1" t="s">
        <v>3</v>
      </c>
      <c r="E387" s="5">
        <v>35192</v>
      </c>
      <c r="F387" s="5">
        <v>38883</v>
      </c>
      <c r="G387" s="2"/>
      <c r="H387" s="1" t="s">
        <v>10</v>
      </c>
      <c r="I387" s="2"/>
      <c r="J387" s="1" t="s">
        <v>61</v>
      </c>
      <c r="K387" s="1" t="s">
        <v>1067</v>
      </c>
      <c r="L387" s="2"/>
      <c r="M387" t="str">
        <f t="shared" ref="M387:M450" si="18">IF(OR(G387="",L387=""),"",G387*L387)</f>
        <v/>
      </c>
      <c r="N387" t="str">
        <f t="shared" ref="N387:N450" si="19">IF(M387="","",IF(H387="DKK",M387/7.45,IF(H387="SEK",M387/11.3,M387)))</f>
        <v/>
      </c>
      <c r="O387" t="str">
        <f t="shared" ref="O387:O450" si="20">IF(AND(E387&lt;=DATE(2024,12,31),F387&gt;=DATE(2010,1,1),D387="SHARE",N387&gt;=100000),"BEHOLD","FJERN")</f>
        <v>FJERN</v>
      </c>
      <c r="P387" s="1" t="s">
        <v>5563</v>
      </c>
    </row>
    <row r="388" spans="1:16" ht="15" customHeight="1" x14ac:dyDescent="0.2">
      <c r="A388" s="1" t="s">
        <v>1068</v>
      </c>
      <c r="B388" s="1" t="s">
        <v>1069</v>
      </c>
      <c r="C388" s="1" t="s">
        <v>2</v>
      </c>
      <c r="D388" s="1" t="s">
        <v>3</v>
      </c>
      <c r="E388" s="5">
        <v>31049</v>
      </c>
      <c r="F388" s="5">
        <v>36382</v>
      </c>
      <c r="G388" s="2"/>
      <c r="H388" s="1" t="s">
        <v>4</v>
      </c>
      <c r="I388" s="2"/>
      <c r="J388" s="1" t="s">
        <v>83</v>
      </c>
      <c r="K388" s="1" t="s">
        <v>1070</v>
      </c>
      <c r="L388" s="2"/>
      <c r="M388" t="str">
        <f t="shared" si="18"/>
        <v/>
      </c>
      <c r="N388" t="str">
        <f t="shared" si="19"/>
        <v/>
      </c>
      <c r="O388" t="str">
        <f t="shared" si="20"/>
        <v>FJERN</v>
      </c>
      <c r="P388" s="1"/>
    </row>
    <row r="389" spans="1:16" ht="15" customHeight="1" x14ac:dyDescent="0.2">
      <c r="A389" s="1" t="s">
        <v>1071</v>
      </c>
      <c r="B389" s="1" t="s">
        <v>1072</v>
      </c>
      <c r="C389" s="1" t="s">
        <v>2</v>
      </c>
      <c r="D389" s="1" t="s">
        <v>3</v>
      </c>
      <c r="E389" s="5">
        <v>32098</v>
      </c>
      <c r="F389" s="5">
        <v>44309</v>
      </c>
      <c r="G389" s="2">
        <v>198.05179999999999</v>
      </c>
      <c r="H389" s="1" t="s">
        <v>4</v>
      </c>
      <c r="I389" s="2"/>
      <c r="J389" s="1" t="s">
        <v>23</v>
      </c>
      <c r="K389" s="1" t="s">
        <v>1073</v>
      </c>
      <c r="L389" s="2">
        <v>247.71289999999999</v>
      </c>
      <c r="M389">
        <f t="shared" si="18"/>
        <v>49059.985728219996</v>
      </c>
      <c r="N389">
        <f t="shared" si="19"/>
        <v>6585.2329836536901</v>
      </c>
      <c r="O389" t="str">
        <f t="shared" si="20"/>
        <v>FJERN</v>
      </c>
      <c r="P389" s="1" t="s">
        <v>5564</v>
      </c>
    </row>
    <row r="390" spans="1:16" ht="15" customHeight="1" x14ac:dyDescent="0.2">
      <c r="A390" s="1" t="s">
        <v>1074</v>
      </c>
      <c r="B390" s="1" t="s">
        <v>1075</v>
      </c>
      <c r="C390" s="1" t="s">
        <v>2</v>
      </c>
      <c r="D390" s="1" t="s">
        <v>3</v>
      </c>
      <c r="E390" s="5">
        <v>31049</v>
      </c>
      <c r="F390" s="5">
        <v>37144</v>
      </c>
      <c r="G390" s="2"/>
      <c r="H390" s="1" t="s">
        <v>4</v>
      </c>
      <c r="I390" s="2"/>
      <c r="J390" s="1" t="s">
        <v>11</v>
      </c>
      <c r="K390" s="1" t="s">
        <v>1076</v>
      </c>
      <c r="L390" s="2"/>
      <c r="M390" t="str">
        <f t="shared" si="18"/>
        <v/>
      </c>
      <c r="N390" t="str">
        <f t="shared" si="19"/>
        <v/>
      </c>
      <c r="O390" t="str">
        <f t="shared" si="20"/>
        <v>FJERN</v>
      </c>
      <c r="P390" s="1"/>
    </row>
    <row r="391" spans="1:16" ht="15" customHeight="1" x14ac:dyDescent="0.2">
      <c r="A391" s="1" t="s">
        <v>1077</v>
      </c>
      <c r="B391" s="1" t="s">
        <v>1078</v>
      </c>
      <c r="C391" s="1" t="s">
        <v>2</v>
      </c>
      <c r="D391" s="1" t="s">
        <v>3</v>
      </c>
      <c r="E391" s="5">
        <v>35209</v>
      </c>
      <c r="F391" s="5">
        <v>37043</v>
      </c>
      <c r="G391" s="2"/>
      <c r="H391" s="1" t="s">
        <v>4</v>
      </c>
      <c r="I391" s="2"/>
      <c r="J391" s="1" t="s">
        <v>256</v>
      </c>
      <c r="K391" s="1"/>
      <c r="L391" s="2"/>
      <c r="M391" t="str">
        <f t="shared" si="18"/>
        <v/>
      </c>
      <c r="N391" t="str">
        <f t="shared" si="19"/>
        <v/>
      </c>
      <c r="O391" t="str">
        <f t="shared" si="20"/>
        <v>FJERN</v>
      </c>
      <c r="P391" s="1"/>
    </row>
    <row r="392" spans="1:16" ht="15" customHeight="1" x14ac:dyDescent="0.2">
      <c r="A392" s="1" t="s">
        <v>1079</v>
      </c>
      <c r="B392" s="1" t="s">
        <v>1080</v>
      </c>
      <c r="C392" s="1" t="s">
        <v>9</v>
      </c>
      <c r="D392" s="1" t="s">
        <v>3</v>
      </c>
      <c r="E392" s="5">
        <v>35220</v>
      </c>
      <c r="F392" s="5">
        <v>36101</v>
      </c>
      <c r="G392" s="2"/>
      <c r="H392" s="1" t="s">
        <v>10</v>
      </c>
      <c r="I392" s="2"/>
      <c r="J392" s="1" t="s">
        <v>61</v>
      </c>
      <c r="K392" s="1" t="s">
        <v>1081</v>
      </c>
      <c r="L392" s="2"/>
      <c r="M392" t="str">
        <f t="shared" si="18"/>
        <v/>
      </c>
      <c r="N392" t="str">
        <f t="shared" si="19"/>
        <v/>
      </c>
      <c r="O392" t="str">
        <f t="shared" si="20"/>
        <v>FJERN</v>
      </c>
      <c r="P392" s="1"/>
    </row>
    <row r="393" spans="1:16" ht="15" customHeight="1" x14ac:dyDescent="0.2">
      <c r="A393" s="1" t="s">
        <v>1082</v>
      </c>
      <c r="B393" s="1" t="s">
        <v>1083</v>
      </c>
      <c r="C393" s="1" t="s">
        <v>9</v>
      </c>
      <c r="D393" s="1" t="s">
        <v>3</v>
      </c>
      <c r="E393" s="5">
        <v>35816</v>
      </c>
      <c r="F393" s="5">
        <v>42650</v>
      </c>
      <c r="G393" s="2">
        <v>163.35939999999999</v>
      </c>
      <c r="H393" s="1" t="s">
        <v>10</v>
      </c>
      <c r="I393" s="2"/>
      <c r="J393" s="1" t="s">
        <v>236</v>
      </c>
      <c r="K393" s="1" t="s">
        <v>1084</v>
      </c>
      <c r="L393" s="2">
        <v>36987.35</v>
      </c>
      <c r="M393">
        <f t="shared" si="18"/>
        <v>6042231.3035899997</v>
      </c>
      <c r="N393">
        <f t="shared" si="19"/>
        <v>534710.73483097344</v>
      </c>
      <c r="O393" t="str">
        <f t="shared" si="20"/>
        <v>BEHOLD</v>
      </c>
      <c r="P393" s="1" t="s">
        <v>5565</v>
      </c>
    </row>
    <row r="394" spans="1:16" ht="15" customHeight="1" x14ac:dyDescent="0.2">
      <c r="A394" s="1" t="s">
        <v>1085</v>
      </c>
      <c r="B394" s="1" t="s">
        <v>1086</v>
      </c>
      <c r="C394" s="1" t="s">
        <v>9</v>
      </c>
      <c r="D394" s="1" t="s">
        <v>3</v>
      </c>
      <c r="E394" s="5">
        <v>35240</v>
      </c>
      <c r="F394" s="5">
        <v>36371</v>
      </c>
      <c r="G394" s="2"/>
      <c r="H394" s="1" t="s">
        <v>10</v>
      </c>
      <c r="I394" s="2"/>
      <c r="J394" s="1" t="s">
        <v>236</v>
      </c>
      <c r="K394" s="1" t="s">
        <v>1087</v>
      </c>
      <c r="L394" s="2"/>
      <c r="M394" t="str">
        <f t="shared" si="18"/>
        <v/>
      </c>
      <c r="N394" t="str">
        <f t="shared" si="19"/>
        <v/>
      </c>
      <c r="O394" t="str">
        <f t="shared" si="20"/>
        <v>FJERN</v>
      </c>
      <c r="P394" s="1"/>
    </row>
    <row r="395" spans="1:16" ht="15" customHeight="1" x14ac:dyDescent="0.2">
      <c r="A395" s="1" t="s">
        <v>1088</v>
      </c>
      <c r="B395" s="1" t="s">
        <v>1089</v>
      </c>
      <c r="C395" s="1" t="s">
        <v>9</v>
      </c>
      <c r="D395" s="1" t="s">
        <v>3</v>
      </c>
      <c r="E395" s="5">
        <v>36145</v>
      </c>
      <c r="F395" s="5">
        <v>36720</v>
      </c>
      <c r="G395" s="2"/>
      <c r="H395" s="1" t="s">
        <v>10</v>
      </c>
      <c r="I395" s="2"/>
      <c r="J395" s="1" t="s">
        <v>23</v>
      </c>
      <c r="K395" s="1" t="s">
        <v>1090</v>
      </c>
      <c r="L395" s="2"/>
      <c r="M395" t="str">
        <f t="shared" si="18"/>
        <v/>
      </c>
      <c r="N395" t="str">
        <f t="shared" si="19"/>
        <v/>
      </c>
      <c r="O395" t="str">
        <f t="shared" si="20"/>
        <v>FJERN</v>
      </c>
      <c r="P395" s="1"/>
    </row>
    <row r="396" spans="1:16" ht="15" customHeight="1" x14ac:dyDescent="0.2">
      <c r="A396" s="1" t="s">
        <v>1091</v>
      </c>
      <c r="B396" s="1" t="s">
        <v>1092</v>
      </c>
      <c r="C396" s="1" t="s">
        <v>2</v>
      </c>
      <c r="D396" s="1" t="s">
        <v>3</v>
      </c>
      <c r="E396" s="5">
        <v>32804</v>
      </c>
      <c r="F396" s="5">
        <v>36508</v>
      </c>
      <c r="G396" s="2"/>
      <c r="H396" s="1" t="s">
        <v>4</v>
      </c>
      <c r="I396" s="2"/>
      <c r="J396" s="1" t="s">
        <v>51</v>
      </c>
      <c r="K396" s="1"/>
      <c r="L396" s="2"/>
      <c r="M396" t="str">
        <f t="shared" si="18"/>
        <v/>
      </c>
      <c r="N396" t="str">
        <f t="shared" si="19"/>
        <v/>
      </c>
      <c r="O396" t="str">
        <f t="shared" si="20"/>
        <v>FJERN</v>
      </c>
      <c r="P396" s="1"/>
    </row>
    <row r="397" spans="1:16" ht="15" customHeight="1" x14ac:dyDescent="0.2">
      <c r="A397" s="1" t="s">
        <v>1093</v>
      </c>
      <c r="B397" s="1" t="s">
        <v>1094</v>
      </c>
      <c r="C397" s="1" t="s">
        <v>9</v>
      </c>
      <c r="D397" s="1" t="s">
        <v>3</v>
      </c>
      <c r="E397" s="5">
        <v>35338</v>
      </c>
      <c r="F397" s="5">
        <v>36752</v>
      </c>
      <c r="G397" s="2"/>
      <c r="H397" s="1" t="s">
        <v>10</v>
      </c>
      <c r="I397" s="2"/>
      <c r="J397" s="1" t="s">
        <v>61</v>
      </c>
      <c r="K397" s="1" t="s">
        <v>1095</v>
      </c>
      <c r="L397" s="2"/>
      <c r="M397" t="str">
        <f t="shared" si="18"/>
        <v/>
      </c>
      <c r="N397" t="str">
        <f t="shared" si="19"/>
        <v/>
      </c>
      <c r="O397" t="str">
        <f t="shared" si="20"/>
        <v>FJERN</v>
      </c>
      <c r="P397" s="1"/>
    </row>
    <row r="398" spans="1:16" ht="15" customHeight="1" x14ac:dyDescent="0.2">
      <c r="A398" s="1" t="s">
        <v>1096</v>
      </c>
      <c r="B398" s="1" t="s">
        <v>1097</v>
      </c>
      <c r="C398" s="1" t="s">
        <v>9</v>
      </c>
      <c r="D398" s="1" t="s">
        <v>3</v>
      </c>
      <c r="E398" s="5">
        <v>33011</v>
      </c>
      <c r="F398" s="5">
        <v>35835</v>
      </c>
      <c r="G398" s="2"/>
      <c r="H398" s="1" t="s">
        <v>10</v>
      </c>
      <c r="I398" s="2"/>
      <c r="J398" s="1" t="s">
        <v>61</v>
      </c>
      <c r="K398" s="1" t="s">
        <v>1098</v>
      </c>
      <c r="L398" s="2"/>
      <c r="M398" t="str">
        <f t="shared" si="18"/>
        <v/>
      </c>
      <c r="N398" t="str">
        <f t="shared" si="19"/>
        <v/>
      </c>
      <c r="O398" t="str">
        <f t="shared" si="20"/>
        <v>FJERN</v>
      </c>
      <c r="P398" s="1"/>
    </row>
    <row r="399" spans="1:16" ht="15" customHeight="1" x14ac:dyDescent="0.2">
      <c r="A399" s="1" t="s">
        <v>1099</v>
      </c>
      <c r="B399" s="1" t="s">
        <v>1100</v>
      </c>
      <c r="C399" s="1" t="s">
        <v>2</v>
      </c>
      <c r="D399" s="1" t="s">
        <v>3</v>
      </c>
      <c r="E399" s="5">
        <v>35374</v>
      </c>
      <c r="F399" s="5">
        <v>37138</v>
      </c>
      <c r="G399" s="2"/>
      <c r="H399" s="1" t="s">
        <v>4</v>
      </c>
      <c r="I399" s="2"/>
      <c r="J399" s="1" t="s">
        <v>38</v>
      </c>
      <c r="K399" s="1" t="s">
        <v>1101</v>
      </c>
      <c r="L399" s="2"/>
      <c r="M399" t="str">
        <f t="shared" si="18"/>
        <v/>
      </c>
      <c r="N399" t="str">
        <f t="shared" si="19"/>
        <v/>
      </c>
      <c r="O399" t="str">
        <f t="shared" si="20"/>
        <v>FJERN</v>
      </c>
      <c r="P399" s="1"/>
    </row>
    <row r="400" spans="1:16" ht="15" customHeight="1" x14ac:dyDescent="0.2">
      <c r="A400" s="1" t="s">
        <v>1102</v>
      </c>
      <c r="B400" s="1" t="s">
        <v>1103</v>
      </c>
      <c r="C400" s="1" t="s">
        <v>9</v>
      </c>
      <c r="D400" s="1" t="s">
        <v>3</v>
      </c>
      <c r="E400" s="5">
        <v>35866</v>
      </c>
      <c r="F400" s="5">
        <v>37712</v>
      </c>
      <c r="G400" s="2"/>
      <c r="H400" s="1" t="s">
        <v>10</v>
      </c>
      <c r="I400" s="2"/>
      <c r="J400" s="1" t="s">
        <v>64</v>
      </c>
      <c r="K400" s="1" t="s">
        <v>1104</v>
      </c>
      <c r="L400" s="2"/>
      <c r="M400" t="str">
        <f t="shared" si="18"/>
        <v/>
      </c>
      <c r="N400" t="str">
        <f t="shared" si="19"/>
        <v/>
      </c>
      <c r="O400" t="str">
        <f t="shared" si="20"/>
        <v>FJERN</v>
      </c>
      <c r="P400" s="1" t="s">
        <v>5566</v>
      </c>
    </row>
    <row r="401" spans="1:16" ht="15" customHeight="1" x14ac:dyDescent="0.2">
      <c r="A401" s="1" t="s">
        <v>1105</v>
      </c>
      <c r="B401" s="1" t="s">
        <v>1106</v>
      </c>
      <c r="C401" s="1" t="s">
        <v>9</v>
      </c>
      <c r="D401" s="1" t="s">
        <v>3</v>
      </c>
      <c r="E401" s="5">
        <v>35391</v>
      </c>
      <c r="F401" s="5">
        <v>38863</v>
      </c>
      <c r="G401" s="2"/>
      <c r="H401" s="1" t="s">
        <v>10</v>
      </c>
      <c r="I401" s="2"/>
      <c r="J401" s="1" t="s">
        <v>236</v>
      </c>
      <c r="K401" s="1" t="s">
        <v>1107</v>
      </c>
      <c r="L401" s="2"/>
      <c r="M401" t="str">
        <f t="shared" si="18"/>
        <v/>
      </c>
      <c r="N401" t="str">
        <f t="shared" si="19"/>
        <v/>
      </c>
      <c r="O401" t="str">
        <f t="shared" si="20"/>
        <v>FJERN</v>
      </c>
      <c r="P401" s="1" t="s">
        <v>5567</v>
      </c>
    </row>
    <row r="402" spans="1:16" ht="15" customHeight="1" x14ac:dyDescent="0.2">
      <c r="A402" s="1" t="s">
        <v>1108</v>
      </c>
      <c r="B402" s="1" t="s">
        <v>1109</v>
      </c>
      <c r="C402" s="1" t="s">
        <v>2</v>
      </c>
      <c r="D402" s="1" t="s">
        <v>3</v>
      </c>
      <c r="E402" s="5">
        <v>35394</v>
      </c>
      <c r="F402" s="5">
        <v>37015</v>
      </c>
      <c r="G402" s="2"/>
      <c r="H402" s="1" t="s">
        <v>4</v>
      </c>
      <c r="I402" s="2"/>
      <c r="J402" s="1" t="s">
        <v>184</v>
      </c>
      <c r="K402" s="1" t="s">
        <v>1110</v>
      </c>
      <c r="L402" s="2"/>
      <c r="M402" t="str">
        <f t="shared" si="18"/>
        <v/>
      </c>
      <c r="N402" t="str">
        <f t="shared" si="19"/>
        <v/>
      </c>
      <c r="O402" t="str">
        <f t="shared" si="20"/>
        <v>FJERN</v>
      </c>
      <c r="P402" s="1"/>
    </row>
    <row r="403" spans="1:16" ht="15" customHeight="1" x14ac:dyDescent="0.2">
      <c r="A403" s="1" t="s">
        <v>1111</v>
      </c>
      <c r="B403" s="1" t="s">
        <v>1112</v>
      </c>
      <c r="C403" s="1" t="s">
        <v>9</v>
      </c>
      <c r="D403" s="1" t="s">
        <v>3</v>
      </c>
      <c r="E403" s="5">
        <v>32927</v>
      </c>
      <c r="F403" s="5">
        <v>36797</v>
      </c>
      <c r="G403" s="2"/>
      <c r="H403" s="1" t="s">
        <v>10</v>
      </c>
      <c r="I403" s="2"/>
      <c r="J403" s="1" t="s">
        <v>61</v>
      </c>
      <c r="K403" s="1" t="s">
        <v>1113</v>
      </c>
      <c r="L403" s="2"/>
      <c r="M403" t="str">
        <f t="shared" si="18"/>
        <v/>
      </c>
      <c r="N403" t="str">
        <f t="shared" si="19"/>
        <v/>
      </c>
      <c r="O403" t="str">
        <f t="shared" si="20"/>
        <v>FJERN</v>
      </c>
      <c r="P403" s="1"/>
    </row>
    <row r="404" spans="1:16" ht="15" customHeight="1" x14ac:dyDescent="0.2">
      <c r="A404" s="1" t="s">
        <v>1114</v>
      </c>
      <c r="B404" s="1" t="s">
        <v>1115</v>
      </c>
      <c r="C404" s="1" t="s">
        <v>9</v>
      </c>
      <c r="D404" s="1" t="s">
        <v>3</v>
      </c>
      <c r="E404" s="5">
        <v>35402</v>
      </c>
      <c r="F404" s="5">
        <v>38966</v>
      </c>
      <c r="G404" s="2"/>
      <c r="H404" s="1" t="s">
        <v>10</v>
      </c>
      <c r="I404" s="2"/>
      <c r="J404" s="1" t="s">
        <v>366</v>
      </c>
      <c r="K404" s="1" t="s">
        <v>1116</v>
      </c>
      <c r="L404" s="2"/>
      <c r="M404" t="str">
        <f t="shared" si="18"/>
        <v/>
      </c>
      <c r="N404" t="str">
        <f t="shared" si="19"/>
        <v/>
      </c>
      <c r="O404" t="str">
        <f t="shared" si="20"/>
        <v>FJERN</v>
      </c>
      <c r="P404" s="1" t="s">
        <v>5568</v>
      </c>
    </row>
    <row r="405" spans="1:16" ht="15" customHeight="1" x14ac:dyDescent="0.2">
      <c r="A405" s="1" t="s">
        <v>1117</v>
      </c>
      <c r="B405" s="1" t="s">
        <v>1118</v>
      </c>
      <c r="C405" s="1" t="s">
        <v>9</v>
      </c>
      <c r="D405" s="1" t="s">
        <v>3</v>
      </c>
      <c r="E405" s="5">
        <v>35816</v>
      </c>
      <c r="F405" s="5">
        <v>39374</v>
      </c>
      <c r="G405" s="2">
        <v>3.0299990000000001</v>
      </c>
      <c r="H405" s="1" t="s">
        <v>10</v>
      </c>
      <c r="I405" s="2"/>
      <c r="J405" s="1" t="s">
        <v>86</v>
      </c>
      <c r="K405" s="1" t="s">
        <v>1119</v>
      </c>
      <c r="L405" s="2">
        <v>0</v>
      </c>
      <c r="M405">
        <f t="shared" si="18"/>
        <v>0</v>
      </c>
      <c r="N405">
        <f t="shared" si="19"/>
        <v>0</v>
      </c>
      <c r="O405" t="str">
        <f t="shared" si="20"/>
        <v>FJERN</v>
      </c>
      <c r="P405" s="1" t="s">
        <v>5569</v>
      </c>
    </row>
    <row r="406" spans="1:16" ht="15" customHeight="1" x14ac:dyDescent="0.2">
      <c r="A406" s="1" t="s">
        <v>1120</v>
      </c>
      <c r="B406" s="1" t="s">
        <v>1121</v>
      </c>
      <c r="C406" s="1" t="s">
        <v>9</v>
      </c>
      <c r="D406" s="1" t="s">
        <v>3</v>
      </c>
      <c r="E406" s="5">
        <v>35433</v>
      </c>
      <c r="F406" s="5">
        <v>39430</v>
      </c>
      <c r="G406" s="2">
        <v>34.1</v>
      </c>
      <c r="H406" s="1" t="s">
        <v>10</v>
      </c>
      <c r="I406" s="2"/>
      <c r="J406" s="1" t="s">
        <v>15</v>
      </c>
      <c r="K406" s="1" t="s">
        <v>1122</v>
      </c>
      <c r="L406" s="2">
        <v>0</v>
      </c>
      <c r="M406">
        <f t="shared" si="18"/>
        <v>0</v>
      </c>
      <c r="N406">
        <f t="shared" si="19"/>
        <v>0</v>
      </c>
      <c r="O406" t="str">
        <f t="shared" si="20"/>
        <v>FJERN</v>
      </c>
      <c r="P406" s="1" t="s">
        <v>5570</v>
      </c>
    </row>
    <row r="407" spans="1:16" ht="15" customHeight="1" x14ac:dyDescent="0.2">
      <c r="A407" s="1" t="s">
        <v>1123</v>
      </c>
      <c r="B407" s="1" t="s">
        <v>1124</v>
      </c>
      <c r="C407" s="1" t="s">
        <v>2</v>
      </c>
      <c r="D407" s="1" t="s">
        <v>3</v>
      </c>
      <c r="E407" s="5">
        <v>32105</v>
      </c>
      <c r="F407" s="5">
        <v>36305</v>
      </c>
      <c r="G407" s="2"/>
      <c r="H407" s="1" t="s">
        <v>4</v>
      </c>
      <c r="I407" s="2"/>
      <c r="J407" s="1" t="s">
        <v>86</v>
      </c>
      <c r="K407" s="1"/>
      <c r="L407" s="2"/>
      <c r="M407" t="str">
        <f t="shared" si="18"/>
        <v/>
      </c>
      <c r="N407" t="str">
        <f t="shared" si="19"/>
        <v/>
      </c>
      <c r="O407" t="str">
        <f t="shared" si="20"/>
        <v>FJERN</v>
      </c>
      <c r="P407" s="1"/>
    </row>
    <row r="408" spans="1:16" ht="15" customHeight="1" x14ac:dyDescent="0.2">
      <c r="A408" s="1" t="s">
        <v>1125</v>
      </c>
      <c r="B408" s="1" t="s">
        <v>1126</v>
      </c>
      <c r="C408" s="1" t="s">
        <v>9</v>
      </c>
      <c r="D408" s="1" t="s">
        <v>3</v>
      </c>
      <c r="E408" s="5">
        <v>35717</v>
      </c>
      <c r="F408" s="5">
        <v>36840</v>
      </c>
      <c r="G408" s="2"/>
      <c r="H408" s="1" t="s">
        <v>10</v>
      </c>
      <c r="I408" s="2"/>
      <c r="J408" s="1" t="s">
        <v>197</v>
      </c>
      <c r="K408" s="1"/>
      <c r="L408" s="2"/>
      <c r="M408" t="str">
        <f t="shared" si="18"/>
        <v/>
      </c>
      <c r="N408" t="str">
        <f t="shared" si="19"/>
        <v/>
      </c>
      <c r="O408" t="str">
        <f t="shared" si="20"/>
        <v>FJERN</v>
      </c>
      <c r="P408" s="1"/>
    </row>
    <row r="409" spans="1:16" ht="15" customHeight="1" x14ac:dyDescent="0.2">
      <c r="A409" s="1" t="s">
        <v>1127</v>
      </c>
      <c r="B409" s="1" t="s">
        <v>1128</v>
      </c>
      <c r="C409" s="1" t="s">
        <v>9</v>
      </c>
      <c r="D409" s="1" t="s">
        <v>3</v>
      </c>
      <c r="E409" s="5">
        <v>35816</v>
      </c>
      <c r="F409" s="5">
        <v>46155</v>
      </c>
      <c r="G409" s="2">
        <v>19.217199999999998</v>
      </c>
      <c r="H409" s="1" t="s">
        <v>10</v>
      </c>
      <c r="I409" s="2">
        <v>631.79999999999995</v>
      </c>
      <c r="J409" s="1" t="s">
        <v>19</v>
      </c>
      <c r="K409" s="1" t="s">
        <v>1129</v>
      </c>
      <c r="L409" s="2">
        <v>10652.92</v>
      </c>
      <c r="M409">
        <f t="shared" si="18"/>
        <v>204719.29422399998</v>
      </c>
      <c r="N409">
        <f t="shared" si="19"/>
        <v>18116.751701238936</v>
      </c>
      <c r="O409" t="str">
        <f t="shared" si="20"/>
        <v>FJERN</v>
      </c>
      <c r="P409" s="1" t="s">
        <v>5571</v>
      </c>
    </row>
    <row r="410" spans="1:16" ht="15" customHeight="1" x14ac:dyDescent="0.2">
      <c r="A410" s="1" t="s">
        <v>1130</v>
      </c>
      <c r="B410" s="1" t="s">
        <v>1131</v>
      </c>
      <c r="C410" s="1" t="s">
        <v>2</v>
      </c>
      <c r="D410" s="1" t="s">
        <v>3</v>
      </c>
      <c r="E410" s="5">
        <v>35429</v>
      </c>
      <c r="F410" s="5">
        <v>37221</v>
      </c>
      <c r="G410" s="2"/>
      <c r="H410" s="1" t="s">
        <v>4</v>
      </c>
      <c r="I410" s="2"/>
      <c r="J410" s="1" t="s">
        <v>76</v>
      </c>
      <c r="K410" s="1"/>
      <c r="L410" s="2"/>
      <c r="M410" t="str">
        <f t="shared" si="18"/>
        <v/>
      </c>
      <c r="N410" t="str">
        <f t="shared" si="19"/>
        <v/>
      </c>
      <c r="O410" t="str">
        <f t="shared" si="20"/>
        <v>FJERN</v>
      </c>
      <c r="P410" s="1"/>
    </row>
    <row r="411" spans="1:16" ht="15" customHeight="1" x14ac:dyDescent="0.2">
      <c r="A411" s="1" t="s">
        <v>1132</v>
      </c>
      <c r="B411" s="1" t="s">
        <v>1133</v>
      </c>
      <c r="C411" s="1" t="s">
        <v>9</v>
      </c>
      <c r="D411" s="1" t="s">
        <v>3</v>
      </c>
      <c r="E411" s="5">
        <v>35590</v>
      </c>
      <c r="F411" s="5">
        <v>38667</v>
      </c>
      <c r="G411" s="2"/>
      <c r="H411" s="1" t="s">
        <v>10</v>
      </c>
      <c r="I411" s="2"/>
      <c r="J411" s="1" t="s">
        <v>5</v>
      </c>
      <c r="K411" s="1" t="s">
        <v>1134</v>
      </c>
      <c r="L411" s="2"/>
      <c r="M411" t="str">
        <f t="shared" si="18"/>
        <v/>
      </c>
      <c r="N411" t="str">
        <f t="shared" si="19"/>
        <v/>
      </c>
      <c r="O411" t="str">
        <f t="shared" si="20"/>
        <v>FJERN</v>
      </c>
      <c r="P411" s="1" t="s">
        <v>5572</v>
      </c>
    </row>
    <row r="412" spans="1:16" ht="15" customHeight="1" x14ac:dyDescent="0.2">
      <c r="A412" s="1" t="s">
        <v>1135</v>
      </c>
      <c r="B412" s="1" t="s">
        <v>1136</v>
      </c>
      <c r="C412" s="1" t="s">
        <v>9</v>
      </c>
      <c r="D412" s="1" t="s">
        <v>3</v>
      </c>
      <c r="E412" s="5">
        <v>32006</v>
      </c>
      <c r="F412" s="5">
        <v>36273</v>
      </c>
      <c r="G412" s="2"/>
      <c r="H412" s="1" t="s">
        <v>10</v>
      </c>
      <c r="I412" s="2"/>
      <c r="J412" s="1" t="s">
        <v>23</v>
      </c>
      <c r="K412" s="1" t="s">
        <v>1137</v>
      </c>
      <c r="L412" s="2"/>
      <c r="M412" t="str">
        <f t="shared" si="18"/>
        <v/>
      </c>
      <c r="N412" t="str">
        <f t="shared" si="19"/>
        <v/>
      </c>
      <c r="O412" t="str">
        <f t="shared" si="20"/>
        <v>FJERN</v>
      </c>
      <c r="P412" s="1"/>
    </row>
    <row r="413" spans="1:16" ht="15" customHeight="1" x14ac:dyDescent="0.2">
      <c r="A413" s="1" t="s">
        <v>1138</v>
      </c>
      <c r="B413" s="1" t="s">
        <v>1139</v>
      </c>
      <c r="C413" s="1" t="s">
        <v>9</v>
      </c>
      <c r="D413" s="1" t="s">
        <v>3</v>
      </c>
      <c r="E413" s="5">
        <v>32107</v>
      </c>
      <c r="F413" s="5">
        <v>35766</v>
      </c>
      <c r="G413" s="2"/>
      <c r="H413" s="1" t="s">
        <v>10</v>
      </c>
      <c r="I413" s="2"/>
      <c r="J413" s="1" t="s">
        <v>289</v>
      </c>
      <c r="K413" s="1"/>
      <c r="L413" s="2"/>
      <c r="M413" t="str">
        <f t="shared" si="18"/>
        <v/>
      </c>
      <c r="N413" t="str">
        <f t="shared" si="19"/>
        <v/>
      </c>
      <c r="O413" t="str">
        <f t="shared" si="20"/>
        <v>FJERN</v>
      </c>
      <c r="P413" s="1"/>
    </row>
    <row r="414" spans="1:16" ht="15" customHeight="1" x14ac:dyDescent="0.2">
      <c r="A414" s="1" t="s">
        <v>1140</v>
      </c>
      <c r="B414" s="1" t="s">
        <v>1141</v>
      </c>
      <c r="C414" s="1" t="s">
        <v>9</v>
      </c>
      <c r="D414" s="1" t="s">
        <v>3</v>
      </c>
      <c r="E414" s="5">
        <v>35593</v>
      </c>
      <c r="F414" s="5">
        <v>36500</v>
      </c>
      <c r="G414" s="2"/>
      <c r="H414" s="1" t="s">
        <v>10</v>
      </c>
      <c r="I414" s="2"/>
      <c r="J414" s="1" t="s">
        <v>61</v>
      </c>
      <c r="K414" s="1" t="s">
        <v>1142</v>
      </c>
      <c r="L414" s="2"/>
      <c r="M414" t="str">
        <f t="shared" si="18"/>
        <v/>
      </c>
      <c r="N414" t="str">
        <f t="shared" si="19"/>
        <v/>
      </c>
      <c r="O414" t="str">
        <f t="shared" si="20"/>
        <v>FJERN</v>
      </c>
      <c r="P414" s="1"/>
    </row>
    <row r="415" spans="1:16" ht="15" customHeight="1" x14ac:dyDescent="0.2">
      <c r="A415" s="1" t="s">
        <v>1143</v>
      </c>
      <c r="B415" s="1" t="s">
        <v>1144</v>
      </c>
      <c r="C415" s="1" t="s">
        <v>9</v>
      </c>
      <c r="D415" s="1" t="s">
        <v>3</v>
      </c>
      <c r="E415" s="5">
        <v>35545</v>
      </c>
      <c r="F415" s="5">
        <v>37152</v>
      </c>
      <c r="G415" s="2"/>
      <c r="H415" s="1" t="s">
        <v>10</v>
      </c>
      <c r="I415" s="2"/>
      <c r="J415" s="1" t="s">
        <v>289</v>
      </c>
      <c r="K415" s="1"/>
      <c r="L415" s="2"/>
      <c r="M415" t="str">
        <f t="shared" si="18"/>
        <v/>
      </c>
      <c r="N415" t="str">
        <f t="shared" si="19"/>
        <v/>
      </c>
      <c r="O415" t="str">
        <f t="shared" si="20"/>
        <v>FJERN</v>
      </c>
      <c r="P415" s="1"/>
    </row>
    <row r="416" spans="1:16" ht="15" customHeight="1" x14ac:dyDescent="0.2">
      <c r="A416" s="1" t="s">
        <v>1145</v>
      </c>
      <c r="B416" s="1" t="s">
        <v>1146</v>
      </c>
      <c r="C416" s="1" t="s">
        <v>2</v>
      </c>
      <c r="D416" s="1" t="s">
        <v>3</v>
      </c>
      <c r="E416" s="5">
        <v>32231</v>
      </c>
      <c r="F416" s="5">
        <v>36501</v>
      </c>
      <c r="G416" s="2"/>
      <c r="H416" s="1" t="s">
        <v>4</v>
      </c>
      <c r="I416" s="2"/>
      <c r="J416" s="1" t="s">
        <v>19</v>
      </c>
      <c r="K416" s="1" t="s">
        <v>1147</v>
      </c>
      <c r="L416" s="2"/>
      <c r="M416" t="str">
        <f t="shared" si="18"/>
        <v/>
      </c>
      <c r="N416" t="str">
        <f t="shared" si="19"/>
        <v/>
      </c>
      <c r="O416" t="str">
        <f t="shared" si="20"/>
        <v>FJERN</v>
      </c>
      <c r="P416" s="1"/>
    </row>
    <row r="417" spans="1:16" ht="15" customHeight="1" x14ac:dyDescent="0.2">
      <c r="A417" s="1" t="s">
        <v>1148</v>
      </c>
      <c r="B417" s="1" t="s">
        <v>1149</v>
      </c>
      <c r="C417" s="1" t="s">
        <v>9</v>
      </c>
      <c r="D417" s="1" t="s">
        <v>3</v>
      </c>
      <c r="E417" s="5">
        <v>35506</v>
      </c>
      <c r="F417" s="5">
        <v>37092</v>
      </c>
      <c r="G417" s="2"/>
      <c r="H417" s="1" t="s">
        <v>10</v>
      </c>
      <c r="I417" s="2"/>
      <c r="J417" s="1" t="s">
        <v>51</v>
      </c>
      <c r="K417" s="1"/>
      <c r="L417" s="2"/>
      <c r="M417" t="str">
        <f t="shared" si="18"/>
        <v/>
      </c>
      <c r="N417" t="str">
        <f t="shared" si="19"/>
        <v/>
      </c>
      <c r="O417" t="str">
        <f t="shared" si="20"/>
        <v>FJERN</v>
      </c>
      <c r="P417" s="1"/>
    </row>
    <row r="418" spans="1:16" ht="15" customHeight="1" x14ac:dyDescent="0.2">
      <c r="A418" s="1" t="s">
        <v>1150</v>
      </c>
      <c r="B418" s="1" t="s">
        <v>1151</v>
      </c>
      <c r="C418" s="1" t="s">
        <v>9</v>
      </c>
      <c r="D418" s="1" t="s">
        <v>3</v>
      </c>
      <c r="E418" s="5">
        <v>31049</v>
      </c>
      <c r="F418" s="5">
        <v>36357</v>
      </c>
      <c r="G418" s="2"/>
      <c r="H418" s="1" t="s">
        <v>10</v>
      </c>
      <c r="I418" s="2"/>
      <c r="J418" s="1" t="s">
        <v>76</v>
      </c>
      <c r="K418" s="1"/>
      <c r="L418" s="2"/>
      <c r="M418" t="str">
        <f t="shared" si="18"/>
        <v/>
      </c>
      <c r="N418" t="str">
        <f t="shared" si="19"/>
        <v/>
      </c>
      <c r="O418" t="str">
        <f t="shared" si="20"/>
        <v>FJERN</v>
      </c>
      <c r="P418" s="1"/>
    </row>
    <row r="419" spans="1:16" ht="15" customHeight="1" x14ac:dyDescent="0.2">
      <c r="A419" s="1" t="s">
        <v>1152</v>
      </c>
      <c r="B419" s="1" t="s">
        <v>1153</v>
      </c>
      <c r="C419" s="1" t="s">
        <v>9</v>
      </c>
      <c r="D419" s="1" t="s">
        <v>3</v>
      </c>
      <c r="E419" s="5">
        <v>35510</v>
      </c>
      <c r="F419" s="5">
        <v>35972</v>
      </c>
      <c r="G419" s="2"/>
      <c r="H419" s="1" t="s">
        <v>10</v>
      </c>
      <c r="I419" s="2"/>
      <c r="J419" s="1" t="s">
        <v>61</v>
      </c>
      <c r="K419" s="1" t="s">
        <v>1154</v>
      </c>
      <c r="L419" s="2"/>
      <c r="M419" t="str">
        <f t="shared" si="18"/>
        <v/>
      </c>
      <c r="N419" t="str">
        <f t="shared" si="19"/>
        <v/>
      </c>
      <c r="O419" t="str">
        <f t="shared" si="20"/>
        <v>FJERN</v>
      </c>
      <c r="P419" s="1"/>
    </row>
    <row r="420" spans="1:16" ht="15" customHeight="1" x14ac:dyDescent="0.2">
      <c r="A420" s="1" t="s">
        <v>1155</v>
      </c>
      <c r="B420" s="1" t="s">
        <v>1156</v>
      </c>
      <c r="C420" s="1" t="s">
        <v>2</v>
      </c>
      <c r="D420" s="1" t="s">
        <v>3</v>
      </c>
      <c r="E420" s="5">
        <v>32449</v>
      </c>
      <c r="F420" s="5">
        <v>42398</v>
      </c>
      <c r="G420" s="2">
        <v>128.93809999999999</v>
      </c>
      <c r="H420" s="1" t="s">
        <v>4</v>
      </c>
      <c r="I420" s="2"/>
      <c r="J420" s="1" t="s">
        <v>86</v>
      </c>
      <c r="K420" s="1" t="s">
        <v>1157</v>
      </c>
      <c r="L420" s="2">
        <v>54990.3</v>
      </c>
      <c r="M420">
        <f t="shared" si="18"/>
        <v>7090344.8004299998</v>
      </c>
      <c r="N420">
        <f t="shared" si="19"/>
        <v>951724.13428590598</v>
      </c>
      <c r="O420" t="str">
        <f t="shared" si="20"/>
        <v>BEHOLD</v>
      </c>
      <c r="P420" s="1" t="s">
        <v>5573</v>
      </c>
    </row>
    <row r="421" spans="1:16" ht="15" customHeight="1" x14ac:dyDescent="0.2">
      <c r="A421" s="1" t="s">
        <v>1158</v>
      </c>
      <c r="B421" s="1" t="s">
        <v>1159</v>
      </c>
      <c r="C421" s="1" t="s">
        <v>9</v>
      </c>
      <c r="D421" s="1" t="s">
        <v>3</v>
      </c>
      <c r="E421" s="5">
        <v>32560</v>
      </c>
      <c r="F421" s="5">
        <v>36671</v>
      </c>
      <c r="G421" s="2"/>
      <c r="H421" s="1" t="s">
        <v>10</v>
      </c>
      <c r="I421" s="2"/>
      <c r="J421" s="1" t="s">
        <v>61</v>
      </c>
      <c r="K421" s="1"/>
      <c r="L421" s="2"/>
      <c r="M421" t="str">
        <f t="shared" si="18"/>
        <v/>
      </c>
      <c r="N421" t="str">
        <f t="shared" si="19"/>
        <v/>
      </c>
      <c r="O421" t="str">
        <f t="shared" si="20"/>
        <v>FJERN</v>
      </c>
      <c r="P421" s="1"/>
    </row>
    <row r="422" spans="1:16" ht="15" customHeight="1" x14ac:dyDescent="0.2">
      <c r="A422" s="1" t="s">
        <v>1160</v>
      </c>
      <c r="B422" s="1" t="s">
        <v>1161</v>
      </c>
      <c r="C422" s="1" t="s">
        <v>2</v>
      </c>
      <c r="D422" s="1" t="s">
        <v>3</v>
      </c>
      <c r="E422" s="5">
        <v>32232</v>
      </c>
      <c r="F422" s="5">
        <v>46155</v>
      </c>
      <c r="G422" s="2">
        <v>36.245690000000003</v>
      </c>
      <c r="H422" s="1" t="s">
        <v>4</v>
      </c>
      <c r="I422" s="2">
        <v>172.1262816</v>
      </c>
      <c r="J422" s="1" t="s">
        <v>23</v>
      </c>
      <c r="K422" s="1" t="s">
        <v>1162</v>
      </c>
      <c r="L422" s="2">
        <v>4372.1270000000004</v>
      </c>
      <c r="M422">
        <f t="shared" si="18"/>
        <v>158470.75988263002</v>
      </c>
      <c r="N422">
        <f t="shared" si="19"/>
        <v>21271.242937265775</v>
      </c>
      <c r="O422" t="str">
        <f t="shared" si="20"/>
        <v>FJERN</v>
      </c>
      <c r="P422" s="1" t="s">
        <v>5574</v>
      </c>
    </row>
    <row r="423" spans="1:16" ht="15" customHeight="1" x14ac:dyDescent="0.2">
      <c r="A423" s="1" t="s">
        <v>1163</v>
      </c>
      <c r="B423" s="1" t="s">
        <v>1164</v>
      </c>
      <c r="C423" s="1" t="s">
        <v>2</v>
      </c>
      <c r="D423" s="1" t="s">
        <v>3</v>
      </c>
      <c r="E423" s="5">
        <v>34151</v>
      </c>
      <c r="F423" s="5">
        <v>37378</v>
      </c>
      <c r="G423" s="2"/>
      <c r="H423" s="1" t="s">
        <v>4</v>
      </c>
      <c r="I423" s="2"/>
      <c r="J423" s="1" t="s">
        <v>19</v>
      </c>
      <c r="K423" s="1" t="s">
        <v>1165</v>
      </c>
      <c r="L423" s="2"/>
      <c r="M423" t="str">
        <f t="shared" si="18"/>
        <v/>
      </c>
      <c r="N423" t="str">
        <f t="shared" si="19"/>
        <v/>
      </c>
      <c r="O423" t="str">
        <f t="shared" si="20"/>
        <v>FJERN</v>
      </c>
      <c r="P423" s="1"/>
    </row>
    <row r="424" spans="1:16" ht="15" customHeight="1" x14ac:dyDescent="0.2">
      <c r="A424" s="1" t="s">
        <v>1166</v>
      </c>
      <c r="B424" s="1" t="s">
        <v>1167</v>
      </c>
      <c r="C424" s="1" t="s">
        <v>9</v>
      </c>
      <c r="D424" s="1" t="s">
        <v>3</v>
      </c>
      <c r="E424" s="5">
        <v>35528</v>
      </c>
      <c r="F424" s="5">
        <v>39199</v>
      </c>
      <c r="G424" s="2"/>
      <c r="H424" s="1" t="s">
        <v>10</v>
      </c>
      <c r="I424" s="2"/>
      <c r="J424" s="1" t="s">
        <v>5</v>
      </c>
      <c r="K424" s="1" t="s">
        <v>1168</v>
      </c>
      <c r="L424" s="2"/>
      <c r="M424" t="str">
        <f t="shared" si="18"/>
        <v/>
      </c>
      <c r="N424" t="str">
        <f t="shared" si="19"/>
        <v/>
      </c>
      <c r="O424" t="str">
        <f t="shared" si="20"/>
        <v>FJERN</v>
      </c>
      <c r="P424" s="1" t="s">
        <v>5575</v>
      </c>
    </row>
    <row r="425" spans="1:16" ht="15" customHeight="1" x14ac:dyDescent="0.2">
      <c r="A425" s="1" t="s">
        <v>1169</v>
      </c>
      <c r="B425" s="1" t="s">
        <v>1170</v>
      </c>
      <c r="C425" s="1" t="s">
        <v>9</v>
      </c>
      <c r="D425" s="1" t="s">
        <v>3</v>
      </c>
      <c r="E425" s="5">
        <v>35816</v>
      </c>
      <c r="F425" s="5">
        <v>39231</v>
      </c>
      <c r="G425" s="2"/>
      <c r="H425" s="1" t="s">
        <v>10</v>
      </c>
      <c r="I425" s="2"/>
      <c r="J425" s="1" t="s">
        <v>184</v>
      </c>
      <c r="K425" s="1" t="s">
        <v>1171</v>
      </c>
      <c r="L425" s="2"/>
      <c r="M425" t="str">
        <f t="shared" si="18"/>
        <v/>
      </c>
      <c r="N425" t="str">
        <f t="shared" si="19"/>
        <v/>
      </c>
      <c r="O425" t="str">
        <f t="shared" si="20"/>
        <v>FJERN</v>
      </c>
      <c r="P425" s="1" t="s">
        <v>5576</v>
      </c>
    </row>
    <row r="426" spans="1:16" ht="15" customHeight="1" x14ac:dyDescent="0.2">
      <c r="A426" s="1" t="s">
        <v>1172</v>
      </c>
      <c r="B426" s="1" t="s">
        <v>1173</v>
      </c>
      <c r="C426" s="1" t="s">
        <v>9</v>
      </c>
      <c r="D426" s="1" t="s">
        <v>3</v>
      </c>
      <c r="E426" s="5">
        <v>35816</v>
      </c>
      <c r="F426" s="5">
        <v>37544</v>
      </c>
      <c r="G426" s="2"/>
      <c r="H426" s="1" t="s">
        <v>10</v>
      </c>
      <c r="I426" s="2"/>
      <c r="J426" s="1" t="s">
        <v>236</v>
      </c>
      <c r="K426" s="1" t="s">
        <v>1174</v>
      </c>
      <c r="L426" s="2"/>
      <c r="M426" t="str">
        <f t="shared" si="18"/>
        <v/>
      </c>
      <c r="N426" t="str">
        <f t="shared" si="19"/>
        <v/>
      </c>
      <c r="O426" t="str">
        <f t="shared" si="20"/>
        <v>FJERN</v>
      </c>
      <c r="P426" s="1" t="s">
        <v>5577</v>
      </c>
    </row>
    <row r="427" spans="1:16" ht="15" customHeight="1" x14ac:dyDescent="0.2">
      <c r="A427" s="1" t="s">
        <v>1175</v>
      </c>
      <c r="B427" s="1" t="s">
        <v>1176</v>
      </c>
      <c r="C427" s="1" t="s">
        <v>9</v>
      </c>
      <c r="D427" s="1" t="s">
        <v>3</v>
      </c>
      <c r="E427" s="5">
        <v>35816</v>
      </c>
      <c r="F427" s="5">
        <v>44722</v>
      </c>
      <c r="G427" s="2">
        <v>0.91992810000000003</v>
      </c>
      <c r="H427" s="1" t="s">
        <v>10</v>
      </c>
      <c r="I427" s="2"/>
      <c r="J427" s="1" t="s">
        <v>38</v>
      </c>
      <c r="K427" s="1" t="s">
        <v>1177</v>
      </c>
      <c r="L427" s="2">
        <v>154945.70000000001</v>
      </c>
      <c r="M427">
        <f t="shared" si="18"/>
        <v>142538.90340417001</v>
      </c>
      <c r="N427">
        <f t="shared" si="19"/>
        <v>12614.062248156637</v>
      </c>
      <c r="O427" t="str">
        <f t="shared" si="20"/>
        <v>FJERN</v>
      </c>
      <c r="P427" s="1" t="s">
        <v>5578</v>
      </c>
    </row>
    <row r="428" spans="1:16" ht="15" customHeight="1" x14ac:dyDescent="0.2">
      <c r="A428" s="1" t="s">
        <v>1178</v>
      </c>
      <c r="B428" s="1" t="s">
        <v>1179</v>
      </c>
      <c r="C428" s="1" t="s">
        <v>9</v>
      </c>
      <c r="D428" s="1" t="s">
        <v>3</v>
      </c>
      <c r="E428" s="5">
        <v>35535</v>
      </c>
      <c r="F428" s="5">
        <v>39674</v>
      </c>
      <c r="G428" s="2">
        <v>38.899970000000003</v>
      </c>
      <c r="H428" s="1" t="s">
        <v>10</v>
      </c>
      <c r="I428" s="2"/>
      <c r="J428" s="1" t="s">
        <v>256</v>
      </c>
      <c r="K428" s="1" t="s">
        <v>1180</v>
      </c>
      <c r="L428" s="2">
        <v>0</v>
      </c>
      <c r="M428">
        <f t="shared" si="18"/>
        <v>0</v>
      </c>
      <c r="N428">
        <f t="shared" si="19"/>
        <v>0</v>
      </c>
      <c r="O428" t="str">
        <f t="shared" si="20"/>
        <v>FJERN</v>
      </c>
      <c r="P428" s="1" t="s">
        <v>5579</v>
      </c>
    </row>
    <row r="429" spans="1:16" ht="15" customHeight="1" x14ac:dyDescent="0.2">
      <c r="A429" s="1" t="s">
        <v>1181</v>
      </c>
      <c r="B429" s="1" t="s">
        <v>1182</v>
      </c>
      <c r="C429" s="1" t="s">
        <v>9</v>
      </c>
      <c r="D429" s="1" t="s">
        <v>3</v>
      </c>
      <c r="E429" s="5">
        <v>35592</v>
      </c>
      <c r="F429" s="5">
        <v>38432</v>
      </c>
      <c r="G429" s="2"/>
      <c r="H429" s="1" t="s">
        <v>10</v>
      </c>
      <c r="I429" s="2"/>
      <c r="J429" s="1" t="s">
        <v>11</v>
      </c>
      <c r="K429" s="1" t="s">
        <v>1183</v>
      </c>
      <c r="L429" s="2"/>
      <c r="M429" t="str">
        <f t="shared" si="18"/>
        <v/>
      </c>
      <c r="N429" t="str">
        <f t="shared" si="19"/>
        <v/>
      </c>
      <c r="O429" t="str">
        <f t="shared" si="20"/>
        <v>FJERN</v>
      </c>
      <c r="P429" s="1" t="s">
        <v>5580</v>
      </c>
    </row>
    <row r="430" spans="1:16" ht="15" customHeight="1" x14ac:dyDescent="0.2">
      <c r="A430" s="1" t="s">
        <v>1184</v>
      </c>
      <c r="B430" s="1" t="s">
        <v>1185</v>
      </c>
      <c r="C430" s="1" t="s">
        <v>9</v>
      </c>
      <c r="D430" s="1" t="s">
        <v>3</v>
      </c>
      <c r="E430" s="5">
        <v>34488</v>
      </c>
      <c r="F430" s="5">
        <v>39836</v>
      </c>
      <c r="G430" s="2">
        <v>216.89959999999999</v>
      </c>
      <c r="H430" s="1" t="s">
        <v>10</v>
      </c>
      <c r="I430" s="2"/>
      <c r="J430" s="1" t="s">
        <v>5</v>
      </c>
      <c r="K430" s="1" t="s">
        <v>1186</v>
      </c>
      <c r="L430" s="2">
        <v>362.84429999999998</v>
      </c>
      <c r="M430">
        <f t="shared" si="18"/>
        <v>78700.783532279995</v>
      </c>
      <c r="N430">
        <f t="shared" si="19"/>
        <v>6964.6711090513263</v>
      </c>
      <c r="O430" t="str">
        <f t="shared" si="20"/>
        <v>FJERN</v>
      </c>
      <c r="P430" s="1" t="s">
        <v>5581</v>
      </c>
    </row>
    <row r="431" spans="1:16" ht="15" customHeight="1" x14ac:dyDescent="0.2">
      <c r="A431" s="1" t="s">
        <v>1187</v>
      </c>
      <c r="B431" s="1" t="s">
        <v>1188</v>
      </c>
      <c r="C431" s="1" t="s">
        <v>2</v>
      </c>
      <c r="D431" s="1" t="s">
        <v>3</v>
      </c>
      <c r="E431" s="5">
        <v>35586</v>
      </c>
      <c r="F431" s="5">
        <v>40850</v>
      </c>
      <c r="G431" s="2">
        <v>252.73660000000001</v>
      </c>
      <c r="H431" s="1" t="s">
        <v>4</v>
      </c>
      <c r="I431" s="2"/>
      <c r="J431" s="1" t="s">
        <v>11</v>
      </c>
      <c r="K431" s="1" t="s">
        <v>1189</v>
      </c>
      <c r="L431" s="2">
        <v>13116.29</v>
      </c>
      <c r="M431">
        <f t="shared" si="18"/>
        <v>3314966.5392140006</v>
      </c>
      <c r="N431">
        <f t="shared" si="19"/>
        <v>444961.95157234906</v>
      </c>
      <c r="O431" t="str">
        <f t="shared" si="20"/>
        <v>BEHOLD</v>
      </c>
      <c r="P431" s="1" t="s">
        <v>5582</v>
      </c>
    </row>
    <row r="432" spans="1:16" ht="15" customHeight="1" x14ac:dyDescent="0.2">
      <c r="A432" s="1" t="s">
        <v>1190</v>
      </c>
      <c r="B432" s="1" t="s">
        <v>1191</v>
      </c>
      <c r="C432" s="1" t="s">
        <v>9</v>
      </c>
      <c r="D432" s="1" t="s">
        <v>3</v>
      </c>
      <c r="E432" s="5">
        <v>35866</v>
      </c>
      <c r="F432" s="5">
        <v>46155</v>
      </c>
      <c r="G432" s="2">
        <v>61.584870000000002</v>
      </c>
      <c r="H432" s="1" t="s">
        <v>10</v>
      </c>
      <c r="I432" s="2">
        <v>1200.28</v>
      </c>
      <c r="J432" s="1" t="s">
        <v>38</v>
      </c>
      <c r="K432" s="1" t="s">
        <v>1192</v>
      </c>
      <c r="L432" s="2">
        <v>4324.3710000000001</v>
      </c>
      <c r="M432">
        <f t="shared" si="18"/>
        <v>266315.82586677</v>
      </c>
      <c r="N432">
        <f t="shared" si="19"/>
        <v>23567.772200599113</v>
      </c>
      <c r="O432" t="str">
        <f t="shared" si="20"/>
        <v>FJERN</v>
      </c>
      <c r="P432" s="1" t="s">
        <v>5583</v>
      </c>
    </row>
    <row r="433" spans="1:16" ht="15" customHeight="1" x14ac:dyDescent="0.2">
      <c r="A433" s="1" t="s">
        <v>1193</v>
      </c>
      <c r="B433" s="1" t="s">
        <v>1194</v>
      </c>
      <c r="C433" s="1" t="s">
        <v>9</v>
      </c>
      <c r="D433" s="1" t="s">
        <v>3</v>
      </c>
      <c r="E433" s="5">
        <v>35573</v>
      </c>
      <c r="F433" s="5">
        <v>40725</v>
      </c>
      <c r="G433" s="2">
        <v>60.620159999999998</v>
      </c>
      <c r="H433" s="1" t="s">
        <v>10</v>
      </c>
      <c r="I433" s="2"/>
      <c r="J433" s="1" t="s">
        <v>76</v>
      </c>
      <c r="K433" s="1" t="s">
        <v>1195</v>
      </c>
      <c r="L433" s="2">
        <v>2267.7840000000001</v>
      </c>
      <c r="M433">
        <f t="shared" si="18"/>
        <v>137473.42892544001</v>
      </c>
      <c r="N433">
        <f t="shared" si="19"/>
        <v>12165.79017039292</v>
      </c>
      <c r="O433" t="str">
        <f t="shared" si="20"/>
        <v>FJERN</v>
      </c>
      <c r="P433" s="1" t="s">
        <v>5584</v>
      </c>
    </row>
    <row r="434" spans="1:16" ht="15" customHeight="1" x14ac:dyDescent="0.2">
      <c r="A434" s="1" t="s">
        <v>1196</v>
      </c>
      <c r="B434" s="1" t="s">
        <v>1197</v>
      </c>
      <c r="C434" s="1" t="s">
        <v>9</v>
      </c>
      <c r="D434" s="1" t="s">
        <v>3</v>
      </c>
      <c r="E434" s="5">
        <v>35600</v>
      </c>
      <c r="F434" s="5">
        <v>42202</v>
      </c>
      <c r="G434" s="2">
        <v>24.856110000000001</v>
      </c>
      <c r="H434" s="1" t="s">
        <v>10</v>
      </c>
      <c r="I434" s="2"/>
      <c r="J434" s="1" t="s">
        <v>23</v>
      </c>
      <c r="K434" s="1" t="s">
        <v>1198</v>
      </c>
      <c r="L434" s="2">
        <v>16343.17</v>
      </c>
      <c r="M434">
        <f t="shared" si="18"/>
        <v>406227.6312687</v>
      </c>
      <c r="N434">
        <f t="shared" si="19"/>
        <v>35949.347899884953</v>
      </c>
      <c r="O434" t="str">
        <f t="shared" si="20"/>
        <v>FJERN</v>
      </c>
      <c r="P434" s="1" t="s">
        <v>5585</v>
      </c>
    </row>
    <row r="435" spans="1:16" ht="15" customHeight="1" x14ac:dyDescent="0.2">
      <c r="A435" s="1" t="s">
        <v>1199</v>
      </c>
      <c r="B435" s="1" t="s">
        <v>1200</v>
      </c>
      <c r="C435" s="1" t="s">
        <v>9</v>
      </c>
      <c r="D435" s="1" t="s">
        <v>3</v>
      </c>
      <c r="E435" s="5">
        <v>35571</v>
      </c>
      <c r="F435" s="5">
        <v>38520</v>
      </c>
      <c r="G435" s="2"/>
      <c r="H435" s="1" t="s">
        <v>10</v>
      </c>
      <c r="I435" s="2"/>
      <c r="J435" s="1" t="s">
        <v>86</v>
      </c>
      <c r="K435" s="1" t="s">
        <v>1201</v>
      </c>
      <c r="L435" s="2"/>
      <c r="M435" t="str">
        <f t="shared" si="18"/>
        <v/>
      </c>
      <c r="N435" t="str">
        <f t="shared" si="19"/>
        <v/>
      </c>
      <c r="O435" t="str">
        <f t="shared" si="20"/>
        <v>FJERN</v>
      </c>
      <c r="P435" s="1" t="s">
        <v>5586</v>
      </c>
    </row>
    <row r="436" spans="1:16" ht="15" customHeight="1" x14ac:dyDescent="0.2">
      <c r="A436" s="1" t="s">
        <v>1202</v>
      </c>
      <c r="B436" s="1" t="s">
        <v>1203</v>
      </c>
      <c r="C436" s="1" t="s">
        <v>9</v>
      </c>
      <c r="D436" s="1" t="s">
        <v>3</v>
      </c>
      <c r="E436" s="5">
        <v>35579</v>
      </c>
      <c r="F436" s="5">
        <v>44887</v>
      </c>
      <c r="G436" s="2">
        <v>57.264189999999999</v>
      </c>
      <c r="H436" s="1" t="s">
        <v>10</v>
      </c>
      <c r="I436" s="2"/>
      <c r="J436" s="1" t="s">
        <v>289</v>
      </c>
      <c r="K436" s="1" t="s">
        <v>1204</v>
      </c>
      <c r="L436" s="2">
        <v>31689.48</v>
      </c>
      <c r="M436">
        <f t="shared" si="18"/>
        <v>1814672.4037211998</v>
      </c>
      <c r="N436">
        <f t="shared" si="19"/>
        <v>160590.47820541591</v>
      </c>
      <c r="O436" t="str">
        <f t="shared" si="20"/>
        <v>BEHOLD</v>
      </c>
      <c r="P436" s="1" t="s">
        <v>5587</v>
      </c>
    </row>
    <row r="437" spans="1:16" ht="15" customHeight="1" x14ac:dyDescent="0.2">
      <c r="A437" s="1" t="s">
        <v>1205</v>
      </c>
      <c r="B437" s="1" t="s">
        <v>1206</v>
      </c>
      <c r="C437" s="1" t="s">
        <v>9</v>
      </c>
      <c r="D437" s="1" t="s">
        <v>3</v>
      </c>
      <c r="E437" s="5">
        <v>35879</v>
      </c>
      <c r="F437" s="5">
        <v>38681</v>
      </c>
      <c r="G437" s="2"/>
      <c r="H437" s="1" t="s">
        <v>10</v>
      </c>
      <c r="I437" s="2"/>
      <c r="J437" s="1" t="s">
        <v>86</v>
      </c>
      <c r="K437" s="1" t="s">
        <v>1207</v>
      </c>
      <c r="L437" s="2"/>
      <c r="M437" t="str">
        <f t="shared" si="18"/>
        <v/>
      </c>
      <c r="N437" t="str">
        <f t="shared" si="19"/>
        <v/>
      </c>
      <c r="O437" t="str">
        <f t="shared" si="20"/>
        <v>FJERN</v>
      </c>
      <c r="P437" s="1" t="s">
        <v>5588</v>
      </c>
    </row>
    <row r="438" spans="1:16" ht="15" customHeight="1" x14ac:dyDescent="0.2">
      <c r="A438" s="1" t="s">
        <v>1208</v>
      </c>
      <c r="B438" s="1" t="s">
        <v>1209</v>
      </c>
      <c r="C438" s="1" t="s">
        <v>9</v>
      </c>
      <c r="D438" s="1" t="s">
        <v>3</v>
      </c>
      <c r="E438" s="5">
        <v>35636</v>
      </c>
      <c r="F438" s="5">
        <v>36335</v>
      </c>
      <c r="G438" s="2"/>
      <c r="H438" s="1" t="s">
        <v>10</v>
      </c>
      <c r="I438" s="2"/>
      <c r="J438" s="1" t="s">
        <v>236</v>
      </c>
      <c r="K438" s="1"/>
      <c r="L438" s="2"/>
      <c r="M438" t="str">
        <f t="shared" si="18"/>
        <v/>
      </c>
      <c r="N438" t="str">
        <f t="shared" si="19"/>
        <v/>
      </c>
      <c r="O438" t="str">
        <f t="shared" si="20"/>
        <v>FJERN</v>
      </c>
      <c r="P438" s="1"/>
    </row>
    <row r="439" spans="1:16" ht="15" customHeight="1" x14ac:dyDescent="0.2">
      <c r="A439" s="1" t="s">
        <v>1210</v>
      </c>
      <c r="B439" s="1" t="s">
        <v>1211</v>
      </c>
      <c r="C439" s="1" t="s">
        <v>2</v>
      </c>
      <c r="D439" s="1" t="s">
        <v>3</v>
      </c>
      <c r="E439" s="5">
        <v>35612</v>
      </c>
      <c r="F439" s="5">
        <v>36126</v>
      </c>
      <c r="G439" s="2"/>
      <c r="H439" s="1" t="s">
        <v>4</v>
      </c>
      <c r="I439" s="2"/>
      <c r="J439" s="1" t="s">
        <v>86</v>
      </c>
      <c r="K439" s="1"/>
      <c r="L439" s="2"/>
      <c r="M439" t="str">
        <f t="shared" si="18"/>
        <v/>
      </c>
      <c r="N439" t="str">
        <f t="shared" si="19"/>
        <v/>
      </c>
      <c r="O439" t="str">
        <f t="shared" si="20"/>
        <v>FJERN</v>
      </c>
      <c r="P439" s="1"/>
    </row>
    <row r="440" spans="1:16" ht="15" customHeight="1" x14ac:dyDescent="0.2">
      <c r="A440" s="1" t="s">
        <v>1212</v>
      </c>
      <c r="B440" s="1" t="s">
        <v>1213</v>
      </c>
      <c r="C440" s="1" t="s">
        <v>9</v>
      </c>
      <c r="D440" s="1" t="s">
        <v>3</v>
      </c>
      <c r="E440" s="5">
        <v>32007</v>
      </c>
      <c r="F440" s="5">
        <v>39023</v>
      </c>
      <c r="G440" s="2"/>
      <c r="H440" s="1" t="s">
        <v>10</v>
      </c>
      <c r="I440" s="2"/>
      <c r="J440" s="1" t="s">
        <v>11</v>
      </c>
      <c r="K440" s="1" t="s">
        <v>1214</v>
      </c>
      <c r="L440" s="2"/>
      <c r="M440" t="str">
        <f t="shared" si="18"/>
        <v/>
      </c>
      <c r="N440" t="str">
        <f t="shared" si="19"/>
        <v/>
      </c>
      <c r="O440" t="str">
        <f t="shared" si="20"/>
        <v>FJERN</v>
      </c>
      <c r="P440" s="1" t="s">
        <v>5589</v>
      </c>
    </row>
    <row r="441" spans="1:16" ht="15" customHeight="1" x14ac:dyDescent="0.2">
      <c r="A441" s="1" t="s">
        <v>1215</v>
      </c>
      <c r="B441" s="1" t="s">
        <v>1216</v>
      </c>
      <c r="C441" s="1" t="s">
        <v>9</v>
      </c>
      <c r="D441" s="1" t="s">
        <v>3</v>
      </c>
      <c r="E441" s="5">
        <v>36061</v>
      </c>
      <c r="F441" s="5">
        <v>37140</v>
      </c>
      <c r="G441" s="2"/>
      <c r="H441" s="1" t="s">
        <v>10</v>
      </c>
      <c r="I441" s="2"/>
      <c r="J441" s="1" t="s">
        <v>86</v>
      </c>
      <c r="K441" s="1" t="s">
        <v>1217</v>
      </c>
      <c r="L441" s="2"/>
      <c r="M441" t="str">
        <f t="shared" si="18"/>
        <v/>
      </c>
      <c r="N441" t="str">
        <f t="shared" si="19"/>
        <v/>
      </c>
      <c r="O441" t="str">
        <f t="shared" si="20"/>
        <v>FJERN</v>
      </c>
      <c r="P441" s="1"/>
    </row>
    <row r="442" spans="1:16" ht="15" customHeight="1" x14ac:dyDescent="0.2">
      <c r="A442" s="1" t="s">
        <v>1218</v>
      </c>
      <c r="B442" s="1" t="s">
        <v>1219</v>
      </c>
      <c r="C442" s="1" t="s">
        <v>9</v>
      </c>
      <c r="D442" s="1" t="s">
        <v>3</v>
      </c>
      <c r="E442" s="5">
        <v>35606</v>
      </c>
      <c r="F442" s="5">
        <v>38471</v>
      </c>
      <c r="G442" s="2"/>
      <c r="H442" s="1" t="s">
        <v>10</v>
      </c>
      <c r="I442" s="2"/>
      <c r="J442" s="1" t="s">
        <v>86</v>
      </c>
      <c r="K442" s="1" t="s">
        <v>1220</v>
      </c>
      <c r="L442" s="2"/>
      <c r="M442" t="str">
        <f t="shared" si="18"/>
        <v/>
      </c>
      <c r="N442" t="str">
        <f t="shared" si="19"/>
        <v/>
      </c>
      <c r="O442" t="str">
        <f t="shared" si="20"/>
        <v>FJERN</v>
      </c>
      <c r="P442" s="1" t="s">
        <v>5590</v>
      </c>
    </row>
    <row r="443" spans="1:16" ht="15" customHeight="1" x14ac:dyDescent="0.2">
      <c r="A443" s="1" t="s">
        <v>1221</v>
      </c>
      <c r="B443" s="1" t="s">
        <v>1222</v>
      </c>
      <c r="C443" s="1" t="s">
        <v>9</v>
      </c>
      <c r="D443" s="1" t="s">
        <v>3</v>
      </c>
      <c r="E443" s="5">
        <v>35606</v>
      </c>
      <c r="F443" s="5">
        <v>36173</v>
      </c>
      <c r="G443" s="2"/>
      <c r="H443" s="1" t="s">
        <v>10</v>
      </c>
      <c r="I443" s="2"/>
      <c r="J443" s="1" t="s">
        <v>236</v>
      </c>
      <c r="K443" s="1"/>
      <c r="L443" s="2"/>
      <c r="M443" t="str">
        <f t="shared" si="18"/>
        <v/>
      </c>
      <c r="N443" t="str">
        <f t="shared" si="19"/>
        <v/>
      </c>
      <c r="O443" t="str">
        <f t="shared" si="20"/>
        <v>FJERN</v>
      </c>
      <c r="P443" s="1"/>
    </row>
    <row r="444" spans="1:16" ht="15" customHeight="1" x14ac:dyDescent="0.2">
      <c r="A444" s="1" t="s">
        <v>1223</v>
      </c>
      <c r="B444" s="1" t="s">
        <v>1224</v>
      </c>
      <c r="C444" s="1" t="s">
        <v>2</v>
      </c>
      <c r="D444" s="1" t="s">
        <v>3</v>
      </c>
      <c r="E444" s="5">
        <v>32231</v>
      </c>
      <c r="F444" s="5">
        <v>46155</v>
      </c>
      <c r="G444" s="2">
        <v>311.68709999999999</v>
      </c>
      <c r="H444" s="1" t="s">
        <v>4</v>
      </c>
      <c r="I444" s="2">
        <v>24330.405705000001</v>
      </c>
      <c r="J444" s="1" t="s">
        <v>23</v>
      </c>
      <c r="K444" s="1" t="s">
        <v>1225</v>
      </c>
      <c r="L444" s="2">
        <v>306557.5</v>
      </c>
      <c r="M444">
        <f t="shared" si="18"/>
        <v>95550018.158249989</v>
      </c>
      <c r="N444">
        <f t="shared" si="19"/>
        <v>12825505.79305369</v>
      </c>
      <c r="O444" t="str">
        <f t="shared" si="20"/>
        <v>BEHOLD</v>
      </c>
      <c r="P444" s="1" t="s">
        <v>5591</v>
      </c>
    </row>
    <row r="445" spans="1:16" ht="15" customHeight="1" x14ac:dyDescent="0.2">
      <c r="A445" s="1" t="s">
        <v>1226</v>
      </c>
      <c r="B445" s="1" t="s">
        <v>1227</v>
      </c>
      <c r="C445" s="1" t="s">
        <v>9</v>
      </c>
      <c r="D445" s="1" t="s">
        <v>3</v>
      </c>
      <c r="E445" s="5">
        <v>35604</v>
      </c>
      <c r="F445" s="5">
        <v>38036</v>
      </c>
      <c r="G445" s="2"/>
      <c r="H445" s="1" t="s">
        <v>10</v>
      </c>
      <c r="I445" s="2"/>
      <c r="J445" s="1" t="s">
        <v>61</v>
      </c>
      <c r="K445" s="1" t="s">
        <v>1228</v>
      </c>
      <c r="L445" s="2"/>
      <c r="M445" t="str">
        <f t="shared" si="18"/>
        <v/>
      </c>
      <c r="N445" t="str">
        <f t="shared" si="19"/>
        <v/>
      </c>
      <c r="O445" t="str">
        <f t="shared" si="20"/>
        <v>FJERN</v>
      </c>
      <c r="P445" s="1" t="s">
        <v>5592</v>
      </c>
    </row>
    <row r="446" spans="1:16" ht="15" customHeight="1" x14ac:dyDescent="0.2">
      <c r="A446" s="1" t="s">
        <v>1229</v>
      </c>
      <c r="B446" s="1" t="s">
        <v>1230</v>
      </c>
      <c r="C446" s="1" t="s">
        <v>9</v>
      </c>
      <c r="D446" s="1" t="s">
        <v>3</v>
      </c>
      <c r="E446" s="5">
        <v>35606</v>
      </c>
      <c r="F446" s="5">
        <v>46155</v>
      </c>
      <c r="G446" s="2">
        <v>77.348500000000001</v>
      </c>
      <c r="H446" s="1" t="s">
        <v>10</v>
      </c>
      <c r="I446" s="2">
        <v>858.25789999999995</v>
      </c>
      <c r="J446" s="1" t="s">
        <v>86</v>
      </c>
      <c r="K446" s="1" t="s">
        <v>1231</v>
      </c>
      <c r="L446" s="2">
        <v>4055.8449999999998</v>
      </c>
      <c r="M446">
        <f t="shared" si="18"/>
        <v>313713.52698249999</v>
      </c>
      <c r="N446">
        <f t="shared" si="19"/>
        <v>27762.259024999996</v>
      </c>
      <c r="O446" t="str">
        <f t="shared" si="20"/>
        <v>FJERN</v>
      </c>
      <c r="P446" s="1" t="s">
        <v>5593</v>
      </c>
    </row>
    <row r="447" spans="1:16" ht="15" customHeight="1" x14ac:dyDescent="0.2">
      <c r="A447" s="1" t="s">
        <v>1232</v>
      </c>
      <c r="B447" s="1" t="s">
        <v>1233</v>
      </c>
      <c r="C447" s="1" t="s">
        <v>9</v>
      </c>
      <c r="D447" s="1" t="s">
        <v>3</v>
      </c>
      <c r="E447" s="5">
        <v>35606</v>
      </c>
      <c r="F447" s="5">
        <v>41992</v>
      </c>
      <c r="G447" s="2">
        <v>11.63965</v>
      </c>
      <c r="H447" s="1" t="s">
        <v>10</v>
      </c>
      <c r="I447" s="2"/>
      <c r="J447" s="1" t="s">
        <v>86</v>
      </c>
      <c r="K447" s="1" t="s">
        <v>1234</v>
      </c>
      <c r="L447" s="2">
        <v>100333.9</v>
      </c>
      <c r="M447">
        <f t="shared" si="18"/>
        <v>1167851.4791349999</v>
      </c>
      <c r="N447">
        <f t="shared" si="19"/>
        <v>103349.68841902654</v>
      </c>
      <c r="O447" t="str">
        <f t="shared" si="20"/>
        <v>BEHOLD</v>
      </c>
      <c r="P447" s="1" t="s">
        <v>5594</v>
      </c>
    </row>
    <row r="448" spans="1:16" ht="15" customHeight="1" x14ac:dyDescent="0.2">
      <c r="A448" s="1" t="s">
        <v>1235</v>
      </c>
      <c r="B448" s="1" t="s">
        <v>1236</v>
      </c>
      <c r="C448" s="1" t="s">
        <v>9</v>
      </c>
      <c r="D448" s="1" t="s">
        <v>3</v>
      </c>
      <c r="E448" s="5">
        <v>33120</v>
      </c>
      <c r="F448" s="5">
        <v>46155</v>
      </c>
      <c r="G448" s="2">
        <v>37.882820000000002</v>
      </c>
      <c r="H448" s="1" t="s">
        <v>10</v>
      </c>
      <c r="I448" s="2">
        <v>315.1142792</v>
      </c>
      <c r="J448" s="1" t="s">
        <v>176</v>
      </c>
      <c r="K448" s="1" t="s">
        <v>1237</v>
      </c>
      <c r="L448" s="2">
        <v>7709.7449999999999</v>
      </c>
      <c r="M448">
        <f t="shared" si="18"/>
        <v>292066.88208090002</v>
      </c>
      <c r="N448">
        <f t="shared" si="19"/>
        <v>25846.62673282301</v>
      </c>
      <c r="O448" t="str">
        <f t="shared" si="20"/>
        <v>FJERN</v>
      </c>
      <c r="P448" s="1" t="s">
        <v>5595</v>
      </c>
    </row>
    <row r="449" spans="1:16" ht="15" customHeight="1" x14ac:dyDescent="0.2">
      <c r="A449" s="1" t="s">
        <v>1238</v>
      </c>
      <c r="B449" s="1" t="s">
        <v>1239</v>
      </c>
      <c r="C449" s="1" t="s">
        <v>9</v>
      </c>
      <c r="D449" s="1" t="s">
        <v>255</v>
      </c>
      <c r="E449" s="5">
        <v>35613</v>
      </c>
      <c r="F449" s="5">
        <v>39058</v>
      </c>
      <c r="G449" s="2"/>
      <c r="H449" s="1" t="s">
        <v>10</v>
      </c>
      <c r="I449" s="2"/>
      <c r="J449" s="1" t="s">
        <v>64</v>
      </c>
      <c r="K449" s="1" t="s">
        <v>1240</v>
      </c>
      <c r="L449" s="2"/>
      <c r="M449" t="str">
        <f t="shared" si="18"/>
        <v/>
      </c>
      <c r="N449" t="str">
        <f t="shared" si="19"/>
        <v/>
      </c>
      <c r="O449" t="str">
        <f t="shared" si="20"/>
        <v>FJERN</v>
      </c>
      <c r="P449" s="1" t="s">
        <v>5596</v>
      </c>
    </row>
    <row r="450" spans="1:16" ht="15" customHeight="1" x14ac:dyDescent="0.2">
      <c r="A450" s="1" t="s">
        <v>1241</v>
      </c>
      <c r="B450" s="1" t="s">
        <v>1242</v>
      </c>
      <c r="C450" s="1" t="s">
        <v>2</v>
      </c>
      <c r="D450" s="1" t="s">
        <v>3</v>
      </c>
      <c r="E450" s="5">
        <v>32820</v>
      </c>
      <c r="F450" s="5">
        <v>38506</v>
      </c>
      <c r="G450" s="2"/>
      <c r="H450" s="1" t="s">
        <v>4</v>
      </c>
      <c r="I450" s="2"/>
      <c r="J450" s="1" t="s">
        <v>55</v>
      </c>
      <c r="K450" s="1" t="s">
        <v>1243</v>
      </c>
      <c r="L450" s="2"/>
      <c r="M450" t="str">
        <f t="shared" si="18"/>
        <v/>
      </c>
      <c r="N450" t="str">
        <f t="shared" si="19"/>
        <v/>
      </c>
      <c r="O450" t="str">
        <f t="shared" si="20"/>
        <v>FJERN</v>
      </c>
      <c r="P450" s="1" t="s">
        <v>5597</v>
      </c>
    </row>
    <row r="451" spans="1:16" ht="15" customHeight="1" x14ac:dyDescent="0.2">
      <c r="A451" s="1" t="s">
        <v>1244</v>
      </c>
      <c r="B451" s="1" t="s">
        <v>1245</v>
      </c>
      <c r="C451" s="1" t="s">
        <v>2</v>
      </c>
      <c r="D451" s="1" t="s">
        <v>3</v>
      </c>
      <c r="E451" s="5">
        <v>35677</v>
      </c>
      <c r="F451" s="5">
        <v>38974</v>
      </c>
      <c r="G451" s="2"/>
      <c r="H451" s="1" t="s">
        <v>4</v>
      </c>
      <c r="I451" s="2"/>
      <c r="J451" s="1" t="s">
        <v>289</v>
      </c>
      <c r="K451" s="1" t="s">
        <v>1246</v>
      </c>
      <c r="L451" s="2"/>
      <c r="M451" t="str">
        <f t="shared" ref="M451:M514" si="21">IF(OR(G451="",L451=""),"",G451*L451)</f>
        <v/>
      </c>
      <c r="N451" t="str">
        <f t="shared" ref="N451:N514" si="22">IF(M451="","",IF(H451="DKK",M451/7.45,IF(H451="SEK",M451/11.3,M451)))</f>
        <v/>
      </c>
      <c r="O451" t="str">
        <f t="shared" ref="O451:O514" si="23">IF(AND(E451&lt;=DATE(2024,12,31),F451&gt;=DATE(2010,1,1),D451="SHARE",N451&gt;=100000),"BEHOLD","FJERN")</f>
        <v>FJERN</v>
      </c>
      <c r="P451" s="1" t="s">
        <v>5598</v>
      </c>
    </row>
    <row r="452" spans="1:16" ht="15" customHeight="1" x14ac:dyDescent="0.2">
      <c r="A452" s="1" t="s">
        <v>1247</v>
      </c>
      <c r="B452" s="1" t="s">
        <v>1248</v>
      </c>
      <c r="C452" s="1" t="s">
        <v>9</v>
      </c>
      <c r="D452" s="1" t="s">
        <v>3</v>
      </c>
      <c r="E452" s="5">
        <v>35706</v>
      </c>
      <c r="F452" s="5">
        <v>36313</v>
      </c>
      <c r="G452" s="2"/>
      <c r="H452" s="1" t="s">
        <v>10</v>
      </c>
      <c r="I452" s="2"/>
      <c r="J452" s="1" t="s">
        <v>176</v>
      </c>
      <c r="K452" s="1"/>
      <c r="L452" s="2"/>
      <c r="M452" t="str">
        <f t="shared" si="21"/>
        <v/>
      </c>
      <c r="N452" t="str">
        <f t="shared" si="22"/>
        <v/>
      </c>
      <c r="O452" t="str">
        <f t="shared" si="23"/>
        <v>FJERN</v>
      </c>
      <c r="P452" s="1"/>
    </row>
    <row r="453" spans="1:16" ht="15" customHeight="1" x14ac:dyDescent="0.2">
      <c r="A453" s="1" t="s">
        <v>1249</v>
      </c>
      <c r="B453" s="1" t="s">
        <v>1250</v>
      </c>
      <c r="C453" s="1" t="s">
        <v>9</v>
      </c>
      <c r="D453" s="1" t="s">
        <v>3</v>
      </c>
      <c r="E453" s="5">
        <v>35706</v>
      </c>
      <c r="F453" s="5">
        <v>36334</v>
      </c>
      <c r="G453" s="2"/>
      <c r="H453" s="1" t="s">
        <v>10</v>
      </c>
      <c r="I453" s="2"/>
      <c r="J453" s="1" t="s">
        <v>176</v>
      </c>
      <c r="K453" s="1"/>
      <c r="L453" s="2"/>
      <c r="M453" t="str">
        <f t="shared" si="21"/>
        <v/>
      </c>
      <c r="N453" t="str">
        <f t="shared" si="22"/>
        <v/>
      </c>
      <c r="O453" t="str">
        <f t="shared" si="23"/>
        <v>FJERN</v>
      </c>
      <c r="P453" s="1"/>
    </row>
    <row r="454" spans="1:16" ht="15" customHeight="1" x14ac:dyDescent="0.2">
      <c r="A454" s="1" t="s">
        <v>1251</v>
      </c>
      <c r="B454" s="1" t="s">
        <v>1252</v>
      </c>
      <c r="C454" s="1" t="s">
        <v>2</v>
      </c>
      <c r="D454" s="1" t="s">
        <v>3</v>
      </c>
      <c r="E454" s="5">
        <v>35738</v>
      </c>
      <c r="F454" s="5">
        <v>40338</v>
      </c>
      <c r="G454" s="2">
        <v>4.6743159999999999E-2</v>
      </c>
      <c r="H454" s="1" t="s">
        <v>4</v>
      </c>
      <c r="I454" s="2"/>
      <c r="J454" s="1" t="s">
        <v>391</v>
      </c>
      <c r="K454" s="1" t="s">
        <v>1253</v>
      </c>
      <c r="L454" s="2">
        <v>2844638</v>
      </c>
      <c r="M454">
        <f t="shared" si="21"/>
        <v>132967.36917607998</v>
      </c>
      <c r="N454">
        <f t="shared" si="22"/>
        <v>17847.969016923489</v>
      </c>
      <c r="O454" t="str">
        <f t="shared" si="23"/>
        <v>FJERN</v>
      </c>
      <c r="P454" s="1" t="s">
        <v>5599</v>
      </c>
    </row>
    <row r="455" spans="1:16" ht="15" customHeight="1" x14ac:dyDescent="0.2">
      <c r="A455" s="1" t="s">
        <v>1254</v>
      </c>
      <c r="B455" s="1" t="s">
        <v>1255</v>
      </c>
      <c r="C455" s="1" t="s">
        <v>9</v>
      </c>
      <c r="D455" s="1" t="s">
        <v>3</v>
      </c>
      <c r="E455" s="5">
        <v>36917</v>
      </c>
      <c r="F455" s="5">
        <v>36917</v>
      </c>
      <c r="G455" s="2"/>
      <c r="H455" s="1" t="s">
        <v>10</v>
      </c>
      <c r="I455" s="2"/>
      <c r="J455" s="1" t="s">
        <v>76</v>
      </c>
      <c r="K455" s="1"/>
      <c r="L455" s="2"/>
      <c r="M455" t="str">
        <f t="shared" si="21"/>
        <v/>
      </c>
      <c r="N455" t="str">
        <f t="shared" si="22"/>
        <v/>
      </c>
      <c r="O455" t="str">
        <f t="shared" si="23"/>
        <v>FJERN</v>
      </c>
      <c r="P455" s="1"/>
    </row>
    <row r="456" spans="1:16" ht="15" customHeight="1" x14ac:dyDescent="0.2">
      <c r="A456" s="1" t="s">
        <v>1256</v>
      </c>
      <c r="B456" s="1" t="s">
        <v>1257</v>
      </c>
      <c r="C456" s="1" t="s">
        <v>2</v>
      </c>
      <c r="D456" s="1" t="s">
        <v>3</v>
      </c>
      <c r="E456" s="5">
        <v>35761</v>
      </c>
      <c r="F456" s="5">
        <v>46155</v>
      </c>
      <c r="G456" s="2">
        <v>97.94238</v>
      </c>
      <c r="H456" s="1" t="s">
        <v>4</v>
      </c>
      <c r="I456" s="2">
        <v>1430.0637055</v>
      </c>
      <c r="J456" s="1" t="s">
        <v>167</v>
      </c>
      <c r="K456" s="1" t="s">
        <v>1258</v>
      </c>
      <c r="L456" s="2">
        <v>6363.1930000000002</v>
      </c>
      <c r="M456">
        <f t="shared" si="21"/>
        <v>623226.26681934006</v>
      </c>
      <c r="N456">
        <f t="shared" si="22"/>
        <v>83654.532458971822</v>
      </c>
      <c r="O456" t="str">
        <f t="shared" si="23"/>
        <v>FJERN</v>
      </c>
      <c r="P456" s="1" t="s">
        <v>5600</v>
      </c>
    </row>
    <row r="457" spans="1:16" ht="15" customHeight="1" x14ac:dyDescent="0.2">
      <c r="A457" s="1" t="s">
        <v>1259</v>
      </c>
      <c r="B457" s="1" t="s">
        <v>1260</v>
      </c>
      <c r="C457" s="1" t="s">
        <v>9</v>
      </c>
      <c r="D457" s="1" t="s">
        <v>3</v>
      </c>
      <c r="E457" s="5">
        <v>35747</v>
      </c>
      <c r="F457" s="5">
        <v>41486</v>
      </c>
      <c r="G457" s="2">
        <v>0.41168769999999999</v>
      </c>
      <c r="H457" s="1" t="s">
        <v>10</v>
      </c>
      <c r="I457" s="2"/>
      <c r="J457" s="1" t="s">
        <v>34</v>
      </c>
      <c r="K457" s="1" t="s">
        <v>1261</v>
      </c>
      <c r="L457" s="2">
        <v>858711.6</v>
      </c>
      <c r="M457">
        <f t="shared" si="21"/>
        <v>353521.00356732</v>
      </c>
      <c r="N457">
        <f t="shared" si="22"/>
        <v>31285.044563479645</v>
      </c>
      <c r="O457" t="str">
        <f t="shared" si="23"/>
        <v>FJERN</v>
      </c>
      <c r="P457" s="1" t="s">
        <v>5601</v>
      </c>
    </row>
    <row r="458" spans="1:16" ht="15" customHeight="1" x14ac:dyDescent="0.2">
      <c r="A458" s="1" t="s">
        <v>1262</v>
      </c>
      <c r="B458" s="1" t="s">
        <v>1263</v>
      </c>
      <c r="C458" s="1" t="s">
        <v>9</v>
      </c>
      <c r="D458" s="1" t="s">
        <v>3</v>
      </c>
      <c r="E458" s="5">
        <v>35866</v>
      </c>
      <c r="F458" s="5">
        <v>46155</v>
      </c>
      <c r="G458" s="2">
        <v>120.64360000000001</v>
      </c>
      <c r="H458" s="1" t="s">
        <v>10</v>
      </c>
      <c r="I458" s="2">
        <v>2495.7768000000001</v>
      </c>
      <c r="J458" s="1" t="s">
        <v>23</v>
      </c>
      <c r="K458" s="1" t="s">
        <v>1264</v>
      </c>
      <c r="L458" s="2">
        <v>14153.16</v>
      </c>
      <c r="M458">
        <f t="shared" si="21"/>
        <v>1707488.173776</v>
      </c>
      <c r="N458">
        <f t="shared" si="22"/>
        <v>151105.14812176992</v>
      </c>
      <c r="O458" t="str">
        <f t="shared" si="23"/>
        <v>BEHOLD</v>
      </c>
      <c r="P458" s="1" t="s">
        <v>5602</v>
      </c>
    </row>
    <row r="459" spans="1:16" ht="15" customHeight="1" x14ac:dyDescent="0.2">
      <c r="A459" s="1" t="s">
        <v>1265</v>
      </c>
      <c r="B459" s="1" t="s">
        <v>1266</v>
      </c>
      <c r="C459" s="1" t="s">
        <v>9</v>
      </c>
      <c r="D459" s="1" t="s">
        <v>3</v>
      </c>
      <c r="E459" s="5">
        <v>35824</v>
      </c>
      <c r="F459" s="5">
        <v>46155</v>
      </c>
      <c r="G459" s="2">
        <v>128.9915</v>
      </c>
      <c r="H459" s="1" t="s">
        <v>10</v>
      </c>
      <c r="I459" s="2">
        <v>3222.1788000000001</v>
      </c>
      <c r="J459" s="1" t="s">
        <v>236</v>
      </c>
      <c r="K459" s="1" t="s">
        <v>1267</v>
      </c>
      <c r="L459" s="2">
        <v>40816.1</v>
      </c>
      <c r="M459">
        <f t="shared" si="21"/>
        <v>5264929.9631500002</v>
      </c>
      <c r="N459">
        <f t="shared" si="22"/>
        <v>465923.00558849558</v>
      </c>
      <c r="O459" t="str">
        <f t="shared" si="23"/>
        <v>BEHOLD</v>
      </c>
      <c r="P459" s="1" t="s">
        <v>5603</v>
      </c>
    </row>
    <row r="460" spans="1:16" ht="15" customHeight="1" x14ac:dyDescent="0.2">
      <c r="A460" s="1" t="s">
        <v>1268</v>
      </c>
      <c r="B460" s="1" t="s">
        <v>1269</v>
      </c>
      <c r="C460" s="1" t="s">
        <v>2</v>
      </c>
      <c r="D460" s="1" t="s">
        <v>3</v>
      </c>
      <c r="E460" s="5">
        <v>35774</v>
      </c>
      <c r="F460" s="5">
        <v>36917</v>
      </c>
      <c r="G460" s="2"/>
      <c r="H460" s="1" t="s">
        <v>4</v>
      </c>
      <c r="I460" s="2"/>
      <c r="J460" s="1" t="s">
        <v>115</v>
      </c>
      <c r="K460" s="1"/>
      <c r="L460" s="2"/>
      <c r="M460" t="str">
        <f t="shared" si="21"/>
        <v/>
      </c>
      <c r="N460" t="str">
        <f t="shared" si="22"/>
        <v/>
      </c>
      <c r="O460" t="str">
        <f t="shared" si="23"/>
        <v>FJERN</v>
      </c>
      <c r="P460" s="1"/>
    </row>
    <row r="461" spans="1:16" ht="15" customHeight="1" x14ac:dyDescent="0.2">
      <c r="A461" s="1" t="s">
        <v>1270</v>
      </c>
      <c r="B461" s="1" t="s">
        <v>1271</v>
      </c>
      <c r="C461" s="1" t="s">
        <v>9</v>
      </c>
      <c r="D461" s="1" t="s">
        <v>3</v>
      </c>
      <c r="E461" s="5">
        <v>33109</v>
      </c>
      <c r="F461" s="5">
        <v>36444</v>
      </c>
      <c r="G461" s="2"/>
      <c r="H461" s="1" t="s">
        <v>10</v>
      </c>
      <c r="I461" s="2"/>
      <c r="J461" s="1" t="s">
        <v>23</v>
      </c>
      <c r="K461" s="1"/>
      <c r="L461" s="2"/>
      <c r="M461" t="str">
        <f t="shared" si="21"/>
        <v/>
      </c>
      <c r="N461" t="str">
        <f t="shared" si="22"/>
        <v/>
      </c>
      <c r="O461" t="str">
        <f t="shared" si="23"/>
        <v>FJERN</v>
      </c>
      <c r="P461" s="1"/>
    </row>
    <row r="462" spans="1:16" ht="15" customHeight="1" x14ac:dyDescent="0.2">
      <c r="A462" s="1" t="s">
        <v>1272</v>
      </c>
      <c r="B462" s="1" t="s">
        <v>1273</v>
      </c>
      <c r="C462" s="1" t="s">
        <v>9</v>
      </c>
      <c r="D462" s="1" t="s">
        <v>3</v>
      </c>
      <c r="E462" s="5">
        <v>35866</v>
      </c>
      <c r="F462" s="5">
        <v>36844</v>
      </c>
      <c r="G462" s="2"/>
      <c r="H462" s="1" t="s">
        <v>10</v>
      </c>
      <c r="I462" s="2"/>
      <c r="J462" s="1" t="s">
        <v>236</v>
      </c>
      <c r="K462" s="1"/>
      <c r="L462" s="2"/>
      <c r="M462" t="str">
        <f t="shared" si="21"/>
        <v/>
      </c>
      <c r="N462" t="str">
        <f t="shared" si="22"/>
        <v/>
      </c>
      <c r="O462" t="str">
        <f t="shared" si="23"/>
        <v>FJERN</v>
      </c>
      <c r="P462" s="1"/>
    </row>
    <row r="463" spans="1:16" ht="15" customHeight="1" x14ac:dyDescent="0.2">
      <c r="A463" s="1" t="s">
        <v>1274</v>
      </c>
      <c r="B463" s="1" t="s">
        <v>1275</v>
      </c>
      <c r="C463" s="1" t="s">
        <v>9</v>
      </c>
      <c r="D463" s="1" t="s">
        <v>3</v>
      </c>
      <c r="E463" s="5">
        <v>35774</v>
      </c>
      <c r="F463" s="5">
        <v>40907</v>
      </c>
      <c r="G463" s="2">
        <v>1.6405779999999998E-2</v>
      </c>
      <c r="H463" s="1" t="s">
        <v>10</v>
      </c>
      <c r="I463" s="2"/>
      <c r="J463" s="1" t="s">
        <v>236</v>
      </c>
      <c r="K463" s="1" t="s">
        <v>1276</v>
      </c>
      <c r="L463" s="2">
        <v>1326026</v>
      </c>
      <c r="M463">
        <f t="shared" si="21"/>
        <v>21754.490830279999</v>
      </c>
      <c r="N463">
        <f t="shared" si="22"/>
        <v>1925.1761796707963</v>
      </c>
      <c r="O463" t="str">
        <f t="shared" si="23"/>
        <v>FJERN</v>
      </c>
      <c r="P463" s="1" t="s">
        <v>5604</v>
      </c>
    </row>
    <row r="464" spans="1:16" ht="15" customHeight="1" x14ac:dyDescent="0.2">
      <c r="A464" s="1" t="s">
        <v>1277</v>
      </c>
      <c r="B464" s="1" t="s">
        <v>1278</v>
      </c>
      <c r="C464" s="1" t="s">
        <v>9</v>
      </c>
      <c r="D464" s="1" t="s">
        <v>3</v>
      </c>
      <c r="E464" s="5">
        <v>35005</v>
      </c>
      <c r="F464" s="5">
        <v>43371</v>
      </c>
      <c r="G464" s="2">
        <v>80.627489999999995</v>
      </c>
      <c r="H464" s="1" t="s">
        <v>10</v>
      </c>
      <c r="I464" s="2"/>
      <c r="J464" s="1" t="s">
        <v>15</v>
      </c>
      <c r="K464" s="1" t="s">
        <v>1279</v>
      </c>
      <c r="L464" s="2">
        <v>8932631</v>
      </c>
      <c r="M464">
        <f t="shared" si="21"/>
        <v>720215616.62618995</v>
      </c>
      <c r="N464">
        <f t="shared" si="22"/>
        <v>63735895.276653975</v>
      </c>
      <c r="O464" t="str">
        <f t="shared" si="23"/>
        <v>BEHOLD</v>
      </c>
      <c r="P464" s="1" t="s">
        <v>5605</v>
      </c>
    </row>
    <row r="465" spans="1:16" ht="15" customHeight="1" x14ac:dyDescent="0.2">
      <c r="A465" s="1" t="s">
        <v>1280</v>
      </c>
      <c r="B465" s="1" t="s">
        <v>1281</v>
      </c>
      <c r="C465" s="1" t="s">
        <v>2</v>
      </c>
      <c r="D465" s="1" t="s">
        <v>3</v>
      </c>
      <c r="E465" s="5">
        <v>31049</v>
      </c>
      <c r="F465" s="5">
        <v>36928</v>
      </c>
      <c r="G465" s="2"/>
      <c r="H465" s="1" t="s">
        <v>4</v>
      </c>
      <c r="I465" s="2"/>
      <c r="J465" s="1" t="s">
        <v>76</v>
      </c>
      <c r="K465" s="1" t="s">
        <v>1282</v>
      </c>
      <c r="L465" s="2"/>
      <c r="M465" t="str">
        <f t="shared" si="21"/>
        <v/>
      </c>
      <c r="N465" t="str">
        <f t="shared" si="22"/>
        <v/>
      </c>
      <c r="O465" t="str">
        <f t="shared" si="23"/>
        <v>FJERN</v>
      </c>
      <c r="P465" s="1"/>
    </row>
    <row r="466" spans="1:16" ht="15" customHeight="1" x14ac:dyDescent="0.2">
      <c r="A466" s="1" t="s">
        <v>1283</v>
      </c>
      <c r="B466" s="1" t="s">
        <v>1284</v>
      </c>
      <c r="C466" s="1" t="s">
        <v>9</v>
      </c>
      <c r="D466" s="1" t="s">
        <v>3</v>
      </c>
      <c r="E466" s="5">
        <v>35786</v>
      </c>
      <c r="F466" s="5">
        <v>36815</v>
      </c>
      <c r="G466" s="2"/>
      <c r="H466" s="1" t="s">
        <v>10</v>
      </c>
      <c r="I466" s="2"/>
      <c r="J466" s="1" t="s">
        <v>184</v>
      </c>
      <c r="K466" s="1" t="s">
        <v>1285</v>
      </c>
      <c r="L466" s="2"/>
      <c r="M466" t="str">
        <f t="shared" si="21"/>
        <v/>
      </c>
      <c r="N466" t="str">
        <f t="shared" si="22"/>
        <v/>
      </c>
      <c r="O466" t="str">
        <f t="shared" si="23"/>
        <v>FJERN</v>
      </c>
      <c r="P466" s="1"/>
    </row>
    <row r="467" spans="1:16" ht="15" customHeight="1" x14ac:dyDescent="0.2">
      <c r="A467" s="1" t="s">
        <v>1286</v>
      </c>
      <c r="B467" s="1" t="s">
        <v>1287</v>
      </c>
      <c r="C467" s="1" t="s">
        <v>9</v>
      </c>
      <c r="D467" s="1" t="s">
        <v>3</v>
      </c>
      <c r="E467" s="5">
        <v>35786</v>
      </c>
      <c r="F467" s="5">
        <v>36416</v>
      </c>
      <c r="G467" s="2"/>
      <c r="H467" s="1" t="s">
        <v>10</v>
      </c>
      <c r="I467" s="2"/>
      <c r="J467" s="1" t="s">
        <v>366</v>
      </c>
      <c r="K467" s="1"/>
      <c r="L467" s="2"/>
      <c r="M467" t="str">
        <f t="shared" si="21"/>
        <v/>
      </c>
      <c r="N467" t="str">
        <f t="shared" si="22"/>
        <v/>
      </c>
      <c r="O467" t="str">
        <f t="shared" si="23"/>
        <v>FJERN</v>
      </c>
      <c r="P467" s="1"/>
    </row>
    <row r="468" spans="1:16" ht="15" customHeight="1" x14ac:dyDescent="0.2">
      <c r="A468" s="1" t="s">
        <v>1288</v>
      </c>
      <c r="B468" s="1" t="s">
        <v>1289</v>
      </c>
      <c r="C468" s="1" t="s">
        <v>9</v>
      </c>
      <c r="D468" s="1" t="s">
        <v>3</v>
      </c>
      <c r="E468" s="5">
        <v>35786</v>
      </c>
      <c r="F468" s="5">
        <v>37239</v>
      </c>
      <c r="G468" s="2"/>
      <c r="H468" s="1" t="s">
        <v>10</v>
      </c>
      <c r="I468" s="2"/>
      <c r="J468" s="1" t="s">
        <v>236</v>
      </c>
      <c r="K468" s="1"/>
      <c r="L468" s="2"/>
      <c r="M468" t="str">
        <f t="shared" si="21"/>
        <v/>
      </c>
      <c r="N468" t="str">
        <f t="shared" si="22"/>
        <v/>
      </c>
      <c r="O468" t="str">
        <f t="shared" si="23"/>
        <v>FJERN</v>
      </c>
      <c r="P468" s="1"/>
    </row>
    <row r="469" spans="1:16" ht="15" customHeight="1" x14ac:dyDescent="0.2">
      <c r="A469" s="1" t="s">
        <v>1290</v>
      </c>
      <c r="B469" s="1" t="s">
        <v>1291</v>
      </c>
      <c r="C469" s="1" t="s">
        <v>9</v>
      </c>
      <c r="D469" s="1" t="s">
        <v>3</v>
      </c>
      <c r="E469" s="5">
        <v>35786</v>
      </c>
      <c r="F469" s="5">
        <v>37034</v>
      </c>
      <c r="G469" s="2"/>
      <c r="H469" s="1" t="s">
        <v>10</v>
      </c>
      <c r="I469" s="2"/>
      <c r="J469" s="1" t="s">
        <v>23</v>
      </c>
      <c r="K469" s="1"/>
      <c r="L469" s="2"/>
      <c r="M469" t="str">
        <f t="shared" si="21"/>
        <v/>
      </c>
      <c r="N469" t="str">
        <f t="shared" si="22"/>
        <v/>
      </c>
      <c r="O469" t="str">
        <f t="shared" si="23"/>
        <v>FJERN</v>
      </c>
      <c r="P469" s="1" t="s">
        <v>5606</v>
      </c>
    </row>
    <row r="470" spans="1:16" ht="15" customHeight="1" x14ac:dyDescent="0.2">
      <c r="A470" s="1" t="s">
        <v>1292</v>
      </c>
      <c r="B470" s="1" t="s">
        <v>1293</v>
      </c>
      <c r="C470" s="1" t="s">
        <v>2</v>
      </c>
      <c r="D470" s="1" t="s">
        <v>3</v>
      </c>
      <c r="E470" s="5">
        <v>35823</v>
      </c>
      <c r="F470" s="5">
        <v>36733</v>
      </c>
      <c r="G470" s="2"/>
      <c r="H470" s="1" t="s">
        <v>4</v>
      </c>
      <c r="I470" s="2"/>
      <c r="J470" s="1" t="s">
        <v>76</v>
      </c>
      <c r="K470" s="1" t="s">
        <v>1294</v>
      </c>
      <c r="L470" s="2"/>
      <c r="M470" t="str">
        <f t="shared" si="21"/>
        <v/>
      </c>
      <c r="N470" t="str">
        <f t="shared" si="22"/>
        <v/>
      </c>
      <c r="O470" t="str">
        <f t="shared" si="23"/>
        <v>FJERN</v>
      </c>
      <c r="P470" s="1"/>
    </row>
    <row r="471" spans="1:16" ht="15" customHeight="1" x14ac:dyDescent="0.2">
      <c r="A471" s="1" t="s">
        <v>1295</v>
      </c>
      <c r="B471" s="1" t="s">
        <v>1296</v>
      </c>
      <c r="C471" s="1" t="s">
        <v>2</v>
      </c>
      <c r="D471" s="1" t="s">
        <v>3</v>
      </c>
      <c r="E471" s="5">
        <v>35823</v>
      </c>
      <c r="F471" s="5">
        <v>36733</v>
      </c>
      <c r="G471" s="2"/>
      <c r="H471" s="1" t="s">
        <v>4</v>
      </c>
      <c r="I471" s="2"/>
      <c r="J471" s="1" t="s">
        <v>76</v>
      </c>
      <c r="K471" s="1" t="s">
        <v>1297</v>
      </c>
      <c r="L471" s="2"/>
      <c r="M471" t="str">
        <f t="shared" si="21"/>
        <v/>
      </c>
      <c r="N471" t="str">
        <f t="shared" si="22"/>
        <v/>
      </c>
      <c r="O471" t="str">
        <f t="shared" si="23"/>
        <v>FJERN</v>
      </c>
      <c r="P471" s="1"/>
    </row>
    <row r="472" spans="1:16" ht="15" customHeight="1" x14ac:dyDescent="0.2">
      <c r="A472" s="1" t="s">
        <v>1298</v>
      </c>
      <c r="B472" s="1" t="s">
        <v>1299</v>
      </c>
      <c r="C472" s="1" t="s">
        <v>2</v>
      </c>
      <c r="D472" s="1" t="s">
        <v>3</v>
      </c>
      <c r="E472" s="5">
        <v>35823</v>
      </c>
      <c r="F472" s="5">
        <v>37271</v>
      </c>
      <c r="G472" s="2"/>
      <c r="H472" s="1" t="s">
        <v>4</v>
      </c>
      <c r="I472" s="2"/>
      <c r="J472" s="1" t="s">
        <v>122</v>
      </c>
      <c r="K472" s="1" t="s">
        <v>1300</v>
      </c>
      <c r="L472" s="2"/>
      <c r="M472" t="str">
        <f t="shared" si="21"/>
        <v/>
      </c>
      <c r="N472" t="str">
        <f t="shared" si="22"/>
        <v/>
      </c>
      <c r="O472" t="str">
        <f t="shared" si="23"/>
        <v>FJERN</v>
      </c>
      <c r="P472" s="1"/>
    </row>
    <row r="473" spans="1:16" ht="15" customHeight="1" x14ac:dyDescent="0.2">
      <c r="A473" s="1" t="s">
        <v>1301</v>
      </c>
      <c r="B473" s="1" t="s">
        <v>1302</v>
      </c>
      <c r="C473" s="1" t="s">
        <v>2</v>
      </c>
      <c r="D473" s="1" t="s">
        <v>3</v>
      </c>
      <c r="E473" s="5">
        <v>35839</v>
      </c>
      <c r="F473" s="5">
        <v>44243</v>
      </c>
      <c r="G473" s="2">
        <v>4.0693840000000003</v>
      </c>
      <c r="H473" s="1" t="s">
        <v>4</v>
      </c>
      <c r="I473" s="2"/>
      <c r="J473" s="1" t="s">
        <v>30</v>
      </c>
      <c r="K473" s="1" t="s">
        <v>1303</v>
      </c>
      <c r="L473" s="2">
        <v>80463.259999999995</v>
      </c>
      <c r="M473">
        <f t="shared" si="21"/>
        <v>327435.90283183998</v>
      </c>
      <c r="N473">
        <f t="shared" si="22"/>
        <v>43951.127896891274</v>
      </c>
      <c r="O473" t="str">
        <f t="shared" si="23"/>
        <v>FJERN</v>
      </c>
      <c r="P473" s="1" t="s">
        <v>5607</v>
      </c>
    </row>
    <row r="474" spans="1:16" ht="15" customHeight="1" x14ac:dyDescent="0.2">
      <c r="A474" s="1" t="s">
        <v>1304</v>
      </c>
      <c r="B474" s="1" t="s">
        <v>1305</v>
      </c>
      <c r="C474" s="1" t="s">
        <v>2</v>
      </c>
      <c r="D474" s="1" t="s">
        <v>3</v>
      </c>
      <c r="E474" s="5">
        <v>32099</v>
      </c>
      <c r="F474" s="5">
        <v>42650</v>
      </c>
      <c r="G474" s="2">
        <v>3.186293</v>
      </c>
      <c r="H474" s="1" t="s">
        <v>4</v>
      </c>
      <c r="I474" s="2"/>
      <c r="J474" s="1" t="s">
        <v>61</v>
      </c>
      <c r="K474" s="1" t="s">
        <v>1306</v>
      </c>
      <c r="L474" s="2">
        <v>3532.87</v>
      </c>
      <c r="M474">
        <f t="shared" si="21"/>
        <v>11256.75895091</v>
      </c>
      <c r="N474">
        <f t="shared" si="22"/>
        <v>1510.9743558268456</v>
      </c>
      <c r="O474" t="str">
        <f t="shared" si="23"/>
        <v>FJERN</v>
      </c>
      <c r="P474" s="1" t="s">
        <v>5608</v>
      </c>
    </row>
    <row r="475" spans="1:16" ht="15" customHeight="1" x14ac:dyDescent="0.2">
      <c r="A475" s="1" t="s">
        <v>1307</v>
      </c>
      <c r="B475" s="1" t="s">
        <v>1308</v>
      </c>
      <c r="C475" s="1" t="s">
        <v>9</v>
      </c>
      <c r="D475" s="1" t="s">
        <v>3</v>
      </c>
      <c r="E475" s="5">
        <v>36061</v>
      </c>
      <c r="F475" s="5">
        <v>36691</v>
      </c>
      <c r="G475" s="2"/>
      <c r="H475" s="1" t="s">
        <v>10</v>
      </c>
      <c r="I475" s="2"/>
      <c r="J475" s="1" t="s">
        <v>236</v>
      </c>
      <c r="K475" s="1" t="s">
        <v>1309</v>
      </c>
      <c r="L475" s="2"/>
      <c r="M475" t="str">
        <f t="shared" si="21"/>
        <v/>
      </c>
      <c r="N475" t="str">
        <f t="shared" si="22"/>
        <v/>
      </c>
      <c r="O475" t="str">
        <f t="shared" si="23"/>
        <v>FJERN</v>
      </c>
      <c r="P475" s="1"/>
    </row>
    <row r="476" spans="1:16" ht="15" customHeight="1" x14ac:dyDescent="0.2">
      <c r="A476" s="1" t="s">
        <v>1310</v>
      </c>
      <c r="B476" s="1" t="s">
        <v>1311</v>
      </c>
      <c r="C476" s="1" t="s">
        <v>2</v>
      </c>
      <c r="D476" s="1" t="s">
        <v>3</v>
      </c>
      <c r="E476" s="5">
        <v>35892</v>
      </c>
      <c r="F476" s="5">
        <v>37498</v>
      </c>
      <c r="G476" s="2"/>
      <c r="H476" s="1" t="s">
        <v>4</v>
      </c>
      <c r="I476" s="2"/>
      <c r="J476" s="1" t="s">
        <v>236</v>
      </c>
      <c r="K476" s="1" t="s">
        <v>1312</v>
      </c>
      <c r="L476" s="2"/>
      <c r="M476" t="str">
        <f t="shared" si="21"/>
        <v/>
      </c>
      <c r="N476" t="str">
        <f t="shared" si="22"/>
        <v/>
      </c>
      <c r="O476" t="str">
        <f t="shared" si="23"/>
        <v>FJERN</v>
      </c>
      <c r="P476" s="1"/>
    </row>
    <row r="477" spans="1:16" ht="15" customHeight="1" x14ac:dyDescent="0.2">
      <c r="A477" s="1" t="s">
        <v>1313</v>
      </c>
      <c r="B477" s="1" t="s">
        <v>1314</v>
      </c>
      <c r="C477" s="1" t="s">
        <v>9</v>
      </c>
      <c r="D477" s="1" t="s">
        <v>3</v>
      </c>
      <c r="E477" s="5">
        <v>34092</v>
      </c>
      <c r="F477" s="5">
        <v>39570</v>
      </c>
      <c r="G477" s="2"/>
      <c r="H477" s="1" t="s">
        <v>10</v>
      </c>
      <c r="I477" s="2"/>
      <c r="J477" s="1" t="s">
        <v>76</v>
      </c>
      <c r="K477" s="1" t="s">
        <v>1315</v>
      </c>
      <c r="L477" s="2"/>
      <c r="M477" t="str">
        <f t="shared" si="21"/>
        <v/>
      </c>
      <c r="N477" t="str">
        <f t="shared" si="22"/>
        <v/>
      </c>
      <c r="O477" t="str">
        <f t="shared" si="23"/>
        <v>FJERN</v>
      </c>
      <c r="P477" s="1" t="s">
        <v>5609</v>
      </c>
    </row>
    <row r="478" spans="1:16" ht="15" customHeight="1" x14ac:dyDescent="0.2">
      <c r="A478" s="1" t="s">
        <v>1316</v>
      </c>
      <c r="B478" s="1" t="s">
        <v>1317</v>
      </c>
      <c r="C478" s="1" t="s">
        <v>9</v>
      </c>
      <c r="D478" s="1" t="s">
        <v>3</v>
      </c>
      <c r="E478" s="5">
        <v>35888</v>
      </c>
      <c r="F478" s="5">
        <v>36515</v>
      </c>
      <c r="G478" s="2"/>
      <c r="H478" s="1" t="s">
        <v>10</v>
      </c>
      <c r="I478" s="2"/>
      <c r="J478" s="1" t="s">
        <v>61</v>
      </c>
      <c r="K478" s="1" t="s">
        <v>1318</v>
      </c>
      <c r="L478" s="2"/>
      <c r="M478" t="str">
        <f t="shared" si="21"/>
        <v/>
      </c>
      <c r="N478" t="str">
        <f t="shared" si="22"/>
        <v/>
      </c>
      <c r="O478" t="str">
        <f t="shared" si="23"/>
        <v>FJERN</v>
      </c>
      <c r="P478" s="1"/>
    </row>
    <row r="479" spans="1:16" ht="15" customHeight="1" x14ac:dyDescent="0.2">
      <c r="A479" s="1" t="s">
        <v>1319</v>
      </c>
      <c r="B479" s="1" t="s">
        <v>1320</v>
      </c>
      <c r="C479" s="1" t="s">
        <v>2</v>
      </c>
      <c r="D479" s="1" t="s">
        <v>3</v>
      </c>
      <c r="E479" s="5">
        <v>35912</v>
      </c>
      <c r="F479" s="5">
        <v>41492</v>
      </c>
      <c r="G479" s="2">
        <v>7.8793009999999999</v>
      </c>
      <c r="H479" s="1" t="s">
        <v>4</v>
      </c>
      <c r="I479" s="2"/>
      <c r="J479" s="1" t="s">
        <v>55</v>
      </c>
      <c r="K479" s="1" t="s">
        <v>1321</v>
      </c>
      <c r="L479" s="2">
        <v>117552.4</v>
      </c>
      <c r="M479">
        <f t="shared" si="21"/>
        <v>926230.74287239998</v>
      </c>
      <c r="N479">
        <f t="shared" si="22"/>
        <v>124326.2742110604</v>
      </c>
      <c r="O479" t="str">
        <f t="shared" si="23"/>
        <v>BEHOLD</v>
      </c>
      <c r="P479" s="1" t="s">
        <v>5610</v>
      </c>
    </row>
    <row r="480" spans="1:16" ht="15" customHeight="1" x14ac:dyDescent="0.2">
      <c r="A480" s="1" t="s">
        <v>1322</v>
      </c>
      <c r="B480" s="1" t="s">
        <v>1323</v>
      </c>
      <c r="C480" s="1" t="s">
        <v>9</v>
      </c>
      <c r="D480" s="1" t="s">
        <v>3</v>
      </c>
      <c r="E480" s="5">
        <v>35888</v>
      </c>
      <c r="F480" s="5">
        <v>39477</v>
      </c>
      <c r="G480" s="2"/>
      <c r="H480" s="1" t="s">
        <v>10</v>
      </c>
      <c r="I480" s="2"/>
      <c r="J480" s="1" t="s">
        <v>23</v>
      </c>
      <c r="K480" s="1" t="s">
        <v>1324</v>
      </c>
      <c r="L480" s="2"/>
      <c r="M480" t="str">
        <f t="shared" si="21"/>
        <v/>
      </c>
      <c r="N480" t="str">
        <f t="shared" si="22"/>
        <v/>
      </c>
      <c r="O480" t="str">
        <f t="shared" si="23"/>
        <v>FJERN</v>
      </c>
      <c r="P480" s="1" t="s">
        <v>5611</v>
      </c>
    </row>
    <row r="481" spans="1:16" ht="15" customHeight="1" x14ac:dyDescent="0.2">
      <c r="A481" s="1" t="s">
        <v>1325</v>
      </c>
      <c r="B481" s="1" t="s">
        <v>1326</v>
      </c>
      <c r="C481" s="1" t="s">
        <v>9</v>
      </c>
      <c r="D481" s="1" t="s">
        <v>3</v>
      </c>
      <c r="E481" s="5">
        <v>35475</v>
      </c>
      <c r="F481" s="5">
        <v>36784</v>
      </c>
      <c r="G481" s="2"/>
      <c r="H481" s="1" t="s">
        <v>10</v>
      </c>
      <c r="I481" s="2"/>
      <c r="J481" s="1" t="s">
        <v>236</v>
      </c>
      <c r="K481" s="1" t="s">
        <v>1327</v>
      </c>
      <c r="L481" s="2"/>
      <c r="M481" t="str">
        <f t="shared" si="21"/>
        <v/>
      </c>
      <c r="N481" t="str">
        <f t="shared" si="22"/>
        <v/>
      </c>
      <c r="O481" t="str">
        <f t="shared" si="23"/>
        <v>FJERN</v>
      </c>
      <c r="P481" s="1"/>
    </row>
    <row r="482" spans="1:16" ht="15" customHeight="1" x14ac:dyDescent="0.2">
      <c r="A482" s="1" t="s">
        <v>1328</v>
      </c>
      <c r="B482" s="1" t="s">
        <v>1329</v>
      </c>
      <c r="C482" s="1" t="s">
        <v>9</v>
      </c>
      <c r="D482" s="1" t="s">
        <v>3</v>
      </c>
      <c r="E482" s="5">
        <v>35433</v>
      </c>
      <c r="F482" s="5">
        <v>46155</v>
      </c>
      <c r="G482" s="2">
        <v>3.452296</v>
      </c>
      <c r="H482" s="1" t="s">
        <v>10</v>
      </c>
      <c r="I482" s="2">
        <v>107.66714724000001</v>
      </c>
      <c r="J482" s="1" t="s">
        <v>64</v>
      </c>
      <c r="K482" s="1" t="s">
        <v>1330</v>
      </c>
      <c r="L482" s="2">
        <v>51196.33</v>
      </c>
      <c r="M482">
        <f t="shared" si="21"/>
        <v>176744.88527368</v>
      </c>
      <c r="N482">
        <f t="shared" si="22"/>
        <v>15641.140289706194</v>
      </c>
      <c r="O482" t="str">
        <f t="shared" si="23"/>
        <v>FJERN</v>
      </c>
      <c r="P482" s="1" t="s">
        <v>5612</v>
      </c>
    </row>
    <row r="483" spans="1:16" ht="15" customHeight="1" x14ac:dyDescent="0.2">
      <c r="A483" s="1" t="s">
        <v>1331</v>
      </c>
      <c r="B483" s="1" t="s">
        <v>1332</v>
      </c>
      <c r="C483" s="1" t="s">
        <v>9</v>
      </c>
      <c r="D483" s="1" t="s">
        <v>3</v>
      </c>
      <c r="E483" s="5">
        <v>35961</v>
      </c>
      <c r="F483" s="5">
        <v>37944</v>
      </c>
      <c r="G483" s="2"/>
      <c r="H483" s="1" t="s">
        <v>10</v>
      </c>
      <c r="I483" s="2"/>
      <c r="J483" s="1" t="s">
        <v>61</v>
      </c>
      <c r="K483" s="1" t="s">
        <v>1333</v>
      </c>
      <c r="L483" s="2"/>
      <c r="M483" t="str">
        <f t="shared" si="21"/>
        <v/>
      </c>
      <c r="N483" t="str">
        <f t="shared" si="22"/>
        <v/>
      </c>
      <c r="O483" t="str">
        <f t="shared" si="23"/>
        <v>FJERN</v>
      </c>
      <c r="P483" s="1" t="s">
        <v>5613</v>
      </c>
    </row>
    <row r="484" spans="1:16" ht="15" customHeight="1" x14ac:dyDescent="0.2">
      <c r="A484" s="1" t="s">
        <v>1334</v>
      </c>
      <c r="B484" s="1" t="s">
        <v>1335</v>
      </c>
      <c r="C484" s="1" t="s">
        <v>2</v>
      </c>
      <c r="D484" s="1" t="s">
        <v>3</v>
      </c>
      <c r="E484" s="5">
        <v>35934</v>
      </c>
      <c r="F484" s="5">
        <v>39792</v>
      </c>
      <c r="G484" s="2">
        <v>1.440002</v>
      </c>
      <c r="H484" s="1" t="s">
        <v>4</v>
      </c>
      <c r="I484" s="2"/>
      <c r="J484" s="1" t="s">
        <v>38</v>
      </c>
      <c r="K484" s="1" t="s">
        <v>1336</v>
      </c>
      <c r="L484" s="2">
        <v>0</v>
      </c>
      <c r="M484">
        <f t="shared" si="21"/>
        <v>0</v>
      </c>
      <c r="N484">
        <f t="shared" si="22"/>
        <v>0</v>
      </c>
      <c r="O484" t="str">
        <f t="shared" si="23"/>
        <v>FJERN</v>
      </c>
      <c r="P484" s="1" t="s">
        <v>5614</v>
      </c>
    </row>
    <row r="485" spans="1:16" ht="15" customHeight="1" x14ac:dyDescent="0.2">
      <c r="A485" s="1" t="s">
        <v>1337</v>
      </c>
      <c r="B485" s="1" t="s">
        <v>1338</v>
      </c>
      <c r="C485" s="1" t="s">
        <v>9</v>
      </c>
      <c r="D485" s="1" t="s">
        <v>3</v>
      </c>
      <c r="E485" s="5">
        <v>31664</v>
      </c>
      <c r="F485" s="5">
        <v>38873</v>
      </c>
      <c r="G485" s="2">
        <v>49.4</v>
      </c>
      <c r="H485" s="1" t="s">
        <v>10</v>
      </c>
      <c r="I485" s="2"/>
      <c r="J485" s="1" t="s">
        <v>76</v>
      </c>
      <c r="K485" s="1" t="s">
        <v>1339</v>
      </c>
      <c r="L485" s="2">
        <v>0</v>
      </c>
      <c r="M485">
        <f t="shared" si="21"/>
        <v>0</v>
      </c>
      <c r="N485">
        <f t="shared" si="22"/>
        <v>0</v>
      </c>
      <c r="O485" t="str">
        <f t="shared" si="23"/>
        <v>FJERN</v>
      </c>
      <c r="P485" s="1" t="s">
        <v>5615</v>
      </c>
    </row>
    <row r="486" spans="1:16" ht="15" customHeight="1" x14ac:dyDescent="0.2">
      <c r="A486" s="1" t="s">
        <v>1340</v>
      </c>
      <c r="B486" s="1" t="s">
        <v>1341</v>
      </c>
      <c r="C486" s="1" t="s">
        <v>9</v>
      </c>
      <c r="D486" s="1" t="s">
        <v>3</v>
      </c>
      <c r="E486" s="5">
        <v>36122</v>
      </c>
      <c r="F486" s="5">
        <v>39444</v>
      </c>
      <c r="G486" s="2">
        <v>34.600029999999997</v>
      </c>
      <c r="H486" s="1" t="s">
        <v>10</v>
      </c>
      <c r="I486" s="2"/>
      <c r="J486" s="1" t="s">
        <v>51</v>
      </c>
      <c r="K486" s="1" t="s">
        <v>1342</v>
      </c>
      <c r="L486" s="2">
        <v>0</v>
      </c>
      <c r="M486">
        <f t="shared" si="21"/>
        <v>0</v>
      </c>
      <c r="N486">
        <f t="shared" si="22"/>
        <v>0</v>
      </c>
      <c r="O486" t="str">
        <f t="shared" si="23"/>
        <v>FJERN</v>
      </c>
      <c r="P486" s="1" t="s">
        <v>5616</v>
      </c>
    </row>
    <row r="487" spans="1:16" ht="15" customHeight="1" x14ac:dyDescent="0.2">
      <c r="A487" s="1" t="s">
        <v>1343</v>
      </c>
      <c r="B487" s="1" t="s">
        <v>1344</v>
      </c>
      <c r="C487" s="1" t="s">
        <v>9</v>
      </c>
      <c r="D487" s="1" t="s">
        <v>3</v>
      </c>
      <c r="E487" s="5">
        <v>34472</v>
      </c>
      <c r="F487" s="5">
        <v>37132</v>
      </c>
      <c r="G487" s="2"/>
      <c r="H487" s="1" t="s">
        <v>10</v>
      </c>
      <c r="I487" s="2"/>
      <c r="J487" s="1" t="s">
        <v>76</v>
      </c>
      <c r="K487" s="1" t="s">
        <v>1345</v>
      </c>
      <c r="L487" s="2"/>
      <c r="M487" t="str">
        <f t="shared" si="21"/>
        <v/>
      </c>
      <c r="N487" t="str">
        <f t="shared" si="22"/>
        <v/>
      </c>
      <c r="O487" t="str">
        <f t="shared" si="23"/>
        <v>FJERN</v>
      </c>
      <c r="P487" s="1" t="s">
        <v>5617</v>
      </c>
    </row>
    <row r="488" spans="1:16" ht="15" customHeight="1" x14ac:dyDescent="0.2">
      <c r="A488" s="1" t="s">
        <v>1346</v>
      </c>
      <c r="B488" s="1" t="s">
        <v>1347</v>
      </c>
      <c r="C488" s="1" t="s">
        <v>9</v>
      </c>
      <c r="D488" s="1" t="s">
        <v>3</v>
      </c>
      <c r="E488" s="5">
        <v>34795</v>
      </c>
      <c r="F488" s="5">
        <v>36976</v>
      </c>
      <c r="G488" s="2"/>
      <c r="H488" s="1" t="s">
        <v>10</v>
      </c>
      <c r="I488" s="2"/>
      <c r="J488" s="1" t="s">
        <v>115</v>
      </c>
      <c r="K488" s="1" t="s">
        <v>1348</v>
      </c>
      <c r="L488" s="2"/>
      <c r="M488" t="str">
        <f t="shared" si="21"/>
        <v/>
      </c>
      <c r="N488" t="str">
        <f t="shared" si="22"/>
        <v/>
      </c>
      <c r="O488" t="str">
        <f t="shared" si="23"/>
        <v>FJERN</v>
      </c>
      <c r="P488" s="1"/>
    </row>
    <row r="489" spans="1:16" ht="15" customHeight="1" x14ac:dyDescent="0.2">
      <c r="A489" s="1" t="s">
        <v>1349</v>
      </c>
      <c r="B489" s="1" t="s">
        <v>1350</v>
      </c>
      <c r="C489" s="1" t="s">
        <v>9</v>
      </c>
      <c r="D489" s="1" t="s">
        <v>3</v>
      </c>
      <c r="E489" s="5">
        <v>33669</v>
      </c>
      <c r="F489" s="5">
        <v>38884</v>
      </c>
      <c r="G489" s="2"/>
      <c r="H489" s="1" t="s">
        <v>10</v>
      </c>
      <c r="I489" s="2"/>
      <c r="J489" s="1" t="s">
        <v>236</v>
      </c>
      <c r="K489" s="1" t="s">
        <v>1351</v>
      </c>
      <c r="L489" s="2"/>
      <c r="M489" t="str">
        <f t="shared" si="21"/>
        <v/>
      </c>
      <c r="N489" t="str">
        <f t="shared" si="22"/>
        <v/>
      </c>
      <c r="O489" t="str">
        <f t="shared" si="23"/>
        <v>FJERN</v>
      </c>
      <c r="P489" s="1" t="s">
        <v>5618</v>
      </c>
    </row>
    <row r="490" spans="1:16" ht="15" customHeight="1" x14ac:dyDescent="0.2">
      <c r="A490" s="1" t="s">
        <v>1352</v>
      </c>
      <c r="B490" s="1" t="s">
        <v>1353</v>
      </c>
      <c r="C490" s="1" t="s">
        <v>2</v>
      </c>
      <c r="D490" s="1" t="s">
        <v>3</v>
      </c>
      <c r="E490" s="5">
        <v>32006</v>
      </c>
      <c r="F490" s="5">
        <v>36836</v>
      </c>
      <c r="G490" s="2"/>
      <c r="H490" s="1" t="s">
        <v>4</v>
      </c>
      <c r="I490" s="2"/>
      <c r="J490" s="1" t="s">
        <v>11</v>
      </c>
      <c r="K490" s="1" t="s">
        <v>1354</v>
      </c>
      <c r="L490" s="2"/>
      <c r="M490" t="str">
        <f t="shared" si="21"/>
        <v/>
      </c>
      <c r="N490" t="str">
        <f t="shared" si="22"/>
        <v/>
      </c>
      <c r="O490" t="str">
        <f t="shared" si="23"/>
        <v>FJERN</v>
      </c>
      <c r="P490" s="1"/>
    </row>
    <row r="491" spans="1:16" ht="15" customHeight="1" x14ac:dyDescent="0.2">
      <c r="A491" s="1" t="s">
        <v>1355</v>
      </c>
      <c r="B491" s="1" t="s">
        <v>1356</v>
      </c>
      <c r="C491" s="1" t="s">
        <v>9</v>
      </c>
      <c r="D491" s="1" t="s">
        <v>3</v>
      </c>
      <c r="E491" s="5">
        <v>35943</v>
      </c>
      <c r="F491" s="5">
        <v>36581</v>
      </c>
      <c r="G491" s="2"/>
      <c r="H491" s="1" t="s">
        <v>10</v>
      </c>
      <c r="I491" s="2"/>
      <c r="J491" s="1" t="s">
        <v>236</v>
      </c>
      <c r="K491" s="1"/>
      <c r="L491" s="2"/>
      <c r="M491" t="str">
        <f t="shared" si="21"/>
        <v/>
      </c>
      <c r="N491" t="str">
        <f t="shared" si="22"/>
        <v/>
      </c>
      <c r="O491" t="str">
        <f t="shared" si="23"/>
        <v>FJERN</v>
      </c>
      <c r="P491" s="1"/>
    </row>
    <row r="492" spans="1:16" ht="15" customHeight="1" x14ac:dyDescent="0.2">
      <c r="A492" s="1" t="s">
        <v>1357</v>
      </c>
      <c r="B492" s="1" t="s">
        <v>1358</v>
      </c>
      <c r="C492" s="1" t="s">
        <v>9</v>
      </c>
      <c r="D492" s="1" t="s">
        <v>3</v>
      </c>
      <c r="E492" s="5">
        <v>35977</v>
      </c>
      <c r="F492" s="5">
        <v>38740</v>
      </c>
      <c r="G492" s="2"/>
      <c r="H492" s="1" t="s">
        <v>10</v>
      </c>
      <c r="I492" s="2"/>
      <c r="J492" s="1" t="s">
        <v>11</v>
      </c>
      <c r="K492" s="1" t="s">
        <v>1359</v>
      </c>
      <c r="L492" s="2"/>
      <c r="M492" t="str">
        <f t="shared" si="21"/>
        <v/>
      </c>
      <c r="N492" t="str">
        <f t="shared" si="22"/>
        <v/>
      </c>
      <c r="O492" t="str">
        <f t="shared" si="23"/>
        <v>FJERN</v>
      </c>
      <c r="P492" s="1" t="s">
        <v>5619</v>
      </c>
    </row>
    <row r="493" spans="1:16" ht="15" customHeight="1" x14ac:dyDescent="0.2">
      <c r="A493" s="1" t="s">
        <v>1360</v>
      </c>
      <c r="B493" s="1" t="s">
        <v>1361</v>
      </c>
      <c r="C493" s="1" t="s">
        <v>9</v>
      </c>
      <c r="D493" s="1" t="s">
        <v>3</v>
      </c>
      <c r="E493" s="5">
        <v>35944</v>
      </c>
      <c r="F493" s="5">
        <v>46155</v>
      </c>
      <c r="G493" s="2">
        <v>47.09102</v>
      </c>
      <c r="H493" s="1" t="s">
        <v>10</v>
      </c>
      <c r="I493" s="2">
        <v>1220.2312810000001</v>
      </c>
      <c r="J493" s="1" t="s">
        <v>236</v>
      </c>
      <c r="K493" s="1" t="s">
        <v>1362</v>
      </c>
      <c r="L493" s="2">
        <v>18028.11</v>
      </c>
      <c r="M493">
        <f t="shared" si="21"/>
        <v>848962.08857220004</v>
      </c>
      <c r="N493">
        <f t="shared" si="22"/>
        <v>75129.38836922124</v>
      </c>
      <c r="O493" t="str">
        <f t="shared" si="23"/>
        <v>FJERN</v>
      </c>
      <c r="P493" s="1" t="s">
        <v>5620</v>
      </c>
    </row>
    <row r="494" spans="1:16" ht="15" customHeight="1" x14ac:dyDescent="0.2">
      <c r="A494" s="1" t="s">
        <v>1363</v>
      </c>
      <c r="B494" s="1" t="s">
        <v>1364</v>
      </c>
      <c r="C494" s="1" t="s">
        <v>2</v>
      </c>
      <c r="D494" s="1" t="s">
        <v>3</v>
      </c>
      <c r="E494" s="5">
        <v>32141</v>
      </c>
      <c r="F494" s="5">
        <v>36504</v>
      </c>
      <c r="G494" s="2"/>
      <c r="H494" s="1" t="s">
        <v>4</v>
      </c>
      <c r="I494" s="2"/>
      <c r="J494" s="1" t="s">
        <v>289</v>
      </c>
      <c r="K494" s="1"/>
      <c r="L494" s="2"/>
      <c r="M494" t="str">
        <f t="shared" si="21"/>
        <v/>
      </c>
      <c r="N494" t="str">
        <f t="shared" si="22"/>
        <v/>
      </c>
      <c r="O494" t="str">
        <f t="shared" si="23"/>
        <v>FJERN</v>
      </c>
      <c r="P494" s="1"/>
    </row>
    <row r="495" spans="1:16" ht="15" customHeight="1" x14ac:dyDescent="0.2">
      <c r="A495" s="1" t="s">
        <v>1365</v>
      </c>
      <c r="B495" s="1" t="s">
        <v>1366</v>
      </c>
      <c r="C495" s="1" t="s">
        <v>2</v>
      </c>
      <c r="D495" s="1" t="s">
        <v>3</v>
      </c>
      <c r="E495" s="5">
        <v>35961</v>
      </c>
      <c r="F495" s="5">
        <v>38336</v>
      </c>
      <c r="G495" s="2"/>
      <c r="H495" s="1" t="s">
        <v>4</v>
      </c>
      <c r="I495" s="2"/>
      <c r="J495" s="1" t="s">
        <v>176</v>
      </c>
      <c r="K495" s="1" t="s">
        <v>1367</v>
      </c>
      <c r="L495" s="2"/>
      <c r="M495" t="str">
        <f t="shared" si="21"/>
        <v/>
      </c>
      <c r="N495" t="str">
        <f t="shared" si="22"/>
        <v/>
      </c>
      <c r="O495" t="str">
        <f t="shared" si="23"/>
        <v>FJERN</v>
      </c>
      <c r="P495" s="1" t="s">
        <v>5621</v>
      </c>
    </row>
    <row r="496" spans="1:16" ht="15" customHeight="1" x14ac:dyDescent="0.2">
      <c r="A496" s="1" t="s">
        <v>1368</v>
      </c>
      <c r="B496" s="1" t="s">
        <v>1369</v>
      </c>
      <c r="C496" s="1" t="s">
        <v>9</v>
      </c>
      <c r="D496" s="1" t="s">
        <v>255</v>
      </c>
      <c r="E496" s="5">
        <v>36405</v>
      </c>
      <c r="F496" s="5">
        <v>36833</v>
      </c>
      <c r="G496" s="2"/>
      <c r="H496" s="1" t="s">
        <v>10</v>
      </c>
      <c r="I496" s="2"/>
      <c r="J496" s="1" t="s">
        <v>391</v>
      </c>
      <c r="K496" s="1" t="s">
        <v>1370</v>
      </c>
      <c r="L496" s="2"/>
      <c r="M496" t="str">
        <f t="shared" si="21"/>
        <v/>
      </c>
      <c r="N496" t="str">
        <f t="shared" si="22"/>
        <v/>
      </c>
      <c r="O496" t="str">
        <f t="shared" si="23"/>
        <v>FJERN</v>
      </c>
      <c r="P496" s="1"/>
    </row>
    <row r="497" spans="1:16" ht="15" customHeight="1" x14ac:dyDescent="0.2">
      <c r="A497" s="1" t="s">
        <v>1371</v>
      </c>
      <c r="B497" s="1" t="s">
        <v>1372</v>
      </c>
      <c r="C497" s="1" t="s">
        <v>9</v>
      </c>
      <c r="D497" s="1" t="s">
        <v>255</v>
      </c>
      <c r="E497" s="5">
        <v>36405</v>
      </c>
      <c r="F497" s="5">
        <v>36833</v>
      </c>
      <c r="G497" s="2"/>
      <c r="H497" s="1" t="s">
        <v>10</v>
      </c>
      <c r="I497" s="2"/>
      <c r="J497" s="1"/>
      <c r="K497" s="1"/>
      <c r="L497" s="2"/>
      <c r="M497" t="str">
        <f t="shared" si="21"/>
        <v/>
      </c>
      <c r="N497" t="str">
        <f t="shared" si="22"/>
        <v/>
      </c>
      <c r="O497" t="str">
        <f t="shared" si="23"/>
        <v>FJERN</v>
      </c>
      <c r="P497" s="1"/>
    </row>
    <row r="498" spans="1:16" ht="15" customHeight="1" x14ac:dyDescent="0.2">
      <c r="A498" s="1" t="s">
        <v>1373</v>
      </c>
      <c r="B498" s="1" t="s">
        <v>1374</v>
      </c>
      <c r="C498" s="1" t="s">
        <v>2</v>
      </c>
      <c r="D498" s="1" t="s">
        <v>3</v>
      </c>
      <c r="E498" s="5">
        <v>35983</v>
      </c>
      <c r="F498" s="5">
        <v>40906</v>
      </c>
      <c r="G498" s="2">
        <v>25.664449999999999</v>
      </c>
      <c r="H498" s="1" t="s">
        <v>4</v>
      </c>
      <c r="I498" s="2"/>
      <c r="J498" s="1" t="s">
        <v>11</v>
      </c>
      <c r="K498" s="1" t="s">
        <v>1375</v>
      </c>
      <c r="L498" s="2">
        <v>583.52110000000005</v>
      </c>
      <c r="M498">
        <f t="shared" si="21"/>
        <v>14975.748094895</v>
      </c>
      <c r="N498">
        <f t="shared" si="22"/>
        <v>2010.1675295161074</v>
      </c>
      <c r="O498" t="str">
        <f t="shared" si="23"/>
        <v>FJERN</v>
      </c>
      <c r="P498" s="1" t="s">
        <v>5622</v>
      </c>
    </row>
    <row r="499" spans="1:16" ht="15" customHeight="1" x14ac:dyDescent="0.2">
      <c r="A499" s="1" t="s">
        <v>1376</v>
      </c>
      <c r="B499" s="1" t="s">
        <v>1377</v>
      </c>
      <c r="C499" s="1" t="s">
        <v>9</v>
      </c>
      <c r="D499" s="1" t="s">
        <v>3</v>
      </c>
      <c r="E499" s="5">
        <v>36063</v>
      </c>
      <c r="F499" s="5">
        <v>37270</v>
      </c>
      <c r="G499" s="2"/>
      <c r="H499" s="1" t="s">
        <v>10</v>
      </c>
      <c r="I499" s="2"/>
      <c r="J499" s="1" t="s">
        <v>201</v>
      </c>
      <c r="K499" s="1"/>
      <c r="L499" s="2"/>
      <c r="M499" t="str">
        <f t="shared" si="21"/>
        <v/>
      </c>
      <c r="N499" t="str">
        <f t="shared" si="22"/>
        <v/>
      </c>
      <c r="O499" t="str">
        <f t="shared" si="23"/>
        <v>FJERN</v>
      </c>
      <c r="P499" s="1"/>
    </row>
    <row r="500" spans="1:16" ht="15" customHeight="1" x14ac:dyDescent="0.2">
      <c r="A500" s="1" t="s">
        <v>1378</v>
      </c>
      <c r="B500" s="1" t="s">
        <v>1379</v>
      </c>
      <c r="C500" s="1" t="s">
        <v>9</v>
      </c>
      <c r="D500" s="1" t="s">
        <v>3</v>
      </c>
      <c r="E500" s="5">
        <v>34485</v>
      </c>
      <c r="F500" s="5">
        <v>39750</v>
      </c>
      <c r="G500" s="2">
        <v>239</v>
      </c>
      <c r="H500" s="1" t="s">
        <v>10</v>
      </c>
      <c r="I500" s="2"/>
      <c r="J500" s="1" t="s">
        <v>236</v>
      </c>
      <c r="K500" s="1" t="s">
        <v>1380</v>
      </c>
      <c r="L500" s="2">
        <v>0</v>
      </c>
      <c r="M500">
        <f t="shared" si="21"/>
        <v>0</v>
      </c>
      <c r="N500">
        <f t="shared" si="22"/>
        <v>0</v>
      </c>
      <c r="O500" t="str">
        <f t="shared" si="23"/>
        <v>FJERN</v>
      </c>
      <c r="P500" s="1" t="s">
        <v>5623</v>
      </c>
    </row>
    <row r="501" spans="1:16" ht="15" customHeight="1" x14ac:dyDescent="0.2">
      <c r="A501" s="1" t="s">
        <v>1381</v>
      </c>
      <c r="B501" s="1" t="s">
        <v>1382</v>
      </c>
      <c r="C501" s="1" t="s">
        <v>2</v>
      </c>
      <c r="D501" s="1" t="s">
        <v>3</v>
      </c>
      <c r="E501" s="5">
        <v>33207</v>
      </c>
      <c r="F501" s="5">
        <v>46155</v>
      </c>
      <c r="G501" s="2">
        <v>430.36790000000002</v>
      </c>
      <c r="H501" s="1" t="s">
        <v>4</v>
      </c>
      <c r="I501" s="2">
        <v>384.01659999999998</v>
      </c>
      <c r="J501" s="1" t="s">
        <v>256</v>
      </c>
      <c r="K501" s="1" t="s">
        <v>1383</v>
      </c>
      <c r="L501" s="2">
        <v>105.8349</v>
      </c>
      <c r="M501">
        <f t="shared" si="21"/>
        <v>45547.943659710007</v>
      </c>
      <c r="N501">
        <f t="shared" si="22"/>
        <v>6113.8179409006716</v>
      </c>
      <c r="O501" t="str">
        <f t="shared" si="23"/>
        <v>FJERN</v>
      </c>
      <c r="P501" s="1" t="s">
        <v>5624</v>
      </c>
    </row>
    <row r="502" spans="1:16" ht="15" customHeight="1" x14ac:dyDescent="0.2">
      <c r="A502" s="1" t="s">
        <v>1384</v>
      </c>
      <c r="B502" s="1" t="s">
        <v>1385</v>
      </c>
      <c r="C502" s="1" t="s">
        <v>2</v>
      </c>
      <c r="D502" s="1" t="s">
        <v>3</v>
      </c>
      <c r="E502" s="5">
        <v>31049</v>
      </c>
      <c r="F502" s="5">
        <v>37013</v>
      </c>
      <c r="G502" s="2"/>
      <c r="H502" s="1" t="s">
        <v>4</v>
      </c>
      <c r="I502" s="2"/>
      <c r="J502" s="1" t="s">
        <v>86</v>
      </c>
      <c r="K502" s="1" t="s">
        <v>1386</v>
      </c>
      <c r="L502" s="2"/>
      <c r="M502" t="str">
        <f t="shared" si="21"/>
        <v/>
      </c>
      <c r="N502" t="str">
        <f t="shared" si="22"/>
        <v/>
      </c>
      <c r="O502" t="str">
        <f t="shared" si="23"/>
        <v>FJERN</v>
      </c>
      <c r="P502" s="1"/>
    </row>
    <row r="503" spans="1:16" ht="15" customHeight="1" x14ac:dyDescent="0.2">
      <c r="A503" s="1" t="s">
        <v>1387</v>
      </c>
      <c r="B503" s="1" t="s">
        <v>1388</v>
      </c>
      <c r="C503" s="1" t="s">
        <v>2</v>
      </c>
      <c r="D503" s="1" t="s">
        <v>3</v>
      </c>
      <c r="E503" s="5">
        <v>32084</v>
      </c>
      <c r="F503" s="5">
        <v>37012</v>
      </c>
      <c r="G503" s="2"/>
      <c r="H503" s="1" t="s">
        <v>4</v>
      </c>
      <c r="I503" s="2"/>
      <c r="J503" s="1" t="s">
        <v>86</v>
      </c>
      <c r="K503" s="1" t="s">
        <v>1389</v>
      </c>
      <c r="L503" s="2"/>
      <c r="M503" t="str">
        <f t="shared" si="21"/>
        <v/>
      </c>
      <c r="N503" t="str">
        <f t="shared" si="22"/>
        <v/>
      </c>
      <c r="O503" t="str">
        <f t="shared" si="23"/>
        <v>FJERN</v>
      </c>
      <c r="P503" s="1"/>
    </row>
    <row r="504" spans="1:16" ht="15" customHeight="1" x14ac:dyDescent="0.2">
      <c r="A504" s="1" t="s">
        <v>1390</v>
      </c>
      <c r="B504" s="1" t="s">
        <v>1391</v>
      </c>
      <c r="C504" s="1" t="s">
        <v>2</v>
      </c>
      <c r="D504" s="1" t="s">
        <v>3</v>
      </c>
      <c r="E504" s="5">
        <v>32604</v>
      </c>
      <c r="F504" s="5">
        <v>46155</v>
      </c>
      <c r="G504" s="2">
        <v>1.3673690000000001</v>
      </c>
      <c r="H504" s="1" t="s">
        <v>4</v>
      </c>
      <c r="I504" s="2">
        <v>390.10758937200001</v>
      </c>
      <c r="J504" s="1" t="s">
        <v>167</v>
      </c>
      <c r="K504" s="1" t="s">
        <v>1392</v>
      </c>
      <c r="L504" s="2">
        <v>404119.6</v>
      </c>
      <c r="M504">
        <f t="shared" si="21"/>
        <v>552580.61333239998</v>
      </c>
      <c r="N504">
        <f t="shared" si="22"/>
        <v>74171.894407033556</v>
      </c>
      <c r="O504" t="str">
        <f t="shared" si="23"/>
        <v>FJERN</v>
      </c>
      <c r="P504" s="1" t="s">
        <v>5625</v>
      </c>
    </row>
    <row r="505" spans="1:16" ht="15" customHeight="1" x14ac:dyDescent="0.2">
      <c r="A505" s="1" t="s">
        <v>1393</v>
      </c>
      <c r="B505" s="1" t="s">
        <v>1394</v>
      </c>
      <c r="C505" s="1" t="s">
        <v>9</v>
      </c>
      <c r="D505" s="1" t="s">
        <v>3</v>
      </c>
      <c r="E505" s="5">
        <v>36062</v>
      </c>
      <c r="F505" s="5">
        <v>38364</v>
      </c>
      <c r="G505" s="2"/>
      <c r="H505" s="1" t="s">
        <v>10</v>
      </c>
      <c r="I505" s="2"/>
      <c r="J505" s="1" t="s">
        <v>61</v>
      </c>
      <c r="K505" s="1" t="s">
        <v>1395</v>
      </c>
      <c r="L505" s="2"/>
      <c r="M505" t="str">
        <f t="shared" si="21"/>
        <v/>
      </c>
      <c r="N505" t="str">
        <f t="shared" si="22"/>
        <v/>
      </c>
      <c r="O505" t="str">
        <f t="shared" si="23"/>
        <v>FJERN</v>
      </c>
      <c r="P505" s="1" t="s">
        <v>5626</v>
      </c>
    </row>
    <row r="506" spans="1:16" ht="15" customHeight="1" x14ac:dyDescent="0.2">
      <c r="A506" s="1" t="s">
        <v>1396</v>
      </c>
      <c r="B506" s="1" t="s">
        <v>1397</v>
      </c>
      <c r="C506" s="1" t="s">
        <v>9</v>
      </c>
      <c r="D506" s="1" t="s">
        <v>3</v>
      </c>
      <c r="E506" s="5">
        <v>33527</v>
      </c>
      <c r="F506" s="5">
        <v>46155</v>
      </c>
      <c r="G506" s="2">
        <v>93.5715</v>
      </c>
      <c r="H506" s="1" t="s">
        <v>10</v>
      </c>
      <c r="I506" s="2">
        <v>84333.463654399995</v>
      </c>
      <c r="J506" s="1" t="s">
        <v>289</v>
      </c>
      <c r="K506" s="1" t="s">
        <v>1398</v>
      </c>
      <c r="L506" s="2">
        <v>1602416</v>
      </c>
      <c r="M506">
        <f t="shared" si="21"/>
        <v>149940468.74399999</v>
      </c>
      <c r="N506">
        <f t="shared" si="22"/>
        <v>13269068.030442476</v>
      </c>
      <c r="O506" t="str">
        <f t="shared" si="23"/>
        <v>BEHOLD</v>
      </c>
      <c r="P506" s="1" t="s">
        <v>5627</v>
      </c>
    </row>
    <row r="507" spans="1:16" ht="15" customHeight="1" x14ac:dyDescent="0.2">
      <c r="A507" s="1" t="s">
        <v>1399</v>
      </c>
      <c r="B507" s="1" t="s">
        <v>1400</v>
      </c>
      <c r="C507" s="1" t="s">
        <v>2</v>
      </c>
      <c r="D507" s="1" t="s">
        <v>3</v>
      </c>
      <c r="E507" s="5">
        <v>33514</v>
      </c>
      <c r="F507" s="5">
        <v>46153</v>
      </c>
      <c r="G507" s="2">
        <v>56.39188</v>
      </c>
      <c r="H507" s="1" t="s">
        <v>4</v>
      </c>
      <c r="I507" s="2">
        <v>145.70472000000001</v>
      </c>
      <c r="J507" s="1" t="s">
        <v>38</v>
      </c>
      <c r="K507" s="1" t="s">
        <v>1401</v>
      </c>
      <c r="L507" s="2">
        <v>2125.3310000000001</v>
      </c>
      <c r="M507">
        <f t="shared" si="21"/>
        <v>119851.41071228001</v>
      </c>
      <c r="N507">
        <f t="shared" si="22"/>
        <v>16087.437679500672</v>
      </c>
      <c r="O507" t="str">
        <f t="shared" si="23"/>
        <v>FJERN</v>
      </c>
      <c r="P507" s="1" t="s">
        <v>5628</v>
      </c>
    </row>
    <row r="508" spans="1:16" ht="15" customHeight="1" x14ac:dyDescent="0.2">
      <c r="A508" s="1" t="s">
        <v>1402</v>
      </c>
      <c r="B508" s="1" t="s">
        <v>1403</v>
      </c>
      <c r="C508" s="1" t="s">
        <v>2</v>
      </c>
      <c r="D508" s="1" t="s">
        <v>3</v>
      </c>
      <c r="E508" s="5">
        <v>32104</v>
      </c>
      <c r="F508" s="5">
        <v>36976</v>
      </c>
      <c r="G508" s="2"/>
      <c r="H508" s="1" t="s">
        <v>4</v>
      </c>
      <c r="I508" s="2"/>
      <c r="J508" s="1" t="s">
        <v>15</v>
      </c>
      <c r="K508" s="1" t="s">
        <v>1404</v>
      </c>
      <c r="L508" s="2"/>
      <c r="M508" t="str">
        <f t="shared" si="21"/>
        <v/>
      </c>
      <c r="N508" t="str">
        <f t="shared" si="22"/>
        <v/>
      </c>
      <c r="O508" t="str">
        <f t="shared" si="23"/>
        <v>FJERN</v>
      </c>
      <c r="P508" s="1"/>
    </row>
    <row r="509" spans="1:16" ht="15" customHeight="1" x14ac:dyDescent="0.2">
      <c r="A509" s="1" t="s">
        <v>1405</v>
      </c>
      <c r="B509" s="1" t="s">
        <v>1406</v>
      </c>
      <c r="C509" s="1" t="s">
        <v>2</v>
      </c>
      <c r="D509" s="1" t="s">
        <v>3</v>
      </c>
      <c r="E509" s="5">
        <v>36103</v>
      </c>
      <c r="F509" s="5">
        <v>46155</v>
      </c>
      <c r="G509" s="2">
        <v>158.37979999999999</v>
      </c>
      <c r="H509" s="1" t="s">
        <v>4</v>
      </c>
      <c r="I509" s="2">
        <v>14937.807953248799</v>
      </c>
      <c r="J509" s="1" t="s">
        <v>366</v>
      </c>
      <c r="K509" s="1" t="s">
        <v>1407</v>
      </c>
      <c r="L509" s="2">
        <v>274145.59999999998</v>
      </c>
      <c r="M509">
        <f t="shared" si="21"/>
        <v>43419125.298879996</v>
      </c>
      <c r="N509">
        <f t="shared" si="22"/>
        <v>5828070.5099167777</v>
      </c>
      <c r="O509" t="str">
        <f t="shared" si="23"/>
        <v>BEHOLD</v>
      </c>
      <c r="P509" s="1" t="s">
        <v>5629</v>
      </c>
    </row>
    <row r="510" spans="1:16" ht="15" customHeight="1" x14ac:dyDescent="0.2">
      <c r="A510" s="1" t="s">
        <v>1408</v>
      </c>
      <c r="B510" s="1" t="s">
        <v>1409</v>
      </c>
      <c r="C510" s="1" t="s">
        <v>2</v>
      </c>
      <c r="D510" s="1" t="s">
        <v>3</v>
      </c>
      <c r="E510" s="5">
        <v>36132</v>
      </c>
      <c r="F510" s="5">
        <v>41311</v>
      </c>
      <c r="G510" s="2">
        <v>1.537013</v>
      </c>
      <c r="H510" s="1" t="s">
        <v>4</v>
      </c>
      <c r="I510" s="2"/>
      <c r="J510" s="1" t="s">
        <v>61</v>
      </c>
      <c r="K510" s="1" t="s">
        <v>1410</v>
      </c>
      <c r="L510" s="2">
        <v>20767.5</v>
      </c>
      <c r="M510">
        <f t="shared" si="21"/>
        <v>31919.917477499999</v>
      </c>
      <c r="N510">
        <f t="shared" si="22"/>
        <v>4284.5526815436242</v>
      </c>
      <c r="O510" t="str">
        <f t="shared" si="23"/>
        <v>FJERN</v>
      </c>
      <c r="P510" s="1" t="s">
        <v>5630</v>
      </c>
    </row>
    <row r="511" spans="1:16" ht="15" customHeight="1" x14ac:dyDescent="0.2">
      <c r="A511" s="1" t="s">
        <v>1411</v>
      </c>
      <c r="B511" s="1" t="s">
        <v>1412</v>
      </c>
      <c r="C511" s="1" t="s">
        <v>2</v>
      </c>
      <c r="D511" s="1" t="s">
        <v>3</v>
      </c>
      <c r="E511" s="5">
        <v>36133</v>
      </c>
      <c r="F511" s="5">
        <v>38217</v>
      </c>
      <c r="G511" s="2"/>
      <c r="H511" s="1" t="s">
        <v>4</v>
      </c>
      <c r="I511" s="2"/>
      <c r="J511" s="1" t="s">
        <v>391</v>
      </c>
      <c r="K511" s="1" t="s">
        <v>1413</v>
      </c>
      <c r="L511" s="2"/>
      <c r="M511" t="str">
        <f t="shared" si="21"/>
        <v/>
      </c>
      <c r="N511" t="str">
        <f t="shared" si="22"/>
        <v/>
      </c>
      <c r="O511" t="str">
        <f t="shared" si="23"/>
        <v>FJERN</v>
      </c>
      <c r="P511" s="1" t="s">
        <v>5631</v>
      </c>
    </row>
    <row r="512" spans="1:16" ht="15" customHeight="1" x14ac:dyDescent="0.2">
      <c r="A512" s="1" t="s">
        <v>1414</v>
      </c>
      <c r="B512" s="1" t="s">
        <v>1415</v>
      </c>
      <c r="C512" s="1" t="s">
        <v>9</v>
      </c>
      <c r="D512" s="1" t="s">
        <v>3</v>
      </c>
      <c r="E512" s="5">
        <v>36122</v>
      </c>
      <c r="F512" s="5">
        <v>41017</v>
      </c>
      <c r="G512" s="2">
        <v>44.947749999999999</v>
      </c>
      <c r="H512" s="1" t="s">
        <v>10</v>
      </c>
      <c r="I512" s="2"/>
      <c r="J512" s="1" t="s">
        <v>236</v>
      </c>
      <c r="K512" s="1" t="s">
        <v>1416</v>
      </c>
      <c r="L512" s="2">
        <v>3818.07</v>
      </c>
      <c r="M512">
        <f t="shared" si="21"/>
        <v>171613.65584250001</v>
      </c>
      <c r="N512">
        <f t="shared" si="22"/>
        <v>15187.04918960177</v>
      </c>
      <c r="O512" t="str">
        <f t="shared" si="23"/>
        <v>FJERN</v>
      </c>
      <c r="P512" s="1" t="s">
        <v>5632</v>
      </c>
    </row>
    <row r="513" spans="1:16" ht="15" customHeight="1" x14ac:dyDescent="0.2">
      <c r="A513" s="1" t="s">
        <v>1417</v>
      </c>
      <c r="B513" s="1" t="s">
        <v>1418</v>
      </c>
      <c r="C513" s="1" t="s">
        <v>2</v>
      </c>
      <c r="D513" s="1" t="s">
        <v>3</v>
      </c>
      <c r="E513" s="5">
        <v>33053</v>
      </c>
      <c r="F513" s="5">
        <v>38153</v>
      </c>
      <c r="G513" s="2"/>
      <c r="H513" s="1" t="s">
        <v>4</v>
      </c>
      <c r="I513" s="2"/>
      <c r="J513" s="1" t="s">
        <v>23</v>
      </c>
      <c r="K513" s="1" t="s">
        <v>1419</v>
      </c>
      <c r="L513" s="2"/>
      <c r="M513" t="str">
        <f t="shared" si="21"/>
        <v/>
      </c>
      <c r="N513" t="str">
        <f t="shared" si="22"/>
        <v/>
      </c>
      <c r="O513" t="str">
        <f t="shared" si="23"/>
        <v>FJERN</v>
      </c>
      <c r="P513" s="1" t="s">
        <v>5633</v>
      </c>
    </row>
    <row r="514" spans="1:16" ht="15" customHeight="1" x14ac:dyDescent="0.2">
      <c r="A514" s="1" t="s">
        <v>1420</v>
      </c>
      <c r="B514" s="1" t="s">
        <v>1421</v>
      </c>
      <c r="C514" s="1" t="s">
        <v>9</v>
      </c>
      <c r="D514" s="1" t="s">
        <v>3</v>
      </c>
      <c r="E514" s="5">
        <v>35493</v>
      </c>
      <c r="F514" s="5">
        <v>39874</v>
      </c>
      <c r="G514" s="2">
        <v>3.1143860000000001</v>
      </c>
      <c r="H514" s="1" t="s">
        <v>10</v>
      </c>
      <c r="I514" s="2"/>
      <c r="J514" s="1" t="s">
        <v>236</v>
      </c>
      <c r="K514" s="1" t="s">
        <v>1422</v>
      </c>
      <c r="L514" s="2">
        <v>12332.83</v>
      </c>
      <c r="M514">
        <f t="shared" si="21"/>
        <v>38409.193092380003</v>
      </c>
      <c r="N514">
        <f t="shared" si="22"/>
        <v>3399.0436364938055</v>
      </c>
      <c r="O514" t="str">
        <f t="shared" si="23"/>
        <v>FJERN</v>
      </c>
      <c r="P514" s="1" t="s">
        <v>5634</v>
      </c>
    </row>
    <row r="515" spans="1:16" ht="15" customHeight="1" x14ac:dyDescent="0.2">
      <c r="A515" s="1" t="s">
        <v>1423</v>
      </c>
      <c r="B515" s="1" t="s">
        <v>1424</v>
      </c>
      <c r="C515" s="1" t="s">
        <v>2</v>
      </c>
      <c r="D515" s="1" t="s">
        <v>3</v>
      </c>
      <c r="E515" s="5">
        <v>36151</v>
      </c>
      <c r="F515" s="5">
        <v>38695</v>
      </c>
      <c r="G515" s="2"/>
      <c r="H515" s="1" t="s">
        <v>4</v>
      </c>
      <c r="I515" s="2"/>
      <c r="J515" s="1" t="s">
        <v>5</v>
      </c>
      <c r="K515" s="1" t="s">
        <v>1425</v>
      </c>
      <c r="L515" s="2"/>
      <c r="M515" t="str">
        <f t="shared" ref="M515:M578" si="24">IF(OR(G515="",L515=""),"",G515*L515)</f>
        <v/>
      </c>
      <c r="N515" t="str">
        <f t="shared" ref="N515:N578" si="25">IF(M515="","",IF(H515="DKK",M515/7.45,IF(H515="SEK",M515/11.3,M515)))</f>
        <v/>
      </c>
      <c r="O515" t="str">
        <f t="shared" ref="O515:O578" si="26">IF(AND(E515&lt;=DATE(2024,12,31),F515&gt;=DATE(2010,1,1),D515="SHARE",N515&gt;=100000),"BEHOLD","FJERN")</f>
        <v>FJERN</v>
      </c>
      <c r="P515" s="1" t="s">
        <v>5635</v>
      </c>
    </row>
    <row r="516" spans="1:16" ht="15" customHeight="1" x14ac:dyDescent="0.2">
      <c r="A516" s="1" t="s">
        <v>1426</v>
      </c>
      <c r="B516" s="1" t="s">
        <v>1427</v>
      </c>
      <c r="C516" s="1" t="s">
        <v>9</v>
      </c>
      <c r="D516" s="1" t="s">
        <v>3</v>
      </c>
      <c r="E516" s="5">
        <v>34649</v>
      </c>
      <c r="F516" s="5">
        <v>36287</v>
      </c>
      <c r="G516" s="2"/>
      <c r="H516" s="1" t="s">
        <v>10</v>
      </c>
      <c r="I516" s="2"/>
      <c r="J516" s="1" t="s">
        <v>61</v>
      </c>
      <c r="K516" s="1"/>
      <c r="L516" s="2"/>
      <c r="M516" t="str">
        <f t="shared" si="24"/>
        <v/>
      </c>
      <c r="N516" t="str">
        <f t="shared" si="25"/>
        <v/>
      </c>
      <c r="O516" t="str">
        <f t="shared" si="26"/>
        <v>FJERN</v>
      </c>
      <c r="P516" s="1"/>
    </row>
    <row r="517" spans="1:16" ht="15" customHeight="1" x14ac:dyDescent="0.2">
      <c r="A517" s="1" t="s">
        <v>1428</v>
      </c>
      <c r="B517" s="1" t="s">
        <v>1429</v>
      </c>
      <c r="C517" s="1" t="s">
        <v>2</v>
      </c>
      <c r="D517" s="1" t="s">
        <v>3</v>
      </c>
      <c r="E517" s="5">
        <v>36164</v>
      </c>
      <c r="F517" s="5">
        <v>39344</v>
      </c>
      <c r="G517" s="2"/>
      <c r="H517" s="1" t="s">
        <v>4</v>
      </c>
      <c r="I517" s="2"/>
      <c r="J517" s="1" t="s">
        <v>61</v>
      </c>
      <c r="K517" s="1" t="s">
        <v>1430</v>
      </c>
      <c r="L517" s="2"/>
      <c r="M517" t="str">
        <f t="shared" si="24"/>
        <v/>
      </c>
      <c r="N517" t="str">
        <f t="shared" si="25"/>
        <v/>
      </c>
      <c r="O517" t="str">
        <f t="shared" si="26"/>
        <v>FJERN</v>
      </c>
      <c r="P517" s="1" t="s">
        <v>5636</v>
      </c>
    </row>
    <row r="518" spans="1:16" ht="15" customHeight="1" x14ac:dyDescent="0.2">
      <c r="A518" s="1" t="s">
        <v>1431</v>
      </c>
      <c r="B518" s="1" t="s">
        <v>1432</v>
      </c>
      <c r="C518" s="1" t="s">
        <v>9</v>
      </c>
      <c r="D518" s="1" t="s">
        <v>3</v>
      </c>
      <c r="E518" s="5">
        <v>33275</v>
      </c>
      <c r="F518" s="5">
        <v>40200</v>
      </c>
      <c r="G518" s="2">
        <v>17.173310000000001</v>
      </c>
      <c r="H518" s="1" t="s">
        <v>10</v>
      </c>
      <c r="I518" s="2"/>
      <c r="J518" s="1" t="s">
        <v>76</v>
      </c>
      <c r="K518" s="1" t="s">
        <v>1433</v>
      </c>
      <c r="L518" s="2">
        <v>70625.13</v>
      </c>
      <c r="M518">
        <f t="shared" si="24"/>
        <v>1212867.2512803001</v>
      </c>
      <c r="N518">
        <f t="shared" si="25"/>
        <v>107333.3850690531</v>
      </c>
      <c r="O518" t="str">
        <f t="shared" si="26"/>
        <v>BEHOLD</v>
      </c>
      <c r="P518" s="1" t="s">
        <v>5637</v>
      </c>
    </row>
    <row r="519" spans="1:16" ht="15" customHeight="1" x14ac:dyDescent="0.2">
      <c r="A519" s="1" t="s">
        <v>1434</v>
      </c>
      <c r="B519" s="1" t="s">
        <v>1435</v>
      </c>
      <c r="C519" s="1" t="s">
        <v>2</v>
      </c>
      <c r="D519" s="1" t="s">
        <v>3</v>
      </c>
      <c r="E519" s="5">
        <v>36248</v>
      </c>
      <c r="F519" s="5">
        <v>37490</v>
      </c>
      <c r="G519" s="2"/>
      <c r="H519" s="1" t="s">
        <v>4</v>
      </c>
      <c r="I519" s="2"/>
      <c r="J519" s="1" t="s">
        <v>236</v>
      </c>
      <c r="K519" s="1" t="s">
        <v>1436</v>
      </c>
      <c r="L519" s="2"/>
      <c r="M519" t="str">
        <f t="shared" si="24"/>
        <v/>
      </c>
      <c r="N519" t="str">
        <f t="shared" si="25"/>
        <v/>
      </c>
      <c r="O519" t="str">
        <f t="shared" si="26"/>
        <v>FJERN</v>
      </c>
      <c r="P519" s="1"/>
    </row>
    <row r="520" spans="1:16" ht="15" customHeight="1" x14ac:dyDescent="0.2">
      <c r="A520" s="1" t="s">
        <v>1437</v>
      </c>
      <c r="B520" s="1" t="s">
        <v>1438</v>
      </c>
      <c r="C520" s="1" t="s">
        <v>9</v>
      </c>
      <c r="D520" s="1" t="s">
        <v>3</v>
      </c>
      <c r="E520" s="5">
        <v>35573</v>
      </c>
      <c r="F520" s="5">
        <v>40611</v>
      </c>
      <c r="G520" s="2">
        <v>0.69186309999999995</v>
      </c>
      <c r="H520" s="1" t="s">
        <v>10</v>
      </c>
      <c r="I520" s="2"/>
      <c r="J520" s="1" t="s">
        <v>236</v>
      </c>
      <c r="K520" s="1" t="s">
        <v>1439</v>
      </c>
      <c r="L520" s="2">
        <v>163473.29999999999</v>
      </c>
      <c r="M520">
        <f t="shared" si="24"/>
        <v>113101.14410522998</v>
      </c>
      <c r="N520">
        <f t="shared" si="25"/>
        <v>10008.950805772563</v>
      </c>
      <c r="O520" t="str">
        <f t="shared" si="26"/>
        <v>FJERN</v>
      </c>
      <c r="P520" s="1" t="s">
        <v>5638</v>
      </c>
    </row>
    <row r="521" spans="1:16" ht="15" customHeight="1" x14ac:dyDescent="0.2">
      <c r="A521" s="1" t="s">
        <v>1440</v>
      </c>
      <c r="B521" s="1" t="s">
        <v>1441</v>
      </c>
      <c r="C521" s="1" t="s">
        <v>9</v>
      </c>
      <c r="D521" s="1" t="s">
        <v>3</v>
      </c>
      <c r="E521" s="5">
        <v>36273</v>
      </c>
      <c r="F521" s="5">
        <v>38282</v>
      </c>
      <c r="G521" s="2"/>
      <c r="H521" s="1" t="s">
        <v>10</v>
      </c>
      <c r="I521" s="2"/>
      <c r="J521" s="1" t="s">
        <v>236</v>
      </c>
      <c r="K521" s="1" t="s">
        <v>1442</v>
      </c>
      <c r="L521" s="2"/>
      <c r="M521" t="str">
        <f t="shared" si="24"/>
        <v/>
      </c>
      <c r="N521" t="str">
        <f t="shared" si="25"/>
        <v/>
      </c>
      <c r="O521" t="str">
        <f t="shared" si="26"/>
        <v>FJERN</v>
      </c>
      <c r="P521" s="1" t="s">
        <v>5639</v>
      </c>
    </row>
    <row r="522" spans="1:16" ht="15" customHeight="1" x14ac:dyDescent="0.2">
      <c r="A522" s="1" t="s">
        <v>1443</v>
      </c>
      <c r="B522" s="1" t="s">
        <v>1444</v>
      </c>
      <c r="C522" s="1" t="s">
        <v>9</v>
      </c>
      <c r="D522" s="1" t="s">
        <v>3</v>
      </c>
      <c r="E522" s="5">
        <v>35545</v>
      </c>
      <c r="F522" s="5">
        <v>40277</v>
      </c>
      <c r="G522" s="2">
        <v>5.9739339999999999</v>
      </c>
      <c r="H522" s="1" t="s">
        <v>10</v>
      </c>
      <c r="I522" s="2"/>
      <c r="J522" s="1" t="s">
        <v>167</v>
      </c>
      <c r="K522" s="1" t="s">
        <v>1445</v>
      </c>
      <c r="L522" s="2">
        <v>62552.68</v>
      </c>
      <c r="M522">
        <f t="shared" si="24"/>
        <v>373685.58184311999</v>
      </c>
      <c r="N522">
        <f t="shared" si="25"/>
        <v>33069.520517090263</v>
      </c>
      <c r="O522" t="str">
        <f t="shared" si="26"/>
        <v>FJERN</v>
      </c>
      <c r="P522" s="1" t="s">
        <v>5640</v>
      </c>
    </row>
    <row r="523" spans="1:16" ht="15" customHeight="1" x14ac:dyDescent="0.2">
      <c r="A523" s="1" t="s">
        <v>1446</v>
      </c>
      <c r="B523" s="1" t="s">
        <v>1447</v>
      </c>
      <c r="C523" s="1" t="s">
        <v>9</v>
      </c>
      <c r="D523" s="1" t="s">
        <v>3</v>
      </c>
      <c r="E523" s="5">
        <v>36265</v>
      </c>
      <c r="F523" s="5">
        <v>39750</v>
      </c>
      <c r="G523" s="2">
        <v>5.9999950000000003E-2</v>
      </c>
      <c r="H523" s="1" t="s">
        <v>10</v>
      </c>
      <c r="I523" s="2"/>
      <c r="J523" s="1" t="s">
        <v>391</v>
      </c>
      <c r="K523" s="1" t="s">
        <v>1448</v>
      </c>
      <c r="L523" s="2">
        <v>0</v>
      </c>
      <c r="M523">
        <f t="shared" si="24"/>
        <v>0</v>
      </c>
      <c r="N523">
        <f t="shared" si="25"/>
        <v>0</v>
      </c>
      <c r="O523" t="str">
        <f t="shared" si="26"/>
        <v>FJERN</v>
      </c>
      <c r="P523" s="1" t="s">
        <v>5641</v>
      </c>
    </row>
    <row r="524" spans="1:16" ht="15" customHeight="1" x14ac:dyDescent="0.2">
      <c r="A524" s="1" t="s">
        <v>1449</v>
      </c>
      <c r="B524" s="1" t="s">
        <v>1450</v>
      </c>
      <c r="C524" s="1" t="s">
        <v>9</v>
      </c>
      <c r="D524" s="1" t="s">
        <v>3</v>
      </c>
      <c r="E524" s="5">
        <v>36271</v>
      </c>
      <c r="F524" s="5">
        <v>41080</v>
      </c>
      <c r="G524" s="2">
        <v>55.467559999999999</v>
      </c>
      <c r="H524" s="1" t="s">
        <v>10</v>
      </c>
      <c r="I524" s="2"/>
      <c r="J524" s="1" t="s">
        <v>236</v>
      </c>
      <c r="K524" s="1" t="s">
        <v>1451</v>
      </c>
      <c r="L524" s="2">
        <v>1980.9960000000001</v>
      </c>
      <c r="M524">
        <f t="shared" si="24"/>
        <v>109881.01448976</v>
      </c>
      <c r="N524">
        <f t="shared" si="25"/>
        <v>9723.9835831646014</v>
      </c>
      <c r="O524" t="str">
        <f t="shared" si="26"/>
        <v>FJERN</v>
      </c>
      <c r="P524" s="1" t="s">
        <v>5642</v>
      </c>
    </row>
    <row r="525" spans="1:16" ht="15" customHeight="1" x14ac:dyDescent="0.2">
      <c r="A525" s="1" t="s">
        <v>1452</v>
      </c>
      <c r="B525" s="1" t="s">
        <v>1453</v>
      </c>
      <c r="C525" s="1" t="s">
        <v>9</v>
      </c>
      <c r="D525" s="1" t="s">
        <v>3</v>
      </c>
      <c r="E525" s="5">
        <v>35417</v>
      </c>
      <c r="F525" s="5">
        <v>37078</v>
      </c>
      <c r="G525" s="2"/>
      <c r="H525" s="1" t="s">
        <v>10</v>
      </c>
      <c r="I525" s="2"/>
      <c r="J525" s="1" t="s">
        <v>167</v>
      </c>
      <c r="K525" s="1" t="s">
        <v>1454</v>
      </c>
      <c r="L525" s="2"/>
      <c r="M525" t="str">
        <f t="shared" si="24"/>
        <v/>
      </c>
      <c r="N525" t="str">
        <f t="shared" si="25"/>
        <v/>
      </c>
      <c r="O525" t="str">
        <f t="shared" si="26"/>
        <v>FJERN</v>
      </c>
      <c r="P525" s="1"/>
    </row>
    <row r="526" spans="1:16" ht="15" customHeight="1" x14ac:dyDescent="0.2">
      <c r="A526" s="1" t="s">
        <v>1455</v>
      </c>
      <c r="B526" s="1" t="s">
        <v>1456</v>
      </c>
      <c r="C526" s="1" t="s">
        <v>9</v>
      </c>
      <c r="D526" s="1" t="s">
        <v>3</v>
      </c>
      <c r="E526" s="5">
        <v>34487</v>
      </c>
      <c r="F526" s="5">
        <v>37708</v>
      </c>
      <c r="G526" s="2"/>
      <c r="H526" s="1" t="s">
        <v>10</v>
      </c>
      <c r="I526" s="2"/>
      <c r="J526" s="1" t="s">
        <v>391</v>
      </c>
      <c r="K526" s="1" t="s">
        <v>1457</v>
      </c>
      <c r="L526" s="2"/>
      <c r="M526" t="str">
        <f t="shared" si="24"/>
        <v/>
      </c>
      <c r="N526" t="str">
        <f t="shared" si="25"/>
        <v/>
      </c>
      <c r="O526" t="str">
        <f t="shared" si="26"/>
        <v>FJERN</v>
      </c>
      <c r="P526" s="1"/>
    </row>
    <row r="527" spans="1:16" ht="15" customHeight="1" x14ac:dyDescent="0.2">
      <c r="A527" s="1" t="s">
        <v>1458</v>
      </c>
      <c r="B527" s="1" t="s">
        <v>1459</v>
      </c>
      <c r="C527" s="1" t="s">
        <v>9</v>
      </c>
      <c r="D527" s="1" t="s">
        <v>3</v>
      </c>
      <c r="E527" s="5">
        <v>36291</v>
      </c>
      <c r="F527" s="5">
        <v>36392</v>
      </c>
      <c r="G527" s="2"/>
      <c r="H527" s="1" t="s">
        <v>10</v>
      </c>
      <c r="I527" s="2"/>
      <c r="J527" s="1" t="s">
        <v>76</v>
      </c>
      <c r="K527" s="1"/>
      <c r="L527" s="2"/>
      <c r="M527" t="str">
        <f t="shared" si="24"/>
        <v/>
      </c>
      <c r="N527" t="str">
        <f t="shared" si="25"/>
        <v/>
      </c>
      <c r="O527" t="str">
        <f t="shared" si="26"/>
        <v>FJERN</v>
      </c>
      <c r="P527" s="1"/>
    </row>
    <row r="528" spans="1:16" ht="15" customHeight="1" x14ac:dyDescent="0.2">
      <c r="A528" s="1" t="s">
        <v>1460</v>
      </c>
      <c r="B528" s="1" t="s">
        <v>1461</v>
      </c>
      <c r="C528" s="1" t="s">
        <v>2</v>
      </c>
      <c r="D528" s="1" t="s">
        <v>3</v>
      </c>
      <c r="E528" s="5">
        <v>36299</v>
      </c>
      <c r="F528" s="5">
        <v>38832</v>
      </c>
      <c r="G528" s="2"/>
      <c r="H528" s="1" t="s">
        <v>4</v>
      </c>
      <c r="I528" s="2"/>
      <c r="J528" s="1" t="s">
        <v>11</v>
      </c>
      <c r="K528" s="1" t="s">
        <v>1462</v>
      </c>
      <c r="L528" s="2"/>
      <c r="M528" t="str">
        <f t="shared" si="24"/>
        <v/>
      </c>
      <c r="N528" t="str">
        <f t="shared" si="25"/>
        <v/>
      </c>
      <c r="O528" t="str">
        <f t="shared" si="26"/>
        <v>FJERN</v>
      </c>
      <c r="P528" s="1" t="s">
        <v>5643</v>
      </c>
    </row>
    <row r="529" spans="1:16" ht="15" customHeight="1" x14ac:dyDescent="0.2">
      <c r="A529" s="1" t="s">
        <v>1463</v>
      </c>
      <c r="B529" s="1" t="s">
        <v>1464</v>
      </c>
      <c r="C529" s="1" t="s">
        <v>9</v>
      </c>
      <c r="D529" s="1" t="s">
        <v>3</v>
      </c>
      <c r="E529" s="5">
        <v>31049</v>
      </c>
      <c r="F529" s="5">
        <v>46155</v>
      </c>
      <c r="G529" s="2">
        <v>203.30459999999999</v>
      </c>
      <c r="H529" s="1" t="s">
        <v>10</v>
      </c>
      <c r="I529" s="2">
        <v>274497.69363749999</v>
      </c>
      <c r="J529" s="1" t="s">
        <v>184</v>
      </c>
      <c r="K529" s="1" t="s">
        <v>1465</v>
      </c>
      <c r="L529" s="2">
        <v>3690490</v>
      </c>
      <c r="M529">
        <f t="shared" si="24"/>
        <v>750293593.25399995</v>
      </c>
      <c r="N529">
        <f t="shared" si="25"/>
        <v>66397663.119823001</v>
      </c>
      <c r="O529" t="str">
        <f t="shared" si="26"/>
        <v>BEHOLD</v>
      </c>
      <c r="P529" s="1" t="s">
        <v>5644</v>
      </c>
    </row>
    <row r="530" spans="1:16" ht="15" customHeight="1" x14ac:dyDescent="0.2">
      <c r="A530" s="1" t="s">
        <v>1466</v>
      </c>
      <c r="B530" s="1" t="s">
        <v>1467</v>
      </c>
      <c r="C530" s="1" t="s">
        <v>9</v>
      </c>
      <c r="D530" s="1" t="s">
        <v>3</v>
      </c>
      <c r="E530" s="5">
        <v>36299</v>
      </c>
      <c r="F530" s="5">
        <v>38218</v>
      </c>
      <c r="G530" s="2"/>
      <c r="H530" s="1" t="s">
        <v>10</v>
      </c>
      <c r="I530" s="2"/>
      <c r="J530" s="1" t="s">
        <v>236</v>
      </c>
      <c r="K530" s="1" t="s">
        <v>1468</v>
      </c>
      <c r="L530" s="2"/>
      <c r="M530" t="str">
        <f t="shared" si="24"/>
        <v/>
      </c>
      <c r="N530" t="str">
        <f t="shared" si="25"/>
        <v/>
      </c>
      <c r="O530" t="str">
        <f t="shared" si="26"/>
        <v>FJERN</v>
      </c>
      <c r="P530" s="1" t="s">
        <v>5645</v>
      </c>
    </row>
    <row r="531" spans="1:16" ht="15" customHeight="1" x14ac:dyDescent="0.2">
      <c r="A531" s="1" t="s">
        <v>1469</v>
      </c>
      <c r="B531" s="1" t="s">
        <v>1470</v>
      </c>
      <c r="C531" s="1" t="s">
        <v>2</v>
      </c>
      <c r="D531" s="1" t="s">
        <v>3</v>
      </c>
      <c r="E531" s="5">
        <v>32106</v>
      </c>
      <c r="F531" s="5">
        <v>46155</v>
      </c>
      <c r="G531" s="2">
        <v>404.36590000000001</v>
      </c>
      <c r="H531" s="1" t="s">
        <v>4</v>
      </c>
      <c r="I531" s="2">
        <v>14996.999413</v>
      </c>
      <c r="J531" s="1" t="s">
        <v>5</v>
      </c>
      <c r="K531" s="1" t="s">
        <v>1471</v>
      </c>
      <c r="L531" s="2">
        <v>20205.97</v>
      </c>
      <c r="M531">
        <f t="shared" si="24"/>
        <v>8170605.2444230011</v>
      </c>
      <c r="N531">
        <f t="shared" si="25"/>
        <v>1096725.5361641613</v>
      </c>
      <c r="O531" t="str">
        <f t="shared" si="26"/>
        <v>BEHOLD</v>
      </c>
      <c r="P531" s="1" t="s">
        <v>5646</v>
      </c>
    </row>
    <row r="532" spans="1:16" ht="15" customHeight="1" x14ac:dyDescent="0.2">
      <c r="A532" s="1" t="s">
        <v>1472</v>
      </c>
      <c r="B532" s="1" t="s">
        <v>1473</v>
      </c>
      <c r="C532" s="1" t="s">
        <v>9</v>
      </c>
      <c r="D532" s="1" t="s">
        <v>3</v>
      </c>
      <c r="E532" s="5">
        <v>36510</v>
      </c>
      <c r="F532" s="5">
        <v>42783</v>
      </c>
      <c r="G532" s="2">
        <v>24.78969</v>
      </c>
      <c r="H532" s="1" t="s">
        <v>10</v>
      </c>
      <c r="I532" s="2"/>
      <c r="J532" s="1" t="s">
        <v>15</v>
      </c>
      <c r="K532" s="1" t="s">
        <v>1474</v>
      </c>
      <c r="L532" s="2">
        <v>157234.79999999999</v>
      </c>
      <c r="M532">
        <f t="shared" si="24"/>
        <v>3897801.9492119998</v>
      </c>
      <c r="N532">
        <f t="shared" si="25"/>
        <v>344938.22559398226</v>
      </c>
      <c r="O532" t="str">
        <f t="shared" si="26"/>
        <v>BEHOLD</v>
      </c>
      <c r="P532" s="1" t="s">
        <v>5647</v>
      </c>
    </row>
    <row r="533" spans="1:16" ht="15" customHeight="1" x14ac:dyDescent="0.2">
      <c r="A533" s="1" t="s">
        <v>1475</v>
      </c>
      <c r="B533" s="1" t="s">
        <v>1476</v>
      </c>
      <c r="C533" s="1" t="s">
        <v>2</v>
      </c>
      <c r="D533" s="1" t="s">
        <v>3</v>
      </c>
      <c r="E533" s="5">
        <v>34457</v>
      </c>
      <c r="F533" s="5">
        <v>43255</v>
      </c>
      <c r="G533" s="2">
        <v>42.479309999999998</v>
      </c>
      <c r="H533" s="1" t="s">
        <v>4</v>
      </c>
      <c r="I533" s="2"/>
      <c r="J533" s="1" t="s">
        <v>391</v>
      </c>
      <c r="K533" s="1" t="s">
        <v>1477</v>
      </c>
      <c r="L533" s="2">
        <v>1956347</v>
      </c>
      <c r="M533">
        <f t="shared" si="24"/>
        <v>83104270.680569991</v>
      </c>
      <c r="N533">
        <f t="shared" si="25"/>
        <v>11154935.661821475</v>
      </c>
      <c r="O533" t="str">
        <f t="shared" si="26"/>
        <v>BEHOLD</v>
      </c>
      <c r="P533" s="1" t="s">
        <v>5648</v>
      </c>
    </row>
    <row r="534" spans="1:16" ht="15" customHeight="1" x14ac:dyDescent="0.2">
      <c r="A534" s="1" t="s">
        <v>1478</v>
      </c>
      <c r="B534" s="1" t="s">
        <v>1479</v>
      </c>
      <c r="C534" s="1" t="s">
        <v>9</v>
      </c>
      <c r="D534" s="1" t="s">
        <v>3</v>
      </c>
      <c r="E534" s="5">
        <v>36374</v>
      </c>
      <c r="F534" s="5">
        <v>46155</v>
      </c>
      <c r="G534" s="2">
        <v>13.29106</v>
      </c>
      <c r="H534" s="1" t="s">
        <v>10</v>
      </c>
      <c r="I534" s="2">
        <v>249.55028139999999</v>
      </c>
      <c r="J534" s="1" t="s">
        <v>289</v>
      </c>
      <c r="K534" s="1" t="s">
        <v>1480</v>
      </c>
      <c r="L534" s="2">
        <v>25679.67</v>
      </c>
      <c r="M534">
        <f t="shared" si="24"/>
        <v>341310.03475019999</v>
      </c>
      <c r="N534">
        <f t="shared" si="25"/>
        <v>30204.427853999998</v>
      </c>
      <c r="O534" t="str">
        <f t="shared" si="26"/>
        <v>FJERN</v>
      </c>
      <c r="P534" s="1" t="s">
        <v>5649</v>
      </c>
    </row>
    <row r="535" spans="1:16" ht="15" customHeight="1" x14ac:dyDescent="0.2">
      <c r="A535" s="1" t="s">
        <v>1481</v>
      </c>
      <c r="B535" s="1" t="s">
        <v>1482</v>
      </c>
      <c r="C535" s="1" t="s">
        <v>2</v>
      </c>
      <c r="D535" s="1" t="s">
        <v>3</v>
      </c>
      <c r="E535" s="5">
        <v>35017</v>
      </c>
      <c r="F535" s="5">
        <v>38121</v>
      </c>
      <c r="G535" s="2"/>
      <c r="H535" s="1" t="s">
        <v>4</v>
      </c>
      <c r="I535" s="2"/>
      <c r="J535" s="1" t="s">
        <v>23</v>
      </c>
      <c r="K535" s="1" t="s">
        <v>1483</v>
      </c>
      <c r="L535" s="2"/>
      <c r="M535" t="str">
        <f t="shared" si="24"/>
        <v/>
      </c>
      <c r="N535" t="str">
        <f t="shared" si="25"/>
        <v/>
      </c>
      <c r="O535" t="str">
        <f t="shared" si="26"/>
        <v>FJERN</v>
      </c>
      <c r="P535" s="1" t="s">
        <v>5650</v>
      </c>
    </row>
    <row r="536" spans="1:16" ht="15" customHeight="1" x14ac:dyDescent="0.2">
      <c r="A536" s="1" t="s">
        <v>1484</v>
      </c>
      <c r="B536" s="1" t="s">
        <v>1485</v>
      </c>
      <c r="C536" s="1" t="s">
        <v>9</v>
      </c>
      <c r="D536" s="1" t="s">
        <v>3</v>
      </c>
      <c r="E536" s="5">
        <v>36326</v>
      </c>
      <c r="F536" s="5">
        <v>46155</v>
      </c>
      <c r="G536" s="2">
        <v>27.3842</v>
      </c>
      <c r="H536" s="1" t="s">
        <v>10</v>
      </c>
      <c r="I536" s="2">
        <v>1233.2301184</v>
      </c>
      <c r="J536" s="1" t="s">
        <v>5</v>
      </c>
      <c r="K536" s="1" t="s">
        <v>1486</v>
      </c>
      <c r="L536" s="2">
        <v>55796.68</v>
      </c>
      <c r="M536">
        <f t="shared" si="24"/>
        <v>1527947.4444560001</v>
      </c>
      <c r="N536">
        <f t="shared" si="25"/>
        <v>135216.58800495576</v>
      </c>
      <c r="O536" t="str">
        <f t="shared" si="26"/>
        <v>BEHOLD</v>
      </c>
      <c r="P536" s="1" t="s">
        <v>5651</v>
      </c>
    </row>
    <row r="537" spans="1:16" ht="15" customHeight="1" x14ac:dyDescent="0.2">
      <c r="A537" s="1" t="s">
        <v>1487</v>
      </c>
      <c r="B537" s="1" t="s">
        <v>1488</v>
      </c>
      <c r="C537" s="1" t="s">
        <v>9</v>
      </c>
      <c r="D537" s="1" t="s">
        <v>3</v>
      </c>
      <c r="E537" s="5">
        <v>36328</v>
      </c>
      <c r="F537" s="5">
        <v>36566</v>
      </c>
      <c r="G537" s="2"/>
      <c r="H537" s="1" t="s">
        <v>10</v>
      </c>
      <c r="I537" s="2"/>
      <c r="J537" s="1" t="s">
        <v>38</v>
      </c>
      <c r="K537" s="1"/>
      <c r="L537" s="2"/>
      <c r="M537" t="str">
        <f t="shared" si="24"/>
        <v/>
      </c>
      <c r="N537" t="str">
        <f t="shared" si="25"/>
        <v/>
      </c>
      <c r="O537" t="str">
        <f t="shared" si="26"/>
        <v>FJERN</v>
      </c>
      <c r="P537" s="1"/>
    </row>
    <row r="538" spans="1:16" ht="15" customHeight="1" x14ac:dyDescent="0.2">
      <c r="A538" s="1" t="s">
        <v>1489</v>
      </c>
      <c r="B538" s="1" t="s">
        <v>1490</v>
      </c>
      <c r="C538" s="1" t="s">
        <v>9</v>
      </c>
      <c r="D538" s="1" t="s">
        <v>3</v>
      </c>
      <c r="E538" s="5">
        <v>36328</v>
      </c>
      <c r="F538" s="5">
        <v>41108</v>
      </c>
      <c r="G538" s="2">
        <v>0.45374199999999998</v>
      </c>
      <c r="H538" s="1" t="s">
        <v>10</v>
      </c>
      <c r="I538" s="2"/>
      <c r="J538" s="1" t="s">
        <v>76</v>
      </c>
      <c r="K538" s="1" t="s">
        <v>1491</v>
      </c>
      <c r="L538" s="2">
        <v>10937.21</v>
      </c>
      <c r="M538">
        <f t="shared" si="24"/>
        <v>4962.6715398199995</v>
      </c>
      <c r="N538">
        <f t="shared" si="25"/>
        <v>439.17447255044237</v>
      </c>
      <c r="O538" t="str">
        <f t="shared" si="26"/>
        <v>FJERN</v>
      </c>
      <c r="P538" s="1"/>
    </row>
    <row r="539" spans="1:16" ht="15" customHeight="1" x14ac:dyDescent="0.2">
      <c r="A539" s="1" t="s">
        <v>1492</v>
      </c>
      <c r="B539" s="1" t="s">
        <v>1493</v>
      </c>
      <c r="C539" s="1" t="s">
        <v>2</v>
      </c>
      <c r="D539" s="1" t="s">
        <v>3</v>
      </c>
      <c r="E539" s="5">
        <v>32231</v>
      </c>
      <c r="F539" s="5">
        <v>46155</v>
      </c>
      <c r="G539" s="2">
        <v>3013.1759999999999</v>
      </c>
      <c r="H539" s="1" t="s">
        <v>4</v>
      </c>
      <c r="I539" s="2">
        <v>1278.32</v>
      </c>
      <c r="J539" s="1" t="s">
        <v>15</v>
      </c>
      <c r="K539" s="1" t="s">
        <v>1494</v>
      </c>
      <c r="L539" s="2">
        <v>26.311859999999999</v>
      </c>
      <c r="M539">
        <f t="shared" si="24"/>
        <v>79282.26506736</v>
      </c>
      <c r="N539">
        <f t="shared" si="25"/>
        <v>10641.914774142282</v>
      </c>
      <c r="O539" t="str">
        <f t="shared" si="26"/>
        <v>FJERN</v>
      </c>
      <c r="P539" s="1" t="s">
        <v>5652</v>
      </c>
    </row>
    <row r="540" spans="1:16" ht="15" customHeight="1" x14ac:dyDescent="0.2">
      <c r="A540" s="1" t="s">
        <v>1495</v>
      </c>
      <c r="B540" s="1" t="s">
        <v>1496</v>
      </c>
      <c r="C540" s="1" t="s">
        <v>9</v>
      </c>
      <c r="D540" s="1" t="s">
        <v>3</v>
      </c>
      <c r="E540" s="5">
        <v>36336</v>
      </c>
      <c r="F540" s="5">
        <v>41915</v>
      </c>
      <c r="G540" s="2">
        <v>19.343019999999999</v>
      </c>
      <c r="H540" s="1" t="s">
        <v>10</v>
      </c>
      <c r="I540" s="2"/>
      <c r="J540" s="1" t="s">
        <v>236</v>
      </c>
      <c r="K540" s="1" t="s">
        <v>1497</v>
      </c>
      <c r="L540" s="2">
        <v>50690.62</v>
      </c>
      <c r="M540">
        <f t="shared" si="24"/>
        <v>980509.67647239997</v>
      </c>
      <c r="N540">
        <f t="shared" si="25"/>
        <v>86770.767829415927</v>
      </c>
      <c r="O540" t="str">
        <f t="shared" si="26"/>
        <v>FJERN</v>
      </c>
      <c r="P540" s="1" t="s">
        <v>5653</v>
      </c>
    </row>
    <row r="541" spans="1:16" ht="15" customHeight="1" x14ac:dyDescent="0.2">
      <c r="A541" s="1" t="s">
        <v>1498</v>
      </c>
      <c r="B541" s="1" t="s">
        <v>1499</v>
      </c>
      <c r="C541" s="1" t="s">
        <v>9</v>
      </c>
      <c r="D541" s="1" t="s">
        <v>3</v>
      </c>
      <c r="E541" s="5">
        <v>36341</v>
      </c>
      <c r="F541" s="5">
        <v>46155</v>
      </c>
      <c r="G541" s="2">
        <v>32.364989999999999</v>
      </c>
      <c r="H541" s="1" t="s">
        <v>10</v>
      </c>
      <c r="I541" s="2">
        <v>862.84</v>
      </c>
      <c r="J541" s="1" t="s">
        <v>236</v>
      </c>
      <c r="K541" s="1" t="s">
        <v>1500</v>
      </c>
      <c r="L541" s="2">
        <v>9928.5280000000002</v>
      </c>
      <c r="M541">
        <f t="shared" si="24"/>
        <v>321336.70943471999</v>
      </c>
      <c r="N541">
        <f t="shared" si="25"/>
        <v>28436.876941125662</v>
      </c>
      <c r="O541" t="str">
        <f t="shared" si="26"/>
        <v>FJERN</v>
      </c>
      <c r="P541" s="1" t="s">
        <v>5654</v>
      </c>
    </row>
    <row r="542" spans="1:16" ht="15" customHeight="1" x14ac:dyDescent="0.2">
      <c r="A542" s="1" t="s">
        <v>1501</v>
      </c>
      <c r="B542" s="1" t="s">
        <v>1502</v>
      </c>
      <c r="C542" s="1" t="s">
        <v>2</v>
      </c>
      <c r="D542" s="1" t="s">
        <v>3</v>
      </c>
      <c r="E542" s="5">
        <v>32930</v>
      </c>
      <c r="F542" s="5">
        <v>46155</v>
      </c>
      <c r="G542" s="2">
        <v>190.20419999999999</v>
      </c>
      <c r="H542" s="1" t="s">
        <v>4</v>
      </c>
      <c r="I542" s="2">
        <v>4007.9005200000001</v>
      </c>
      <c r="J542" s="1" t="s">
        <v>11</v>
      </c>
      <c r="K542" s="1" t="s">
        <v>1503</v>
      </c>
      <c r="L542" s="2">
        <v>2966.6689999999999</v>
      </c>
      <c r="M542">
        <f t="shared" si="24"/>
        <v>564272.90380979993</v>
      </c>
      <c r="N542">
        <f t="shared" si="25"/>
        <v>75741.329370442938</v>
      </c>
      <c r="O542" t="str">
        <f t="shared" si="26"/>
        <v>FJERN</v>
      </c>
      <c r="P542" s="1" t="s">
        <v>5655</v>
      </c>
    </row>
    <row r="543" spans="1:16" ht="15" customHeight="1" x14ac:dyDescent="0.2">
      <c r="A543" s="1" t="s">
        <v>1504</v>
      </c>
      <c r="B543" s="1" t="s">
        <v>1505</v>
      </c>
      <c r="C543" s="1" t="s">
        <v>2</v>
      </c>
      <c r="D543" s="1" t="s">
        <v>3</v>
      </c>
      <c r="E543" s="5">
        <v>32448</v>
      </c>
      <c r="F543" s="5">
        <v>45280</v>
      </c>
      <c r="G543" s="2">
        <v>242.77430000000001</v>
      </c>
      <c r="H543" s="1" t="s">
        <v>4</v>
      </c>
      <c r="I543" s="2"/>
      <c r="J543" s="1" t="s">
        <v>19</v>
      </c>
      <c r="K543" s="1" t="s">
        <v>1506</v>
      </c>
      <c r="L543" s="2">
        <v>4845.5590000000002</v>
      </c>
      <c r="M543">
        <f t="shared" si="24"/>
        <v>1176377.1943337</v>
      </c>
      <c r="N543">
        <f t="shared" si="25"/>
        <v>157902.97910519462</v>
      </c>
      <c r="O543" t="str">
        <f t="shared" si="26"/>
        <v>BEHOLD</v>
      </c>
      <c r="P543" s="1" t="s">
        <v>5656</v>
      </c>
    </row>
    <row r="544" spans="1:16" ht="15" customHeight="1" x14ac:dyDescent="0.2">
      <c r="A544" s="1" t="s">
        <v>1507</v>
      </c>
      <c r="B544" s="1" t="s">
        <v>1508</v>
      </c>
      <c r="C544" s="1" t="s">
        <v>9</v>
      </c>
      <c r="D544" s="1" t="s">
        <v>3</v>
      </c>
      <c r="E544" s="5">
        <v>36425</v>
      </c>
      <c r="F544" s="5">
        <v>36706</v>
      </c>
      <c r="G544" s="2"/>
      <c r="H544" s="1" t="s">
        <v>10</v>
      </c>
      <c r="I544" s="2"/>
      <c r="J544" s="1" t="s">
        <v>236</v>
      </c>
      <c r="K544" s="1" t="s">
        <v>1509</v>
      </c>
      <c r="L544" s="2"/>
      <c r="M544" t="str">
        <f t="shared" si="24"/>
        <v/>
      </c>
      <c r="N544" t="str">
        <f t="shared" si="25"/>
        <v/>
      </c>
      <c r="O544" t="str">
        <f t="shared" si="26"/>
        <v>FJERN</v>
      </c>
      <c r="P544" s="1"/>
    </row>
    <row r="545" spans="1:16" ht="15" customHeight="1" x14ac:dyDescent="0.2">
      <c r="A545" s="1" t="s">
        <v>1510</v>
      </c>
      <c r="B545" s="1" t="s">
        <v>1511</v>
      </c>
      <c r="C545" s="1" t="s">
        <v>2</v>
      </c>
      <c r="D545" s="1" t="s">
        <v>3</v>
      </c>
      <c r="E545" s="5">
        <v>33120</v>
      </c>
      <c r="F545" s="5">
        <v>38632</v>
      </c>
      <c r="G545" s="2"/>
      <c r="H545" s="1" t="s">
        <v>4</v>
      </c>
      <c r="I545" s="2"/>
      <c r="J545" s="1" t="s">
        <v>76</v>
      </c>
      <c r="K545" s="1" t="s">
        <v>1512</v>
      </c>
      <c r="L545" s="2"/>
      <c r="M545" t="str">
        <f t="shared" si="24"/>
        <v/>
      </c>
      <c r="N545" t="str">
        <f t="shared" si="25"/>
        <v/>
      </c>
      <c r="O545" t="str">
        <f t="shared" si="26"/>
        <v>FJERN</v>
      </c>
      <c r="P545" s="1" t="s">
        <v>5657</v>
      </c>
    </row>
    <row r="546" spans="1:16" ht="15" customHeight="1" x14ac:dyDescent="0.2">
      <c r="A546" s="1" t="s">
        <v>1513</v>
      </c>
      <c r="B546" s="1" t="s">
        <v>1514</v>
      </c>
      <c r="C546" s="1" t="s">
        <v>2</v>
      </c>
      <c r="D546" s="1" t="s">
        <v>3</v>
      </c>
      <c r="E546" s="5">
        <v>36441</v>
      </c>
      <c r="F546" s="5">
        <v>36881</v>
      </c>
      <c r="G546" s="2"/>
      <c r="H546" s="1" t="s">
        <v>4</v>
      </c>
      <c r="I546" s="2"/>
      <c r="J546" s="1" t="s">
        <v>184</v>
      </c>
      <c r="K546" s="1" t="s">
        <v>1515</v>
      </c>
      <c r="L546" s="2"/>
      <c r="M546" t="str">
        <f t="shared" si="24"/>
        <v/>
      </c>
      <c r="N546" t="str">
        <f t="shared" si="25"/>
        <v/>
      </c>
      <c r="O546" t="str">
        <f t="shared" si="26"/>
        <v>FJERN</v>
      </c>
      <c r="P546" s="1"/>
    </row>
    <row r="547" spans="1:16" ht="15" customHeight="1" x14ac:dyDescent="0.2">
      <c r="A547" s="1" t="s">
        <v>1516</v>
      </c>
      <c r="B547" s="1" t="s">
        <v>1517</v>
      </c>
      <c r="C547" s="1" t="s">
        <v>2</v>
      </c>
      <c r="D547" s="1" t="s">
        <v>3</v>
      </c>
      <c r="E547" s="5">
        <v>33801</v>
      </c>
      <c r="F547" s="5">
        <v>46155</v>
      </c>
      <c r="G547" s="2">
        <v>6.9179719999999998</v>
      </c>
      <c r="H547" s="1" t="s">
        <v>4</v>
      </c>
      <c r="I547" s="2">
        <v>129.5616685</v>
      </c>
      <c r="J547" s="1" t="s">
        <v>61</v>
      </c>
      <c r="K547" s="1" t="s">
        <v>1518</v>
      </c>
      <c r="L547" s="2">
        <v>94977.89</v>
      </c>
      <c r="M547">
        <f t="shared" si="24"/>
        <v>657054.38363907998</v>
      </c>
      <c r="N547">
        <f t="shared" si="25"/>
        <v>88195.219280413425</v>
      </c>
      <c r="O547" t="str">
        <f t="shared" si="26"/>
        <v>FJERN</v>
      </c>
      <c r="P547" s="1" t="s">
        <v>5658</v>
      </c>
    </row>
    <row r="548" spans="1:16" ht="15" customHeight="1" x14ac:dyDescent="0.2">
      <c r="A548" s="1" t="s">
        <v>1519</v>
      </c>
      <c r="B548" s="1" t="s">
        <v>1520</v>
      </c>
      <c r="C548" s="1" t="s">
        <v>9</v>
      </c>
      <c r="D548" s="1" t="s">
        <v>3</v>
      </c>
      <c r="E548" s="5">
        <v>36451</v>
      </c>
      <c r="F548" s="5">
        <v>37888</v>
      </c>
      <c r="G548" s="2"/>
      <c r="H548" s="1" t="s">
        <v>10</v>
      </c>
      <c r="I548" s="2"/>
      <c r="J548" s="1" t="s">
        <v>64</v>
      </c>
      <c r="K548" s="1" t="s">
        <v>1521</v>
      </c>
      <c r="L548" s="2"/>
      <c r="M548" t="str">
        <f t="shared" si="24"/>
        <v/>
      </c>
      <c r="N548" t="str">
        <f t="shared" si="25"/>
        <v/>
      </c>
      <c r="O548" t="str">
        <f t="shared" si="26"/>
        <v>FJERN</v>
      </c>
      <c r="P548" s="1" t="s">
        <v>5659</v>
      </c>
    </row>
    <row r="549" spans="1:16" ht="15" customHeight="1" x14ac:dyDescent="0.2">
      <c r="A549" s="1" t="s">
        <v>1522</v>
      </c>
      <c r="B549" s="1" t="s">
        <v>1523</v>
      </c>
      <c r="C549" s="1" t="s">
        <v>9</v>
      </c>
      <c r="D549" s="1" t="s">
        <v>3</v>
      </c>
      <c r="E549" s="5">
        <v>36598</v>
      </c>
      <c r="F549" s="5">
        <v>46155</v>
      </c>
      <c r="G549" s="2">
        <v>39.452559999999998</v>
      </c>
      <c r="H549" s="1" t="s">
        <v>10</v>
      </c>
      <c r="I549" s="2">
        <v>1145.041048</v>
      </c>
      <c r="J549" s="1" t="s">
        <v>289</v>
      </c>
      <c r="K549" s="1" t="s">
        <v>1524</v>
      </c>
      <c r="L549" s="2">
        <v>24711.18</v>
      </c>
      <c r="M549">
        <f t="shared" si="24"/>
        <v>974919.31162079994</v>
      </c>
      <c r="N549">
        <f t="shared" si="25"/>
        <v>86276.045276176985</v>
      </c>
      <c r="O549" t="str">
        <f t="shared" si="26"/>
        <v>FJERN</v>
      </c>
      <c r="P549" s="1" t="s">
        <v>5660</v>
      </c>
    </row>
    <row r="550" spans="1:16" ht="15" customHeight="1" x14ac:dyDescent="0.2">
      <c r="A550" s="1" t="s">
        <v>1525</v>
      </c>
      <c r="B550" s="1" t="s">
        <v>1526</v>
      </c>
      <c r="C550" s="1" t="s">
        <v>2</v>
      </c>
      <c r="D550" s="1" t="s">
        <v>3</v>
      </c>
      <c r="E550" s="5">
        <v>38880</v>
      </c>
      <c r="F550" s="5">
        <v>42222</v>
      </c>
      <c r="G550" s="2">
        <v>42.726320000000001</v>
      </c>
      <c r="H550" s="1" t="s">
        <v>4</v>
      </c>
      <c r="I550" s="2"/>
      <c r="J550" s="1" t="s">
        <v>236</v>
      </c>
      <c r="K550" s="1" t="s">
        <v>1527</v>
      </c>
      <c r="L550" s="2">
        <v>20654</v>
      </c>
      <c r="M550">
        <f t="shared" si="24"/>
        <v>882469.41327999998</v>
      </c>
      <c r="N550">
        <f t="shared" si="25"/>
        <v>118452.27023892617</v>
      </c>
      <c r="O550" t="str">
        <f t="shared" si="26"/>
        <v>BEHOLD</v>
      </c>
      <c r="P550" s="1" t="s">
        <v>5661</v>
      </c>
    </row>
    <row r="551" spans="1:16" ht="15" customHeight="1" x14ac:dyDescent="0.2">
      <c r="A551" s="1" t="s">
        <v>1528</v>
      </c>
      <c r="B551" s="1" t="s">
        <v>1529</v>
      </c>
      <c r="C551" s="1" t="s">
        <v>2</v>
      </c>
      <c r="D551" s="1" t="s">
        <v>3</v>
      </c>
      <c r="E551" s="5">
        <v>36495</v>
      </c>
      <c r="F551" s="5">
        <v>37469</v>
      </c>
      <c r="G551" s="2"/>
      <c r="H551" s="1" t="s">
        <v>4</v>
      </c>
      <c r="I551" s="2"/>
      <c r="J551" s="1" t="s">
        <v>236</v>
      </c>
      <c r="K551" s="1" t="s">
        <v>1530</v>
      </c>
      <c r="L551" s="2"/>
      <c r="M551" t="str">
        <f t="shared" si="24"/>
        <v/>
      </c>
      <c r="N551" t="str">
        <f t="shared" si="25"/>
        <v/>
      </c>
      <c r="O551" t="str">
        <f t="shared" si="26"/>
        <v>FJERN</v>
      </c>
      <c r="P551" s="1"/>
    </row>
    <row r="552" spans="1:16" ht="15" customHeight="1" x14ac:dyDescent="0.2">
      <c r="A552" s="1" t="s">
        <v>1531</v>
      </c>
      <c r="B552" s="1" t="s">
        <v>1532</v>
      </c>
      <c r="C552" s="1" t="s">
        <v>9</v>
      </c>
      <c r="D552" s="1" t="s">
        <v>3</v>
      </c>
      <c r="E552" s="5">
        <v>36552</v>
      </c>
      <c r="F552" s="5">
        <v>37204</v>
      </c>
      <c r="G552" s="2"/>
      <c r="H552" s="1" t="s">
        <v>10</v>
      </c>
      <c r="I552" s="2"/>
      <c r="J552" s="1" t="s">
        <v>184</v>
      </c>
      <c r="K552" s="1"/>
      <c r="L552" s="2"/>
      <c r="M552" t="str">
        <f t="shared" si="24"/>
        <v/>
      </c>
      <c r="N552" t="str">
        <f t="shared" si="25"/>
        <v/>
      </c>
      <c r="O552" t="str">
        <f t="shared" si="26"/>
        <v>FJERN</v>
      </c>
      <c r="P552" s="1"/>
    </row>
    <row r="553" spans="1:16" ht="15" customHeight="1" x14ac:dyDescent="0.2">
      <c r="A553" s="1" t="s">
        <v>1533</v>
      </c>
      <c r="B553" s="1" t="s">
        <v>1534</v>
      </c>
      <c r="C553" s="1" t="s">
        <v>2</v>
      </c>
      <c r="D553" s="1" t="s">
        <v>3</v>
      </c>
      <c r="E553" s="5">
        <v>36514</v>
      </c>
      <c r="F553" s="5">
        <v>42859</v>
      </c>
      <c r="G553" s="2">
        <v>15.826750000000001</v>
      </c>
      <c r="H553" s="1" t="s">
        <v>4</v>
      </c>
      <c r="I553" s="2"/>
      <c r="J553" s="1" t="s">
        <v>76</v>
      </c>
      <c r="K553" s="1" t="s">
        <v>1535</v>
      </c>
      <c r="L553" s="2">
        <v>1313.104</v>
      </c>
      <c r="M553">
        <f t="shared" si="24"/>
        <v>20782.168732000002</v>
      </c>
      <c r="N553">
        <f t="shared" si="25"/>
        <v>2789.5528499328861</v>
      </c>
      <c r="O553" t="str">
        <f t="shared" si="26"/>
        <v>FJERN</v>
      </c>
      <c r="P553" s="1" t="s">
        <v>5662</v>
      </c>
    </row>
    <row r="554" spans="1:16" ht="15" customHeight="1" x14ac:dyDescent="0.2">
      <c r="A554" s="1" t="s">
        <v>1536</v>
      </c>
      <c r="B554" s="1" t="s">
        <v>1537</v>
      </c>
      <c r="C554" s="1" t="s">
        <v>9</v>
      </c>
      <c r="D554" s="1" t="s">
        <v>3</v>
      </c>
      <c r="E554" s="5">
        <v>36502</v>
      </c>
      <c r="F554" s="5">
        <v>37193</v>
      </c>
      <c r="G554" s="2"/>
      <c r="H554" s="1" t="s">
        <v>10</v>
      </c>
      <c r="I554" s="2"/>
      <c r="J554" s="1" t="s">
        <v>236</v>
      </c>
      <c r="K554" s="1" t="s">
        <v>1538</v>
      </c>
      <c r="L554" s="2"/>
      <c r="M554" t="str">
        <f t="shared" si="24"/>
        <v/>
      </c>
      <c r="N554" t="str">
        <f t="shared" si="25"/>
        <v/>
      </c>
      <c r="O554" t="str">
        <f t="shared" si="26"/>
        <v>FJERN</v>
      </c>
      <c r="P554" s="1"/>
    </row>
    <row r="555" spans="1:16" ht="15" customHeight="1" x14ac:dyDescent="0.2">
      <c r="A555" s="1" t="s">
        <v>1539</v>
      </c>
      <c r="B555" s="1" t="s">
        <v>1540</v>
      </c>
      <c r="C555" s="1" t="s">
        <v>2</v>
      </c>
      <c r="D555" s="1" t="s">
        <v>3</v>
      </c>
      <c r="E555" s="5">
        <v>34100</v>
      </c>
      <c r="F555" s="5">
        <v>37427</v>
      </c>
      <c r="G555" s="2"/>
      <c r="H555" s="1" t="s">
        <v>4</v>
      </c>
      <c r="I555" s="2"/>
      <c r="J555" s="1" t="s">
        <v>86</v>
      </c>
      <c r="K555" s="1" t="s">
        <v>1541</v>
      </c>
      <c r="L555" s="2"/>
      <c r="M555" t="str">
        <f t="shared" si="24"/>
        <v/>
      </c>
      <c r="N555" t="str">
        <f t="shared" si="25"/>
        <v/>
      </c>
      <c r="O555" t="str">
        <f t="shared" si="26"/>
        <v>FJERN</v>
      </c>
      <c r="P555" s="1"/>
    </row>
    <row r="556" spans="1:16" ht="15" customHeight="1" x14ac:dyDescent="0.2">
      <c r="A556" s="1" t="s">
        <v>1542</v>
      </c>
      <c r="B556" s="1" t="s">
        <v>1543</v>
      </c>
      <c r="C556" s="1" t="s">
        <v>9</v>
      </c>
      <c r="D556" s="1" t="s">
        <v>3</v>
      </c>
      <c r="E556" s="5">
        <v>34096</v>
      </c>
      <c r="F556" s="5">
        <v>38036</v>
      </c>
      <c r="G556" s="2"/>
      <c r="H556" s="1" t="s">
        <v>10</v>
      </c>
      <c r="I556" s="2"/>
      <c r="J556" s="1" t="s">
        <v>30</v>
      </c>
      <c r="K556" s="1" t="s">
        <v>1544</v>
      </c>
      <c r="L556" s="2"/>
      <c r="M556" t="str">
        <f t="shared" si="24"/>
        <v/>
      </c>
      <c r="N556" t="str">
        <f t="shared" si="25"/>
        <v/>
      </c>
      <c r="O556" t="str">
        <f t="shared" si="26"/>
        <v>FJERN</v>
      </c>
      <c r="P556" s="1" t="s">
        <v>5663</v>
      </c>
    </row>
    <row r="557" spans="1:16" ht="15" customHeight="1" x14ac:dyDescent="0.2">
      <c r="A557" s="1" t="s">
        <v>1545</v>
      </c>
      <c r="B557" s="1" t="s">
        <v>1546</v>
      </c>
      <c r="C557" s="1" t="s">
        <v>9</v>
      </c>
      <c r="D557" s="1" t="s">
        <v>3</v>
      </c>
      <c r="E557" s="5">
        <v>35975</v>
      </c>
      <c r="F557" s="5">
        <v>37309</v>
      </c>
      <c r="G557" s="2"/>
      <c r="H557" s="1" t="s">
        <v>10</v>
      </c>
      <c r="I557" s="2"/>
      <c r="J557" s="1" t="s">
        <v>289</v>
      </c>
      <c r="K557" s="1" t="s">
        <v>1547</v>
      </c>
      <c r="L557" s="2"/>
      <c r="M557" t="str">
        <f t="shared" si="24"/>
        <v/>
      </c>
      <c r="N557" t="str">
        <f t="shared" si="25"/>
        <v/>
      </c>
      <c r="O557" t="str">
        <f t="shared" si="26"/>
        <v>FJERN</v>
      </c>
      <c r="P557" s="1" t="s">
        <v>5664</v>
      </c>
    </row>
    <row r="558" spans="1:16" ht="15" customHeight="1" x14ac:dyDescent="0.2">
      <c r="A558" s="1" t="s">
        <v>1548</v>
      </c>
      <c r="B558" s="1" t="s">
        <v>1549</v>
      </c>
      <c r="C558" s="1" t="s">
        <v>9</v>
      </c>
      <c r="D558" s="1" t="s">
        <v>3</v>
      </c>
      <c r="E558" s="5">
        <v>36845</v>
      </c>
      <c r="F558" s="5">
        <v>46155</v>
      </c>
      <c r="G558" s="2">
        <v>16.874040000000001</v>
      </c>
      <c r="H558" s="1" t="s">
        <v>10</v>
      </c>
      <c r="I558" s="2">
        <v>185.3495844</v>
      </c>
      <c r="J558" s="1" t="s">
        <v>236</v>
      </c>
      <c r="K558" s="1" t="s">
        <v>1550</v>
      </c>
      <c r="L558" s="2">
        <v>4897.6170000000002</v>
      </c>
      <c r="M558">
        <f t="shared" si="24"/>
        <v>82642.585162680014</v>
      </c>
      <c r="N558">
        <f t="shared" si="25"/>
        <v>7313.5031117415938</v>
      </c>
      <c r="O558" t="str">
        <f t="shared" si="26"/>
        <v>FJERN</v>
      </c>
      <c r="P558" s="1" t="s">
        <v>5665</v>
      </c>
    </row>
    <row r="559" spans="1:16" ht="15" customHeight="1" x14ac:dyDescent="0.2">
      <c r="A559" s="1" t="s">
        <v>1551</v>
      </c>
      <c r="B559" s="1" t="s">
        <v>1552</v>
      </c>
      <c r="C559" s="1" t="s">
        <v>9</v>
      </c>
      <c r="D559" s="1" t="s">
        <v>3</v>
      </c>
      <c r="E559" s="5">
        <v>36718</v>
      </c>
      <c r="F559" s="5">
        <v>46155</v>
      </c>
      <c r="G559" s="2">
        <v>3.3760400000000002</v>
      </c>
      <c r="H559" s="1" t="s">
        <v>10</v>
      </c>
      <c r="I559" s="2">
        <v>192.25096192000001</v>
      </c>
      <c r="J559" s="1" t="s">
        <v>11</v>
      </c>
      <c r="K559" s="1" t="s">
        <v>1553</v>
      </c>
      <c r="L559" s="2">
        <v>14148.35</v>
      </c>
      <c r="M559">
        <f t="shared" si="24"/>
        <v>47765.395534000003</v>
      </c>
      <c r="N559">
        <f t="shared" si="25"/>
        <v>4227.0261534513274</v>
      </c>
      <c r="O559" t="str">
        <f t="shared" si="26"/>
        <v>FJERN</v>
      </c>
      <c r="P559" s="1" t="s">
        <v>5666</v>
      </c>
    </row>
    <row r="560" spans="1:16" ht="15" customHeight="1" x14ac:dyDescent="0.2">
      <c r="A560" s="1" t="s">
        <v>1554</v>
      </c>
      <c r="B560" s="1" t="s">
        <v>1555</v>
      </c>
      <c r="C560" s="1" t="s">
        <v>9</v>
      </c>
      <c r="D560" s="1" t="s">
        <v>3</v>
      </c>
      <c r="E560" s="5">
        <v>36644</v>
      </c>
      <c r="F560" s="5">
        <v>38077</v>
      </c>
      <c r="G560" s="2"/>
      <c r="H560" s="1" t="s">
        <v>10</v>
      </c>
      <c r="I560" s="2"/>
      <c r="J560" s="1" t="s">
        <v>391</v>
      </c>
      <c r="K560" s="1" t="s">
        <v>1556</v>
      </c>
      <c r="L560" s="2"/>
      <c r="M560" t="str">
        <f t="shared" si="24"/>
        <v/>
      </c>
      <c r="N560" t="str">
        <f t="shared" si="25"/>
        <v/>
      </c>
      <c r="O560" t="str">
        <f t="shared" si="26"/>
        <v>FJERN</v>
      </c>
      <c r="P560" s="1"/>
    </row>
    <row r="561" spans="1:16" ht="15" customHeight="1" x14ac:dyDescent="0.2">
      <c r="A561" s="1" t="s">
        <v>1557</v>
      </c>
      <c r="B561" s="1" t="s">
        <v>1558</v>
      </c>
      <c r="C561" s="1" t="s">
        <v>9</v>
      </c>
      <c r="D561" s="1" t="s">
        <v>3</v>
      </c>
      <c r="E561" s="5">
        <v>36602</v>
      </c>
      <c r="F561" s="5">
        <v>37287</v>
      </c>
      <c r="G561" s="2"/>
      <c r="H561" s="1" t="s">
        <v>10</v>
      </c>
      <c r="I561" s="2"/>
      <c r="J561" s="1" t="s">
        <v>11</v>
      </c>
      <c r="K561" s="1"/>
      <c r="L561" s="2"/>
      <c r="M561" t="str">
        <f t="shared" si="24"/>
        <v/>
      </c>
      <c r="N561" t="str">
        <f t="shared" si="25"/>
        <v/>
      </c>
      <c r="O561" t="str">
        <f t="shared" si="26"/>
        <v>FJERN</v>
      </c>
      <c r="P561" s="1"/>
    </row>
    <row r="562" spans="1:16" ht="15" customHeight="1" x14ac:dyDescent="0.2">
      <c r="A562" s="1" t="s">
        <v>1559</v>
      </c>
      <c r="B562" s="1" t="s">
        <v>1560</v>
      </c>
      <c r="C562" s="1" t="s">
        <v>9</v>
      </c>
      <c r="D562" s="1" t="s">
        <v>3</v>
      </c>
      <c r="E562" s="5">
        <v>36592</v>
      </c>
      <c r="F562" s="5">
        <v>37209</v>
      </c>
      <c r="G562" s="2"/>
      <c r="H562" s="1" t="s">
        <v>10</v>
      </c>
      <c r="I562" s="2"/>
      <c r="J562" s="1" t="s">
        <v>236</v>
      </c>
      <c r="K562" s="1"/>
      <c r="L562" s="2"/>
      <c r="M562" t="str">
        <f t="shared" si="24"/>
        <v/>
      </c>
      <c r="N562" t="str">
        <f t="shared" si="25"/>
        <v/>
      </c>
      <c r="O562" t="str">
        <f t="shared" si="26"/>
        <v>FJERN</v>
      </c>
      <c r="P562" s="1"/>
    </row>
    <row r="563" spans="1:16" ht="15" customHeight="1" x14ac:dyDescent="0.2">
      <c r="A563" s="1" t="s">
        <v>1561</v>
      </c>
      <c r="B563" s="1" t="s">
        <v>1562</v>
      </c>
      <c r="C563" s="1" t="s">
        <v>2</v>
      </c>
      <c r="D563" s="1" t="s">
        <v>3</v>
      </c>
      <c r="E563" s="5">
        <v>33452</v>
      </c>
      <c r="F563" s="5">
        <v>46155</v>
      </c>
      <c r="G563" s="2">
        <v>0.80776700000000001</v>
      </c>
      <c r="H563" s="1" t="s">
        <v>4</v>
      </c>
      <c r="I563" s="2">
        <v>354.76</v>
      </c>
      <c r="J563" s="1" t="s">
        <v>167</v>
      </c>
      <c r="K563" s="1" t="s">
        <v>1563</v>
      </c>
      <c r="L563" s="2">
        <v>265723.7</v>
      </c>
      <c r="M563">
        <f t="shared" si="24"/>
        <v>214642.83597790002</v>
      </c>
      <c r="N563">
        <f t="shared" si="25"/>
        <v>28811.118923208054</v>
      </c>
      <c r="O563" t="str">
        <f t="shared" si="26"/>
        <v>FJERN</v>
      </c>
      <c r="P563" s="1" t="s">
        <v>5667</v>
      </c>
    </row>
    <row r="564" spans="1:16" ht="15" customHeight="1" x14ac:dyDescent="0.2">
      <c r="A564" s="1" t="s">
        <v>1564</v>
      </c>
      <c r="B564" s="1" t="s">
        <v>1565</v>
      </c>
      <c r="C564" s="1" t="s">
        <v>9</v>
      </c>
      <c r="D564" s="1" t="s">
        <v>3</v>
      </c>
      <c r="E564" s="5">
        <v>36630</v>
      </c>
      <c r="F564" s="5">
        <v>42950</v>
      </c>
      <c r="G564" s="2">
        <v>1.537053</v>
      </c>
      <c r="H564" s="1" t="s">
        <v>10</v>
      </c>
      <c r="I564" s="2"/>
      <c r="J564" s="1" t="s">
        <v>176</v>
      </c>
      <c r="K564" s="1" t="s">
        <v>1566</v>
      </c>
      <c r="L564" s="2">
        <v>289184</v>
      </c>
      <c r="M564">
        <f t="shared" si="24"/>
        <v>444491.13475199998</v>
      </c>
      <c r="N564">
        <f t="shared" si="25"/>
        <v>39335.498650619462</v>
      </c>
      <c r="O564" t="str">
        <f t="shared" si="26"/>
        <v>FJERN</v>
      </c>
      <c r="P564" s="1" t="s">
        <v>5668</v>
      </c>
    </row>
    <row r="565" spans="1:16" ht="15" customHeight="1" x14ac:dyDescent="0.2">
      <c r="A565" s="1" t="s">
        <v>1567</v>
      </c>
      <c r="B565" s="1" t="s">
        <v>1568</v>
      </c>
      <c r="C565" s="1" t="s">
        <v>2</v>
      </c>
      <c r="D565" s="1" t="s">
        <v>3</v>
      </c>
      <c r="E565" s="5">
        <v>33137</v>
      </c>
      <c r="F565" s="5">
        <v>38313</v>
      </c>
      <c r="G565" s="2"/>
      <c r="H565" s="1" t="s">
        <v>4</v>
      </c>
      <c r="I565" s="2"/>
      <c r="J565" s="1" t="s">
        <v>184</v>
      </c>
      <c r="K565" s="1" t="s">
        <v>1569</v>
      </c>
      <c r="L565" s="2"/>
      <c r="M565" t="str">
        <f t="shared" si="24"/>
        <v/>
      </c>
      <c r="N565" t="str">
        <f t="shared" si="25"/>
        <v/>
      </c>
      <c r="O565" t="str">
        <f t="shared" si="26"/>
        <v>FJERN</v>
      </c>
      <c r="P565" s="1" t="s">
        <v>5669</v>
      </c>
    </row>
    <row r="566" spans="1:16" ht="15" customHeight="1" x14ac:dyDescent="0.2">
      <c r="A566" s="1" t="s">
        <v>1570</v>
      </c>
      <c r="B566" s="1" t="s">
        <v>1571</v>
      </c>
      <c r="C566" s="1" t="s">
        <v>9</v>
      </c>
      <c r="D566" s="1" t="s">
        <v>3</v>
      </c>
      <c r="E566" s="5">
        <v>36643</v>
      </c>
      <c r="F566" s="5">
        <v>46076</v>
      </c>
      <c r="G566" s="2">
        <v>1.0698970000000001</v>
      </c>
      <c r="H566" s="1" t="s">
        <v>10</v>
      </c>
      <c r="I566" s="2">
        <v>1879.734907988</v>
      </c>
      <c r="J566" s="1" t="s">
        <v>391</v>
      </c>
      <c r="K566" s="1" t="s">
        <v>1572</v>
      </c>
      <c r="L566" s="2">
        <v>962986.5</v>
      </c>
      <c r="M566">
        <f t="shared" si="24"/>
        <v>1030296.3673905001</v>
      </c>
      <c r="N566">
        <f t="shared" si="25"/>
        <v>91176.669680575229</v>
      </c>
      <c r="O566" t="str">
        <f t="shared" si="26"/>
        <v>FJERN</v>
      </c>
      <c r="P566" s="1" t="s">
        <v>5670</v>
      </c>
    </row>
    <row r="567" spans="1:16" ht="15" customHeight="1" x14ac:dyDescent="0.2">
      <c r="A567" s="1" t="s">
        <v>1573</v>
      </c>
      <c r="B567" s="1" t="s">
        <v>1574</v>
      </c>
      <c r="C567" s="1" t="s">
        <v>9</v>
      </c>
      <c r="D567" s="1" t="s">
        <v>3</v>
      </c>
      <c r="E567" s="5">
        <v>36675</v>
      </c>
      <c r="F567" s="5">
        <v>39681</v>
      </c>
      <c r="G567" s="2"/>
      <c r="H567" s="1" t="s">
        <v>10</v>
      </c>
      <c r="I567" s="2"/>
      <c r="J567" s="1" t="s">
        <v>236</v>
      </c>
      <c r="K567" s="1" t="s">
        <v>1575</v>
      </c>
      <c r="L567" s="2"/>
      <c r="M567" t="str">
        <f t="shared" si="24"/>
        <v/>
      </c>
      <c r="N567" t="str">
        <f t="shared" si="25"/>
        <v/>
      </c>
      <c r="O567" t="str">
        <f t="shared" si="26"/>
        <v>FJERN</v>
      </c>
      <c r="P567" s="1" t="s">
        <v>5671</v>
      </c>
    </row>
    <row r="568" spans="1:16" ht="15" customHeight="1" x14ac:dyDescent="0.2">
      <c r="A568" s="1" t="s">
        <v>1576</v>
      </c>
      <c r="B568" s="1" t="s">
        <v>1577</v>
      </c>
      <c r="C568" s="1" t="s">
        <v>9</v>
      </c>
      <c r="D568" s="1" t="s">
        <v>3</v>
      </c>
      <c r="E568" s="5">
        <v>36620</v>
      </c>
      <c r="F568" s="5">
        <v>40207</v>
      </c>
      <c r="G568" s="2">
        <v>1.4397979999999999</v>
      </c>
      <c r="H568" s="1" t="s">
        <v>10</v>
      </c>
      <c r="I568" s="2"/>
      <c r="J568" s="1" t="s">
        <v>76</v>
      </c>
      <c r="K568" s="1" t="s">
        <v>1578</v>
      </c>
      <c r="L568" s="2">
        <v>41620.35</v>
      </c>
      <c r="M568">
        <f t="shared" si="24"/>
        <v>59924.896689299996</v>
      </c>
      <c r="N568">
        <f t="shared" si="25"/>
        <v>5303.0882025929195</v>
      </c>
      <c r="O568" t="str">
        <f t="shared" si="26"/>
        <v>FJERN</v>
      </c>
      <c r="P568" s="1" t="s">
        <v>5672</v>
      </c>
    </row>
    <row r="569" spans="1:16" ht="15" customHeight="1" x14ac:dyDescent="0.2">
      <c r="A569" s="1" t="s">
        <v>1579</v>
      </c>
      <c r="B569" s="1" t="s">
        <v>1580</v>
      </c>
      <c r="C569" s="1" t="s">
        <v>1581</v>
      </c>
      <c r="D569" s="1" t="s">
        <v>3</v>
      </c>
      <c r="E569" s="5">
        <v>36678</v>
      </c>
      <c r="F569" s="5">
        <v>41228</v>
      </c>
      <c r="G569" s="2">
        <v>3.5953300000000001</v>
      </c>
      <c r="H569" s="1" t="s">
        <v>10</v>
      </c>
      <c r="I569" s="2"/>
      <c r="J569" s="1" t="s">
        <v>23</v>
      </c>
      <c r="K569" s="1" t="s">
        <v>1582</v>
      </c>
      <c r="L569" s="2">
        <v>7991.0469999999996</v>
      </c>
      <c r="M569">
        <f t="shared" si="24"/>
        <v>28730.451010509998</v>
      </c>
      <c r="N569">
        <f t="shared" si="25"/>
        <v>2542.5177885407074</v>
      </c>
      <c r="O569" t="str">
        <f t="shared" si="26"/>
        <v>FJERN</v>
      </c>
      <c r="P569" s="1"/>
    </row>
    <row r="570" spans="1:16" ht="15" customHeight="1" x14ac:dyDescent="0.2">
      <c r="A570" s="1" t="s">
        <v>1583</v>
      </c>
      <c r="B570" s="1" t="s">
        <v>1584</v>
      </c>
      <c r="C570" s="1" t="s">
        <v>9</v>
      </c>
      <c r="D570" s="1" t="s">
        <v>3</v>
      </c>
      <c r="E570" s="5">
        <v>36227</v>
      </c>
      <c r="F570" s="5">
        <v>39563</v>
      </c>
      <c r="G570" s="2"/>
      <c r="H570" s="1" t="s">
        <v>10</v>
      </c>
      <c r="I570" s="2"/>
      <c r="J570" s="1" t="s">
        <v>38</v>
      </c>
      <c r="K570" s="1" t="s">
        <v>1585</v>
      </c>
      <c r="L570" s="2"/>
      <c r="M570" t="str">
        <f t="shared" si="24"/>
        <v/>
      </c>
      <c r="N570" t="str">
        <f t="shared" si="25"/>
        <v/>
      </c>
      <c r="O570" t="str">
        <f t="shared" si="26"/>
        <v>FJERN</v>
      </c>
      <c r="P570" s="1" t="s">
        <v>5673</v>
      </c>
    </row>
    <row r="571" spans="1:16" ht="15" customHeight="1" x14ac:dyDescent="0.2">
      <c r="A571" s="1" t="s">
        <v>1586</v>
      </c>
      <c r="B571" s="1" t="s">
        <v>1587</v>
      </c>
      <c r="C571" s="1" t="s">
        <v>2</v>
      </c>
      <c r="D571" s="1" t="s">
        <v>3</v>
      </c>
      <c r="E571" s="5">
        <v>31049</v>
      </c>
      <c r="F571" s="5">
        <v>38523</v>
      </c>
      <c r="G571" s="2"/>
      <c r="H571" s="1" t="s">
        <v>4</v>
      </c>
      <c r="I571" s="2"/>
      <c r="J571" s="1" t="s">
        <v>289</v>
      </c>
      <c r="K571" s="1" t="s">
        <v>1588</v>
      </c>
      <c r="L571" s="2"/>
      <c r="M571" t="str">
        <f t="shared" si="24"/>
        <v/>
      </c>
      <c r="N571" t="str">
        <f t="shared" si="25"/>
        <v/>
      </c>
      <c r="O571" t="str">
        <f t="shared" si="26"/>
        <v>FJERN</v>
      </c>
      <c r="P571" s="1" t="s">
        <v>5674</v>
      </c>
    </row>
    <row r="572" spans="1:16" ht="15" customHeight="1" x14ac:dyDescent="0.2">
      <c r="A572" s="1" t="s">
        <v>1589</v>
      </c>
      <c r="B572" s="1" t="s">
        <v>1590</v>
      </c>
      <c r="C572" s="1" t="s">
        <v>9</v>
      </c>
      <c r="D572" s="1" t="s">
        <v>3</v>
      </c>
      <c r="E572" s="5">
        <v>31049</v>
      </c>
      <c r="F572" s="5">
        <v>46155</v>
      </c>
      <c r="G572" s="2">
        <v>77.040760000000006</v>
      </c>
      <c r="H572" s="1" t="s">
        <v>10</v>
      </c>
      <c r="I572" s="2">
        <v>302001.46098540002</v>
      </c>
      <c r="J572" s="1" t="s">
        <v>38</v>
      </c>
      <c r="K572" s="1" t="s">
        <v>1591</v>
      </c>
      <c r="L572" s="2">
        <v>9756252</v>
      </c>
      <c r="M572">
        <f t="shared" si="24"/>
        <v>751629068.83152008</v>
      </c>
      <c r="N572">
        <f t="shared" si="25"/>
        <v>66515846.79924956</v>
      </c>
      <c r="O572" t="str">
        <f t="shared" si="26"/>
        <v>BEHOLD</v>
      </c>
      <c r="P572" s="1" t="s">
        <v>5675</v>
      </c>
    </row>
    <row r="573" spans="1:16" ht="15" customHeight="1" x14ac:dyDescent="0.2">
      <c r="A573" s="1" t="s">
        <v>1592</v>
      </c>
      <c r="B573" s="1" t="s">
        <v>1593</v>
      </c>
      <c r="C573" s="1" t="s">
        <v>2</v>
      </c>
      <c r="D573" s="1" t="s">
        <v>3</v>
      </c>
      <c r="E573" s="5">
        <v>35933</v>
      </c>
      <c r="F573" s="5">
        <v>46155</v>
      </c>
      <c r="G573" s="2">
        <v>5.53782</v>
      </c>
      <c r="H573" s="1" t="s">
        <v>4</v>
      </c>
      <c r="I573" s="2">
        <v>1221.9082711200001</v>
      </c>
      <c r="J573" s="1" t="s">
        <v>236</v>
      </c>
      <c r="K573" s="1" t="s">
        <v>1594</v>
      </c>
      <c r="L573" s="2">
        <v>121324.2</v>
      </c>
      <c r="M573">
        <f t="shared" si="24"/>
        <v>671871.581244</v>
      </c>
      <c r="N573">
        <f t="shared" si="25"/>
        <v>90184.104864966444</v>
      </c>
      <c r="O573" t="str">
        <f t="shared" si="26"/>
        <v>FJERN</v>
      </c>
      <c r="P573" s="1" t="s">
        <v>5676</v>
      </c>
    </row>
    <row r="574" spans="1:16" ht="15" customHeight="1" x14ac:dyDescent="0.2">
      <c r="A574" s="1" t="s">
        <v>1595</v>
      </c>
      <c r="B574" s="1" t="s">
        <v>1596</v>
      </c>
      <c r="C574" s="1" t="s">
        <v>9</v>
      </c>
      <c r="D574" s="1" t="s">
        <v>3</v>
      </c>
      <c r="E574" s="5">
        <v>36655</v>
      </c>
      <c r="F574" s="5">
        <v>37386</v>
      </c>
      <c r="G574" s="2"/>
      <c r="H574" s="1" t="s">
        <v>10</v>
      </c>
      <c r="I574" s="2"/>
      <c r="J574" s="1" t="s">
        <v>391</v>
      </c>
      <c r="K574" s="1"/>
      <c r="L574" s="2"/>
      <c r="M574" t="str">
        <f t="shared" si="24"/>
        <v/>
      </c>
      <c r="N574" t="str">
        <f t="shared" si="25"/>
        <v/>
      </c>
      <c r="O574" t="str">
        <f t="shared" si="26"/>
        <v>FJERN</v>
      </c>
      <c r="P574" s="1"/>
    </row>
    <row r="575" spans="1:16" ht="15" customHeight="1" x14ac:dyDescent="0.2">
      <c r="A575" s="1" t="s">
        <v>1597</v>
      </c>
      <c r="B575" s="1" t="s">
        <v>1598</v>
      </c>
      <c r="C575" s="1" t="s">
        <v>2</v>
      </c>
      <c r="D575" s="1" t="s">
        <v>3</v>
      </c>
      <c r="E575" s="5">
        <v>36571</v>
      </c>
      <c r="F575" s="5">
        <v>37455</v>
      </c>
      <c r="G575" s="2"/>
      <c r="H575" s="1" t="s">
        <v>4</v>
      </c>
      <c r="I575" s="2"/>
      <c r="J575" s="1" t="s">
        <v>76</v>
      </c>
      <c r="K575" s="1" t="s">
        <v>1599</v>
      </c>
      <c r="L575" s="2"/>
      <c r="M575" t="str">
        <f t="shared" si="24"/>
        <v/>
      </c>
      <c r="N575" t="str">
        <f t="shared" si="25"/>
        <v/>
      </c>
      <c r="O575" t="str">
        <f t="shared" si="26"/>
        <v>FJERN</v>
      </c>
      <c r="P575" s="1"/>
    </row>
    <row r="576" spans="1:16" ht="15" customHeight="1" x14ac:dyDescent="0.2">
      <c r="A576" s="1" t="s">
        <v>1600</v>
      </c>
      <c r="B576" s="1" t="s">
        <v>1601</v>
      </c>
      <c r="C576" s="1" t="s">
        <v>9</v>
      </c>
      <c r="D576" s="1" t="s">
        <v>3</v>
      </c>
      <c r="E576" s="5">
        <v>36318</v>
      </c>
      <c r="F576" s="5">
        <v>46155</v>
      </c>
      <c r="G576" s="2">
        <v>3.8123849999999999</v>
      </c>
      <c r="H576" s="1" t="s">
        <v>10</v>
      </c>
      <c r="I576" s="2">
        <v>1334.2739552800001</v>
      </c>
      <c r="J576" s="1" t="s">
        <v>38</v>
      </c>
      <c r="K576" s="1" t="s">
        <v>1602</v>
      </c>
      <c r="L576" s="2">
        <v>962474.7</v>
      </c>
      <c r="M576">
        <f t="shared" si="24"/>
        <v>3669324.1091594999</v>
      </c>
      <c r="N576">
        <f t="shared" si="25"/>
        <v>324718.94771323004</v>
      </c>
      <c r="O576" t="str">
        <f t="shared" si="26"/>
        <v>BEHOLD</v>
      </c>
      <c r="P576" s="1" t="s">
        <v>5677</v>
      </c>
    </row>
    <row r="577" spans="1:16" ht="15" customHeight="1" x14ac:dyDescent="0.2">
      <c r="A577" s="1" t="s">
        <v>1603</v>
      </c>
      <c r="B577" s="1" t="s">
        <v>1604</v>
      </c>
      <c r="C577" s="1" t="s">
        <v>9</v>
      </c>
      <c r="D577" s="1" t="s">
        <v>3</v>
      </c>
      <c r="E577" s="5">
        <v>32106</v>
      </c>
      <c r="F577" s="5">
        <v>39045</v>
      </c>
      <c r="G577" s="2"/>
      <c r="H577" s="1" t="s">
        <v>10</v>
      </c>
      <c r="I577" s="2"/>
      <c r="J577" s="1" t="s">
        <v>236</v>
      </c>
      <c r="K577" s="1" t="s">
        <v>1605</v>
      </c>
      <c r="L577" s="2"/>
      <c r="M577" t="str">
        <f t="shared" si="24"/>
        <v/>
      </c>
      <c r="N577" t="str">
        <f t="shared" si="25"/>
        <v/>
      </c>
      <c r="O577" t="str">
        <f t="shared" si="26"/>
        <v>FJERN</v>
      </c>
      <c r="P577" s="1" t="s">
        <v>5678</v>
      </c>
    </row>
    <row r="578" spans="1:16" ht="15" customHeight="1" x14ac:dyDescent="0.2">
      <c r="A578" s="1" t="s">
        <v>1606</v>
      </c>
      <c r="B578" s="1" t="s">
        <v>1607</v>
      </c>
      <c r="C578" s="1" t="s">
        <v>9</v>
      </c>
      <c r="D578" s="1" t="s">
        <v>3</v>
      </c>
      <c r="E578" s="5">
        <v>34696</v>
      </c>
      <c r="F578" s="5">
        <v>37407</v>
      </c>
      <c r="G578" s="2"/>
      <c r="H578" s="1" t="s">
        <v>10</v>
      </c>
      <c r="I578" s="2"/>
      <c r="J578" s="1" t="s">
        <v>236</v>
      </c>
      <c r="K578" s="1" t="s">
        <v>1608</v>
      </c>
      <c r="L578" s="2"/>
      <c r="M578" t="str">
        <f t="shared" si="24"/>
        <v/>
      </c>
      <c r="N578" t="str">
        <f t="shared" si="25"/>
        <v/>
      </c>
      <c r="O578" t="str">
        <f t="shared" si="26"/>
        <v>FJERN</v>
      </c>
      <c r="P578" s="1"/>
    </row>
    <row r="579" spans="1:16" ht="15" customHeight="1" x14ac:dyDescent="0.2">
      <c r="A579" s="1" t="s">
        <v>1609</v>
      </c>
      <c r="B579" s="1" t="s">
        <v>1610</v>
      </c>
      <c r="C579" s="1" t="s">
        <v>9</v>
      </c>
      <c r="D579" s="1" t="s">
        <v>3</v>
      </c>
      <c r="E579" s="5">
        <v>35843</v>
      </c>
      <c r="F579" s="5">
        <v>37908</v>
      </c>
      <c r="G579" s="2"/>
      <c r="H579" s="1" t="s">
        <v>10</v>
      </c>
      <c r="I579" s="2"/>
      <c r="J579" s="1" t="s">
        <v>236</v>
      </c>
      <c r="K579" s="1" t="s">
        <v>1611</v>
      </c>
      <c r="L579" s="2"/>
      <c r="M579" t="str">
        <f t="shared" ref="M579:M642" si="27">IF(OR(G579="",L579=""),"",G579*L579)</f>
        <v/>
      </c>
      <c r="N579" t="str">
        <f t="shared" ref="N579:N642" si="28">IF(M579="","",IF(H579="DKK",M579/7.45,IF(H579="SEK",M579/11.3,M579)))</f>
        <v/>
      </c>
      <c r="O579" t="str">
        <f t="shared" ref="O579:O642" si="29">IF(AND(E579&lt;=DATE(2024,12,31),F579&gt;=DATE(2010,1,1),D579="SHARE",N579&gt;=100000),"BEHOLD","FJERN")</f>
        <v>FJERN</v>
      </c>
      <c r="P579" s="1"/>
    </row>
    <row r="580" spans="1:16" ht="15" customHeight="1" x14ac:dyDescent="0.2">
      <c r="A580" s="1" t="s">
        <v>1612</v>
      </c>
      <c r="B580" s="1" t="s">
        <v>1613</v>
      </c>
      <c r="C580" s="1" t="s">
        <v>9</v>
      </c>
      <c r="D580" s="1" t="s">
        <v>3</v>
      </c>
      <c r="E580" s="5">
        <v>34046</v>
      </c>
      <c r="F580" s="5">
        <v>40786</v>
      </c>
      <c r="G580" s="2">
        <v>4.3626250000000004</v>
      </c>
      <c r="H580" s="1" t="s">
        <v>10</v>
      </c>
      <c r="I580" s="2"/>
      <c r="J580" s="1" t="s">
        <v>328</v>
      </c>
      <c r="K580" s="1" t="s">
        <v>1614</v>
      </c>
      <c r="L580" s="2">
        <v>36248.980000000003</v>
      </c>
      <c r="M580">
        <f t="shared" si="27"/>
        <v>158140.70637250002</v>
      </c>
      <c r="N580">
        <f t="shared" si="28"/>
        <v>13994.752776327434</v>
      </c>
      <c r="O580" t="str">
        <f t="shared" si="29"/>
        <v>FJERN</v>
      </c>
      <c r="P580" s="1" t="s">
        <v>5679</v>
      </c>
    </row>
    <row r="581" spans="1:16" ht="15" customHeight="1" x14ac:dyDescent="0.2">
      <c r="A581" s="1" t="s">
        <v>1615</v>
      </c>
      <c r="B581" s="1" t="s">
        <v>1616</v>
      </c>
      <c r="C581" s="1" t="s">
        <v>9</v>
      </c>
      <c r="D581" s="1" t="s">
        <v>3</v>
      </c>
      <c r="E581" s="5">
        <v>36132</v>
      </c>
      <c r="F581" s="5">
        <v>46155</v>
      </c>
      <c r="G581" s="2">
        <v>13.26779</v>
      </c>
      <c r="H581" s="1" t="s">
        <v>10</v>
      </c>
      <c r="I581" s="2">
        <v>1157.921666</v>
      </c>
      <c r="J581" s="1" t="s">
        <v>236</v>
      </c>
      <c r="K581" s="1" t="s">
        <v>1617</v>
      </c>
      <c r="L581" s="2">
        <v>39581.949999999997</v>
      </c>
      <c r="M581">
        <f t="shared" si="27"/>
        <v>525165.00039049995</v>
      </c>
      <c r="N581">
        <f t="shared" si="28"/>
        <v>46474.778795619459</v>
      </c>
      <c r="O581" t="str">
        <f t="shared" si="29"/>
        <v>FJERN</v>
      </c>
      <c r="P581" s="1" t="s">
        <v>5680</v>
      </c>
    </row>
    <row r="582" spans="1:16" ht="15" customHeight="1" x14ac:dyDescent="0.2">
      <c r="A582" s="1" t="s">
        <v>1618</v>
      </c>
      <c r="B582" s="1" t="s">
        <v>1619</v>
      </c>
      <c r="C582" s="1" t="s">
        <v>9</v>
      </c>
      <c r="D582" s="1" t="s">
        <v>3</v>
      </c>
      <c r="E582" s="5">
        <v>34059</v>
      </c>
      <c r="F582" s="5">
        <v>37750</v>
      </c>
      <c r="G582" s="2"/>
      <c r="H582" s="1" t="s">
        <v>10</v>
      </c>
      <c r="I582" s="2"/>
      <c r="J582" s="1" t="s">
        <v>11</v>
      </c>
      <c r="K582" s="1" t="s">
        <v>1620</v>
      </c>
      <c r="L582" s="2"/>
      <c r="M582" t="str">
        <f t="shared" si="27"/>
        <v/>
      </c>
      <c r="N582" t="str">
        <f t="shared" si="28"/>
        <v/>
      </c>
      <c r="O582" t="str">
        <f t="shared" si="29"/>
        <v>FJERN</v>
      </c>
      <c r="P582" s="1"/>
    </row>
    <row r="583" spans="1:16" ht="15" customHeight="1" x14ac:dyDescent="0.2">
      <c r="A583" s="1" t="s">
        <v>1621</v>
      </c>
      <c r="B583" s="1" t="s">
        <v>1622</v>
      </c>
      <c r="C583" s="1" t="s">
        <v>9</v>
      </c>
      <c r="D583" s="1" t="s">
        <v>3</v>
      </c>
      <c r="E583" s="5">
        <v>36335</v>
      </c>
      <c r="F583" s="5">
        <v>39556</v>
      </c>
      <c r="G583" s="2">
        <v>24.19998</v>
      </c>
      <c r="H583" s="1" t="s">
        <v>10</v>
      </c>
      <c r="I583" s="2"/>
      <c r="J583" s="1" t="s">
        <v>38</v>
      </c>
      <c r="K583" s="1" t="s">
        <v>1623</v>
      </c>
      <c r="L583" s="2">
        <v>0</v>
      </c>
      <c r="M583">
        <f t="shared" si="27"/>
        <v>0</v>
      </c>
      <c r="N583">
        <f t="shared" si="28"/>
        <v>0</v>
      </c>
      <c r="O583" t="str">
        <f t="shared" si="29"/>
        <v>FJERN</v>
      </c>
      <c r="P583" s="1" t="s">
        <v>5681</v>
      </c>
    </row>
    <row r="584" spans="1:16" ht="15" customHeight="1" x14ac:dyDescent="0.2">
      <c r="A584" s="1" t="s">
        <v>1624</v>
      </c>
      <c r="B584" s="1" t="s">
        <v>1625</v>
      </c>
      <c r="C584" s="1" t="s">
        <v>9</v>
      </c>
      <c r="D584" s="1" t="s">
        <v>3</v>
      </c>
      <c r="E584" s="5">
        <v>32968</v>
      </c>
      <c r="F584" s="5">
        <v>41824</v>
      </c>
      <c r="G584" s="2">
        <v>179.57749999999999</v>
      </c>
      <c r="H584" s="1" t="s">
        <v>10</v>
      </c>
      <c r="I584" s="2"/>
      <c r="J584" s="1" t="s">
        <v>122</v>
      </c>
      <c r="K584" s="1" t="s">
        <v>1626</v>
      </c>
      <c r="L584" s="2">
        <v>3823.3119999999999</v>
      </c>
      <c r="M584">
        <f t="shared" si="27"/>
        <v>686580.81067999988</v>
      </c>
      <c r="N584">
        <f t="shared" si="28"/>
        <v>60759.363776991137</v>
      </c>
      <c r="O584" t="str">
        <f t="shared" si="29"/>
        <v>FJERN</v>
      </c>
      <c r="P584" s="1" t="s">
        <v>5682</v>
      </c>
    </row>
    <row r="585" spans="1:16" ht="15" customHeight="1" x14ac:dyDescent="0.2">
      <c r="A585" s="1" t="s">
        <v>1627</v>
      </c>
      <c r="B585" s="1" t="s">
        <v>1628</v>
      </c>
      <c r="C585" s="1" t="s">
        <v>9</v>
      </c>
      <c r="D585" s="1" t="s">
        <v>3</v>
      </c>
      <c r="E585" s="5">
        <v>36718</v>
      </c>
      <c r="F585" s="5">
        <v>38460</v>
      </c>
      <c r="G585" s="2"/>
      <c r="H585" s="1" t="s">
        <v>10</v>
      </c>
      <c r="I585" s="2"/>
      <c r="J585" s="1" t="s">
        <v>38</v>
      </c>
      <c r="K585" s="1" t="s">
        <v>1629</v>
      </c>
      <c r="L585" s="2"/>
      <c r="M585" t="str">
        <f t="shared" si="27"/>
        <v/>
      </c>
      <c r="N585" t="str">
        <f t="shared" si="28"/>
        <v/>
      </c>
      <c r="O585" t="str">
        <f t="shared" si="29"/>
        <v>FJERN</v>
      </c>
      <c r="P585" s="1" t="s">
        <v>5683</v>
      </c>
    </row>
    <row r="586" spans="1:16" ht="15" customHeight="1" x14ac:dyDescent="0.2">
      <c r="A586" s="1" t="s">
        <v>1630</v>
      </c>
      <c r="B586" s="1" t="s">
        <v>1631</v>
      </c>
      <c r="C586" s="1" t="s">
        <v>2</v>
      </c>
      <c r="D586" s="1" t="s">
        <v>3</v>
      </c>
      <c r="E586" s="5">
        <v>36677</v>
      </c>
      <c r="F586" s="5">
        <v>41205</v>
      </c>
      <c r="G586" s="2">
        <v>0.43361359999999999</v>
      </c>
      <c r="H586" s="1" t="s">
        <v>4</v>
      </c>
      <c r="I586" s="2"/>
      <c r="J586" s="1" t="s">
        <v>366</v>
      </c>
      <c r="K586" s="1" t="s">
        <v>1632</v>
      </c>
      <c r="L586" s="2">
        <v>245299.4</v>
      </c>
      <c r="M586">
        <f t="shared" si="27"/>
        <v>106365.15591183999</v>
      </c>
      <c r="N586">
        <f t="shared" si="28"/>
        <v>14277.202135817448</v>
      </c>
      <c r="O586" t="str">
        <f t="shared" si="29"/>
        <v>FJERN</v>
      </c>
      <c r="P586" s="1" t="s">
        <v>5684</v>
      </c>
    </row>
    <row r="587" spans="1:16" ht="15" customHeight="1" x14ac:dyDescent="0.2">
      <c r="A587" s="1" t="s">
        <v>1633</v>
      </c>
      <c r="B587" s="1" t="s">
        <v>1634</v>
      </c>
      <c r="C587" s="1" t="s">
        <v>2</v>
      </c>
      <c r="D587" s="1" t="s">
        <v>3</v>
      </c>
      <c r="E587" s="5">
        <v>36685</v>
      </c>
      <c r="F587" s="5">
        <v>46155</v>
      </c>
      <c r="G587" s="2">
        <v>95.279809999999998</v>
      </c>
      <c r="H587" s="1" t="s">
        <v>4</v>
      </c>
      <c r="I587" s="2">
        <v>739.84485299999994</v>
      </c>
      <c r="J587" s="1" t="s">
        <v>38</v>
      </c>
      <c r="K587" s="1" t="s">
        <v>1635</v>
      </c>
      <c r="L587" s="2">
        <v>12839.02</v>
      </c>
      <c r="M587">
        <f t="shared" si="27"/>
        <v>1223299.3861862</v>
      </c>
      <c r="N587">
        <f t="shared" si="28"/>
        <v>164201.2598907651</v>
      </c>
      <c r="O587" t="str">
        <f t="shared" si="29"/>
        <v>BEHOLD</v>
      </c>
      <c r="P587" s="1" t="s">
        <v>5685</v>
      </c>
    </row>
    <row r="588" spans="1:16" ht="15" customHeight="1" x14ac:dyDescent="0.2">
      <c r="A588" s="1" t="s">
        <v>1636</v>
      </c>
      <c r="B588" s="1" t="s">
        <v>1637</v>
      </c>
      <c r="C588" s="1" t="s">
        <v>9</v>
      </c>
      <c r="D588" s="1" t="s">
        <v>3</v>
      </c>
      <c r="E588" s="5">
        <v>36690</v>
      </c>
      <c r="F588" s="5">
        <v>46155</v>
      </c>
      <c r="G588" s="2">
        <v>40.636330000000001</v>
      </c>
      <c r="H588" s="1" t="s">
        <v>10</v>
      </c>
      <c r="I588" s="2">
        <v>154846.46368268001</v>
      </c>
      <c r="J588" s="1" t="s">
        <v>391</v>
      </c>
      <c r="K588" s="1" t="s">
        <v>1638</v>
      </c>
      <c r="L588" s="2">
        <v>10343880</v>
      </c>
      <c r="M588">
        <f t="shared" si="27"/>
        <v>420337321.16040003</v>
      </c>
      <c r="N588">
        <f t="shared" si="28"/>
        <v>37197993.023044251</v>
      </c>
      <c r="O588" t="str">
        <f t="shared" si="29"/>
        <v>BEHOLD</v>
      </c>
      <c r="P588" s="1" t="s">
        <v>5686</v>
      </c>
    </row>
    <row r="589" spans="1:16" ht="15" customHeight="1" x14ac:dyDescent="0.2">
      <c r="A589" s="1" t="s">
        <v>1639</v>
      </c>
      <c r="B589" s="1" t="s">
        <v>1640</v>
      </c>
      <c r="C589" s="1" t="s">
        <v>9</v>
      </c>
      <c r="D589" s="1" t="s">
        <v>3</v>
      </c>
      <c r="E589" s="5">
        <v>36676</v>
      </c>
      <c r="F589" s="5">
        <v>41824</v>
      </c>
      <c r="G589" s="2">
        <v>22.205490000000001</v>
      </c>
      <c r="H589" s="1" t="s">
        <v>10</v>
      </c>
      <c r="I589" s="2"/>
      <c r="J589" s="1" t="s">
        <v>236</v>
      </c>
      <c r="K589" s="1" t="s">
        <v>1641</v>
      </c>
      <c r="L589" s="2">
        <v>8121.3190000000004</v>
      </c>
      <c r="M589">
        <f t="shared" si="27"/>
        <v>180337.86784131001</v>
      </c>
      <c r="N589">
        <f t="shared" si="28"/>
        <v>15959.103348788496</v>
      </c>
      <c r="O589" t="str">
        <f t="shared" si="29"/>
        <v>FJERN</v>
      </c>
      <c r="P589" s="1" t="s">
        <v>5687</v>
      </c>
    </row>
    <row r="590" spans="1:16" ht="15" customHeight="1" x14ac:dyDescent="0.2">
      <c r="A590" s="1" t="s">
        <v>1642</v>
      </c>
      <c r="B590" s="1" t="s">
        <v>1643</v>
      </c>
      <c r="C590" s="1" t="s">
        <v>9</v>
      </c>
      <c r="D590" s="1" t="s">
        <v>3</v>
      </c>
      <c r="E590" s="5">
        <v>33669</v>
      </c>
      <c r="F590" s="5">
        <v>37433</v>
      </c>
      <c r="G590" s="2"/>
      <c r="H590" s="1" t="s">
        <v>10</v>
      </c>
      <c r="I590" s="2"/>
      <c r="J590" s="1" t="s">
        <v>61</v>
      </c>
      <c r="K590" s="1" t="s">
        <v>1644</v>
      </c>
      <c r="L590" s="2"/>
      <c r="M590" t="str">
        <f t="shared" si="27"/>
        <v/>
      </c>
      <c r="N590" t="str">
        <f t="shared" si="28"/>
        <v/>
      </c>
      <c r="O590" t="str">
        <f t="shared" si="29"/>
        <v>FJERN</v>
      </c>
      <c r="P590" s="1"/>
    </row>
    <row r="591" spans="1:16" ht="15" customHeight="1" x14ac:dyDescent="0.2">
      <c r="A591" s="1" t="s">
        <v>1645</v>
      </c>
      <c r="B591" s="1" t="s">
        <v>1646</v>
      </c>
      <c r="C591" s="1" t="s">
        <v>9</v>
      </c>
      <c r="D591" s="1" t="s">
        <v>3</v>
      </c>
      <c r="E591" s="5">
        <v>36698</v>
      </c>
      <c r="F591" s="5">
        <v>37306</v>
      </c>
      <c r="G591" s="2"/>
      <c r="H591" s="1" t="s">
        <v>10</v>
      </c>
      <c r="I591" s="2"/>
      <c r="J591" s="1" t="s">
        <v>38</v>
      </c>
      <c r="K591" s="1" t="s">
        <v>1647</v>
      </c>
      <c r="L591" s="2"/>
      <c r="M591" t="str">
        <f t="shared" si="27"/>
        <v/>
      </c>
      <c r="N591" t="str">
        <f t="shared" si="28"/>
        <v/>
      </c>
      <c r="O591" t="str">
        <f t="shared" si="29"/>
        <v>FJERN</v>
      </c>
      <c r="P591" s="1" t="s">
        <v>5688</v>
      </c>
    </row>
    <row r="592" spans="1:16" ht="15" customHeight="1" x14ac:dyDescent="0.2">
      <c r="A592" s="1" t="s">
        <v>1648</v>
      </c>
      <c r="B592" s="1" t="s">
        <v>1649</v>
      </c>
      <c r="C592" s="1" t="s">
        <v>9</v>
      </c>
      <c r="D592" s="1" t="s">
        <v>3</v>
      </c>
      <c r="E592" s="5">
        <v>36684</v>
      </c>
      <c r="F592" s="5">
        <v>37267</v>
      </c>
      <c r="G592" s="2"/>
      <c r="H592" s="1" t="s">
        <v>10</v>
      </c>
      <c r="I592" s="2"/>
      <c r="J592" s="1" t="s">
        <v>391</v>
      </c>
      <c r="K592" s="1" t="s">
        <v>1650</v>
      </c>
      <c r="L592" s="2"/>
      <c r="M592" t="str">
        <f t="shared" si="27"/>
        <v/>
      </c>
      <c r="N592" t="str">
        <f t="shared" si="28"/>
        <v/>
      </c>
      <c r="O592" t="str">
        <f t="shared" si="29"/>
        <v>FJERN</v>
      </c>
      <c r="P592" s="1"/>
    </row>
    <row r="593" spans="1:16" ht="15" customHeight="1" x14ac:dyDescent="0.2">
      <c r="A593" s="1" t="s">
        <v>1651</v>
      </c>
      <c r="B593" s="1" t="s">
        <v>1652</v>
      </c>
      <c r="C593" s="1" t="s">
        <v>9</v>
      </c>
      <c r="D593" s="1" t="s">
        <v>3</v>
      </c>
      <c r="E593" s="5">
        <v>35369</v>
      </c>
      <c r="F593" s="5">
        <v>38820</v>
      </c>
      <c r="G593" s="2"/>
      <c r="H593" s="1" t="s">
        <v>10</v>
      </c>
      <c r="I593" s="2"/>
      <c r="J593" s="1" t="s">
        <v>236</v>
      </c>
      <c r="K593" s="1" t="s">
        <v>1653</v>
      </c>
      <c r="L593" s="2"/>
      <c r="M593" t="str">
        <f t="shared" si="27"/>
        <v/>
      </c>
      <c r="N593" t="str">
        <f t="shared" si="28"/>
        <v/>
      </c>
      <c r="O593" t="str">
        <f t="shared" si="29"/>
        <v>FJERN</v>
      </c>
      <c r="P593" s="1" t="s">
        <v>5689</v>
      </c>
    </row>
    <row r="594" spans="1:16" ht="15" customHeight="1" x14ac:dyDescent="0.2">
      <c r="A594" s="1" t="s">
        <v>1654</v>
      </c>
      <c r="B594" s="1" t="s">
        <v>1655</v>
      </c>
      <c r="C594" s="1" t="s">
        <v>9</v>
      </c>
      <c r="D594" s="1" t="s">
        <v>3</v>
      </c>
      <c r="E594" s="5">
        <v>36685</v>
      </c>
      <c r="F594" s="5">
        <v>46155</v>
      </c>
      <c r="G594" s="2">
        <v>61.225290000000001</v>
      </c>
      <c r="H594" s="1" t="s">
        <v>10</v>
      </c>
      <c r="I594" s="2">
        <v>3633.2048150000001</v>
      </c>
      <c r="J594" s="1" t="s">
        <v>38</v>
      </c>
      <c r="K594" s="1" t="s">
        <v>1656</v>
      </c>
      <c r="L594" s="2">
        <v>18004</v>
      </c>
      <c r="M594">
        <f t="shared" si="27"/>
        <v>1102300.1211600001</v>
      </c>
      <c r="N594">
        <f t="shared" si="28"/>
        <v>97548.68328849558</v>
      </c>
      <c r="O594" t="str">
        <f t="shared" si="29"/>
        <v>FJERN</v>
      </c>
      <c r="P594" s="1" t="s">
        <v>5690</v>
      </c>
    </row>
    <row r="595" spans="1:16" ht="15" customHeight="1" x14ac:dyDescent="0.2">
      <c r="A595" s="1" t="s">
        <v>1657</v>
      </c>
      <c r="B595" s="1" t="s">
        <v>1658</v>
      </c>
      <c r="C595" s="1" t="s">
        <v>9</v>
      </c>
      <c r="D595" s="1" t="s">
        <v>3</v>
      </c>
      <c r="E595" s="5">
        <v>36692</v>
      </c>
      <c r="F595" s="5">
        <v>40634</v>
      </c>
      <c r="G595" s="2">
        <v>70.623859999999993</v>
      </c>
      <c r="H595" s="1" t="s">
        <v>10</v>
      </c>
      <c r="I595" s="2"/>
      <c r="J595" s="1" t="s">
        <v>222</v>
      </c>
      <c r="K595" s="1" t="s">
        <v>1659</v>
      </c>
      <c r="L595" s="2">
        <v>4277.9309999999996</v>
      </c>
      <c r="M595">
        <f t="shared" si="27"/>
        <v>302124.00003365992</v>
      </c>
      <c r="N595">
        <f t="shared" si="28"/>
        <v>26736.637171120346</v>
      </c>
      <c r="O595" t="str">
        <f t="shared" si="29"/>
        <v>FJERN</v>
      </c>
      <c r="P595" s="1" t="s">
        <v>5691</v>
      </c>
    </row>
    <row r="596" spans="1:16" ht="15" customHeight="1" x14ac:dyDescent="0.2">
      <c r="A596" s="1" t="s">
        <v>1660</v>
      </c>
      <c r="B596" s="1" t="s">
        <v>1661</v>
      </c>
      <c r="C596" s="1" t="s">
        <v>9</v>
      </c>
      <c r="D596" s="1" t="s">
        <v>3</v>
      </c>
      <c r="E596" s="5">
        <v>36704</v>
      </c>
      <c r="F596" s="5">
        <v>43417</v>
      </c>
      <c r="G596" s="2">
        <v>221.19309999999999</v>
      </c>
      <c r="H596" s="1" t="s">
        <v>10</v>
      </c>
      <c r="I596" s="2"/>
      <c r="J596" s="1" t="s">
        <v>38</v>
      </c>
      <c r="K596" s="1" t="s">
        <v>1662</v>
      </c>
      <c r="L596" s="2">
        <v>113217.1</v>
      </c>
      <c r="M596">
        <f t="shared" si="27"/>
        <v>25042841.322009999</v>
      </c>
      <c r="N596">
        <f t="shared" si="28"/>
        <v>2216180.6479654866</v>
      </c>
      <c r="O596" t="str">
        <f t="shared" si="29"/>
        <v>BEHOLD</v>
      </c>
      <c r="P596" s="1" t="s">
        <v>5692</v>
      </c>
    </row>
    <row r="597" spans="1:16" ht="15" customHeight="1" x14ac:dyDescent="0.2">
      <c r="A597" s="1" t="s">
        <v>1663</v>
      </c>
      <c r="B597" s="1" t="s">
        <v>1664</v>
      </c>
      <c r="C597" s="1" t="s">
        <v>9</v>
      </c>
      <c r="D597" s="1" t="s">
        <v>3</v>
      </c>
      <c r="E597" s="5">
        <v>36697</v>
      </c>
      <c r="F597" s="5">
        <v>39944</v>
      </c>
      <c r="G597" s="2">
        <v>5.8426249999999999E-2</v>
      </c>
      <c r="H597" s="1" t="s">
        <v>10</v>
      </c>
      <c r="I597" s="2"/>
      <c r="J597" s="1" t="s">
        <v>236</v>
      </c>
      <c r="K597" s="1" t="s">
        <v>1665</v>
      </c>
      <c r="L597" s="2">
        <v>12935.22</v>
      </c>
      <c r="M597">
        <f t="shared" si="27"/>
        <v>755.7563975249999</v>
      </c>
      <c r="N597">
        <f t="shared" si="28"/>
        <v>66.881097126106184</v>
      </c>
      <c r="O597" t="str">
        <f t="shared" si="29"/>
        <v>FJERN</v>
      </c>
      <c r="P597" s="1" t="s">
        <v>5693</v>
      </c>
    </row>
    <row r="598" spans="1:16" ht="15" customHeight="1" x14ac:dyDescent="0.2">
      <c r="A598" s="1" t="s">
        <v>1666</v>
      </c>
      <c r="B598" s="1" t="s">
        <v>1667</v>
      </c>
      <c r="C598" s="1" t="s">
        <v>2</v>
      </c>
      <c r="D598" s="1" t="s">
        <v>3</v>
      </c>
      <c r="E598" s="5">
        <v>35585</v>
      </c>
      <c r="F598" s="5">
        <v>46155</v>
      </c>
      <c r="G598" s="2">
        <v>38.205159999999999</v>
      </c>
      <c r="H598" s="1" t="s">
        <v>4</v>
      </c>
      <c r="I598" s="2">
        <v>859.78787309999996</v>
      </c>
      <c r="J598" s="1" t="s">
        <v>11</v>
      </c>
      <c r="K598" s="1" t="s">
        <v>1668</v>
      </c>
      <c r="L598" s="2">
        <v>16138.45</v>
      </c>
      <c r="M598">
        <f t="shared" si="27"/>
        <v>616572.06440200005</v>
      </c>
      <c r="N598">
        <f t="shared" si="28"/>
        <v>82761.350926442959</v>
      </c>
      <c r="O598" t="str">
        <f t="shared" si="29"/>
        <v>FJERN</v>
      </c>
      <c r="P598" s="1" t="s">
        <v>5694</v>
      </c>
    </row>
    <row r="599" spans="1:16" ht="15" customHeight="1" x14ac:dyDescent="0.2">
      <c r="A599" s="1" t="s">
        <v>1669</v>
      </c>
      <c r="B599" s="1" t="s">
        <v>1670</v>
      </c>
      <c r="C599" s="1" t="s">
        <v>2</v>
      </c>
      <c r="D599" s="1" t="s">
        <v>3</v>
      </c>
      <c r="E599" s="5">
        <v>36920</v>
      </c>
      <c r="F599" s="5">
        <v>46155</v>
      </c>
      <c r="G599" s="2">
        <v>1.2071019999999999</v>
      </c>
      <c r="H599" s="1" t="s">
        <v>4</v>
      </c>
      <c r="I599" s="2">
        <v>286.75380316000002</v>
      </c>
      <c r="J599" s="1" t="s">
        <v>76</v>
      </c>
      <c r="K599" s="1" t="s">
        <v>1671</v>
      </c>
      <c r="L599" s="2">
        <v>53347.61</v>
      </c>
      <c r="M599">
        <f t="shared" si="27"/>
        <v>64396.006726219995</v>
      </c>
      <c r="N599">
        <f t="shared" si="28"/>
        <v>8643.7592921100659</v>
      </c>
      <c r="O599" t="str">
        <f t="shared" si="29"/>
        <v>FJERN</v>
      </c>
      <c r="P599" s="1" t="s">
        <v>5695</v>
      </c>
    </row>
    <row r="600" spans="1:16" ht="15" customHeight="1" x14ac:dyDescent="0.2">
      <c r="A600" s="1" t="s">
        <v>1672</v>
      </c>
      <c r="B600" s="1" t="s">
        <v>1673</v>
      </c>
      <c r="C600" s="1" t="s">
        <v>9</v>
      </c>
      <c r="D600" s="1" t="s">
        <v>3</v>
      </c>
      <c r="E600" s="5">
        <v>36908</v>
      </c>
      <c r="F600" s="5">
        <v>39490</v>
      </c>
      <c r="G600" s="2"/>
      <c r="H600" s="1" t="s">
        <v>10</v>
      </c>
      <c r="I600" s="2"/>
      <c r="J600" s="1" t="s">
        <v>391</v>
      </c>
      <c r="K600" s="1" t="s">
        <v>1674</v>
      </c>
      <c r="L600" s="2"/>
      <c r="M600" t="str">
        <f t="shared" si="27"/>
        <v/>
      </c>
      <c r="N600" t="str">
        <f t="shared" si="28"/>
        <v/>
      </c>
      <c r="O600" t="str">
        <f t="shared" si="29"/>
        <v>FJERN</v>
      </c>
      <c r="P600" s="1" t="s">
        <v>5696</v>
      </c>
    </row>
    <row r="601" spans="1:16" ht="15" customHeight="1" x14ac:dyDescent="0.2">
      <c r="A601" s="1" t="s">
        <v>1675</v>
      </c>
      <c r="B601" s="1" t="s">
        <v>1676</v>
      </c>
      <c r="C601" s="1" t="s">
        <v>9</v>
      </c>
      <c r="D601" s="1" t="s">
        <v>255</v>
      </c>
      <c r="E601" s="5">
        <v>36921</v>
      </c>
      <c r="F601" s="5">
        <v>41624</v>
      </c>
      <c r="G601" s="2">
        <v>79.685580000000002</v>
      </c>
      <c r="H601" s="1" t="s">
        <v>10</v>
      </c>
      <c r="I601" s="2"/>
      <c r="J601" s="1" t="s">
        <v>1677</v>
      </c>
      <c r="K601" s="1" t="s">
        <v>1678</v>
      </c>
      <c r="L601" s="2">
        <v>697867.4</v>
      </c>
      <c r="M601">
        <f t="shared" si="27"/>
        <v>55609968.532092005</v>
      </c>
      <c r="N601">
        <f t="shared" si="28"/>
        <v>4921236.1532824785</v>
      </c>
      <c r="O601" t="str">
        <f t="shared" si="29"/>
        <v>FJERN</v>
      </c>
      <c r="P601" s="1" t="s">
        <v>5697</v>
      </c>
    </row>
    <row r="602" spans="1:16" ht="15" customHeight="1" x14ac:dyDescent="0.2">
      <c r="A602" s="1" t="s">
        <v>1679</v>
      </c>
      <c r="B602" s="1" t="s">
        <v>1680</v>
      </c>
      <c r="C602" s="1" t="s">
        <v>9</v>
      </c>
      <c r="D602" s="1" t="s">
        <v>3</v>
      </c>
      <c r="E602" s="5">
        <v>36942</v>
      </c>
      <c r="F602" s="5">
        <v>38037</v>
      </c>
      <c r="G602" s="2"/>
      <c r="H602" s="1" t="s">
        <v>10</v>
      </c>
      <c r="I602" s="2"/>
      <c r="J602" s="1" t="s">
        <v>236</v>
      </c>
      <c r="K602" s="1" t="s">
        <v>1681</v>
      </c>
      <c r="L602" s="2"/>
      <c r="M602" t="str">
        <f t="shared" si="27"/>
        <v/>
      </c>
      <c r="N602" t="str">
        <f t="shared" si="28"/>
        <v/>
      </c>
      <c r="O602" t="str">
        <f t="shared" si="29"/>
        <v>FJERN</v>
      </c>
      <c r="P602" s="1" t="s">
        <v>5698</v>
      </c>
    </row>
    <row r="603" spans="1:16" ht="15" customHeight="1" x14ac:dyDescent="0.2">
      <c r="A603" s="1" t="s">
        <v>1682</v>
      </c>
      <c r="B603" s="1" t="s">
        <v>1683</v>
      </c>
      <c r="C603" s="1" t="s">
        <v>2</v>
      </c>
      <c r="D603" s="1" t="s">
        <v>3</v>
      </c>
      <c r="E603" s="5">
        <v>36956</v>
      </c>
      <c r="F603" s="5">
        <v>41116</v>
      </c>
      <c r="G603" s="2">
        <v>238.77430000000001</v>
      </c>
      <c r="H603" s="1" t="s">
        <v>4</v>
      </c>
      <c r="I603" s="2"/>
      <c r="J603" s="1" t="s">
        <v>38</v>
      </c>
      <c r="K603" s="1" t="s">
        <v>1684</v>
      </c>
      <c r="L603" s="2">
        <v>10869.08</v>
      </c>
      <c r="M603">
        <f t="shared" si="27"/>
        <v>2595256.9686440001</v>
      </c>
      <c r="N603">
        <f t="shared" si="28"/>
        <v>348356.64008644299</v>
      </c>
      <c r="O603" t="str">
        <f t="shared" si="29"/>
        <v>BEHOLD</v>
      </c>
      <c r="P603" s="1" t="s">
        <v>5699</v>
      </c>
    </row>
    <row r="604" spans="1:16" ht="15" customHeight="1" x14ac:dyDescent="0.2">
      <c r="A604" s="1" t="s">
        <v>1685</v>
      </c>
      <c r="B604" s="1" t="s">
        <v>1686</v>
      </c>
      <c r="C604" s="1" t="s">
        <v>9</v>
      </c>
      <c r="D604" s="1" t="s">
        <v>3</v>
      </c>
      <c r="E604" s="5">
        <v>37015</v>
      </c>
      <c r="F604" s="5">
        <v>46155</v>
      </c>
      <c r="G604" s="2">
        <v>73.484639999999999</v>
      </c>
      <c r="H604" s="1" t="s">
        <v>10</v>
      </c>
      <c r="I604" s="2">
        <v>2202.5877479999999</v>
      </c>
      <c r="J604" s="1" t="s">
        <v>289</v>
      </c>
      <c r="K604" s="1" t="s">
        <v>1687</v>
      </c>
      <c r="L604" s="2">
        <v>12253.31</v>
      </c>
      <c r="M604">
        <f t="shared" si="27"/>
        <v>900430.07415839995</v>
      </c>
      <c r="N604">
        <f t="shared" si="28"/>
        <v>79684.077359150426</v>
      </c>
      <c r="O604" t="str">
        <f t="shared" si="29"/>
        <v>FJERN</v>
      </c>
      <c r="P604" s="1" t="s">
        <v>5700</v>
      </c>
    </row>
    <row r="605" spans="1:16" ht="15" customHeight="1" x14ac:dyDescent="0.2">
      <c r="A605" s="1" t="s">
        <v>1688</v>
      </c>
      <c r="B605" s="1" t="s">
        <v>1689</v>
      </c>
      <c r="C605" s="1" t="s">
        <v>9</v>
      </c>
      <c r="D605" s="1" t="s">
        <v>3</v>
      </c>
      <c r="E605" s="5">
        <v>36444</v>
      </c>
      <c r="F605" s="5">
        <v>42419</v>
      </c>
      <c r="G605" s="2">
        <v>23.122530000000001</v>
      </c>
      <c r="H605" s="1" t="s">
        <v>10</v>
      </c>
      <c r="I605" s="2"/>
      <c r="J605" s="1" t="s">
        <v>289</v>
      </c>
      <c r="K605" s="1" t="s">
        <v>1690</v>
      </c>
      <c r="L605" s="2">
        <v>123116.5</v>
      </c>
      <c r="M605">
        <f t="shared" si="27"/>
        <v>2846764.964745</v>
      </c>
      <c r="N605">
        <f t="shared" si="28"/>
        <v>251926.10307477874</v>
      </c>
      <c r="O605" t="str">
        <f t="shared" si="29"/>
        <v>BEHOLD</v>
      </c>
      <c r="P605" s="1" t="s">
        <v>5701</v>
      </c>
    </row>
    <row r="606" spans="1:16" ht="15" customHeight="1" x14ac:dyDescent="0.2">
      <c r="A606" s="1" t="s">
        <v>1691</v>
      </c>
      <c r="B606" s="1" t="s">
        <v>1692</v>
      </c>
      <c r="C606" s="1" t="s">
        <v>9</v>
      </c>
      <c r="D606" s="1" t="s">
        <v>3</v>
      </c>
      <c r="E606" s="5">
        <v>35733</v>
      </c>
      <c r="F606" s="5">
        <v>37778</v>
      </c>
      <c r="G606" s="2"/>
      <c r="H606" s="1" t="s">
        <v>10</v>
      </c>
      <c r="I606" s="2"/>
      <c r="J606" s="1" t="s">
        <v>11</v>
      </c>
      <c r="K606" s="1"/>
      <c r="L606" s="2"/>
      <c r="M606" t="str">
        <f t="shared" si="27"/>
        <v/>
      </c>
      <c r="N606" t="str">
        <f t="shared" si="28"/>
        <v/>
      </c>
      <c r="O606" t="str">
        <f t="shared" si="29"/>
        <v>FJERN</v>
      </c>
      <c r="P606" s="1"/>
    </row>
    <row r="607" spans="1:16" ht="15" customHeight="1" x14ac:dyDescent="0.2">
      <c r="A607" s="1" t="s">
        <v>1693</v>
      </c>
      <c r="B607" s="1" t="s">
        <v>1694</v>
      </c>
      <c r="C607" s="1" t="s">
        <v>2</v>
      </c>
      <c r="D607" s="1" t="s">
        <v>3</v>
      </c>
      <c r="E607" s="5">
        <v>31049</v>
      </c>
      <c r="F607" s="5">
        <v>46155</v>
      </c>
      <c r="G607" s="2">
        <v>224.03639999999999</v>
      </c>
      <c r="H607" s="1" t="s">
        <v>4</v>
      </c>
      <c r="I607" s="2">
        <v>42680.185123499999</v>
      </c>
      <c r="J607" s="1" t="s">
        <v>23</v>
      </c>
      <c r="K607" s="1" t="s">
        <v>1695</v>
      </c>
      <c r="L607" s="2">
        <v>152178.9</v>
      </c>
      <c r="M607">
        <f t="shared" si="27"/>
        <v>34093612.911959998</v>
      </c>
      <c r="N607">
        <f t="shared" si="28"/>
        <v>4576323.8807999995</v>
      </c>
      <c r="O607" t="str">
        <f t="shared" si="29"/>
        <v>BEHOLD</v>
      </c>
      <c r="P607" s="1" t="s">
        <v>5702</v>
      </c>
    </row>
    <row r="608" spans="1:16" ht="15" customHeight="1" x14ac:dyDescent="0.2">
      <c r="A608" s="1" t="s">
        <v>1696</v>
      </c>
      <c r="B608" s="1" t="s">
        <v>1697</v>
      </c>
      <c r="C608" s="1" t="s">
        <v>9</v>
      </c>
      <c r="D608" s="1" t="s">
        <v>3</v>
      </c>
      <c r="E608" s="5">
        <v>35985</v>
      </c>
      <c r="F608" s="5">
        <v>37608</v>
      </c>
      <c r="G608" s="2"/>
      <c r="H608" s="1" t="s">
        <v>10</v>
      </c>
      <c r="I608" s="2"/>
      <c r="J608" s="1" t="s">
        <v>34</v>
      </c>
      <c r="K608" s="1" t="s">
        <v>1698</v>
      </c>
      <c r="L608" s="2"/>
      <c r="M608" t="str">
        <f t="shared" si="27"/>
        <v/>
      </c>
      <c r="N608" t="str">
        <f t="shared" si="28"/>
        <v/>
      </c>
      <c r="O608" t="str">
        <f t="shared" si="29"/>
        <v>FJERN</v>
      </c>
      <c r="P608" s="1"/>
    </row>
    <row r="609" spans="1:16" ht="15" customHeight="1" x14ac:dyDescent="0.2">
      <c r="A609" s="1" t="s">
        <v>1699</v>
      </c>
      <c r="B609" s="1" t="s">
        <v>1700</v>
      </c>
      <c r="C609" s="1" t="s">
        <v>2</v>
      </c>
      <c r="D609" s="1" t="s">
        <v>3</v>
      </c>
      <c r="E609" s="5">
        <v>37020</v>
      </c>
      <c r="F609" s="5">
        <v>43679</v>
      </c>
      <c r="G609" s="2">
        <v>60.312060000000002</v>
      </c>
      <c r="H609" s="1" t="s">
        <v>4</v>
      </c>
      <c r="I609" s="2"/>
      <c r="J609" s="1" t="s">
        <v>122</v>
      </c>
      <c r="K609" s="1" t="s">
        <v>1701</v>
      </c>
      <c r="L609" s="2">
        <v>14138.79</v>
      </c>
      <c r="M609">
        <f t="shared" si="27"/>
        <v>852739.55080740014</v>
      </c>
      <c r="N609">
        <f t="shared" si="28"/>
        <v>114461.68467213424</v>
      </c>
      <c r="O609" t="str">
        <f t="shared" si="29"/>
        <v>BEHOLD</v>
      </c>
      <c r="P609" s="1" t="s">
        <v>5703</v>
      </c>
    </row>
    <row r="610" spans="1:16" ht="15" customHeight="1" x14ac:dyDescent="0.2">
      <c r="A610" s="1" t="s">
        <v>1702</v>
      </c>
      <c r="B610" s="1" t="s">
        <v>1703</v>
      </c>
      <c r="C610" s="1" t="s">
        <v>2</v>
      </c>
      <c r="D610" s="1" t="s">
        <v>3</v>
      </c>
      <c r="E610" s="5">
        <v>32231</v>
      </c>
      <c r="F610" s="5">
        <v>39293</v>
      </c>
      <c r="G610" s="2"/>
      <c r="H610" s="1" t="s">
        <v>4</v>
      </c>
      <c r="I610" s="2"/>
      <c r="J610" s="1" t="s">
        <v>83</v>
      </c>
      <c r="K610" s="1" t="s">
        <v>1704</v>
      </c>
      <c r="L610" s="2"/>
      <c r="M610" t="str">
        <f t="shared" si="27"/>
        <v/>
      </c>
      <c r="N610" t="str">
        <f t="shared" si="28"/>
        <v/>
      </c>
      <c r="O610" t="str">
        <f t="shared" si="29"/>
        <v>FJERN</v>
      </c>
      <c r="P610" s="1" t="s">
        <v>5704</v>
      </c>
    </row>
    <row r="611" spans="1:16" ht="15" customHeight="1" x14ac:dyDescent="0.2">
      <c r="A611" s="1" t="s">
        <v>1705</v>
      </c>
      <c r="B611" s="1" t="s">
        <v>1706</v>
      </c>
      <c r="C611" s="1" t="s">
        <v>2</v>
      </c>
      <c r="D611" s="1" t="s">
        <v>3</v>
      </c>
      <c r="E611" s="5">
        <v>31996</v>
      </c>
      <c r="F611" s="5">
        <v>37818</v>
      </c>
      <c r="G611" s="2"/>
      <c r="H611" s="1" t="s">
        <v>4</v>
      </c>
      <c r="I611" s="2"/>
      <c r="J611" s="1" t="s">
        <v>11</v>
      </c>
      <c r="K611" s="1" t="s">
        <v>1707</v>
      </c>
      <c r="L611" s="2"/>
      <c r="M611" t="str">
        <f t="shared" si="27"/>
        <v/>
      </c>
      <c r="N611" t="str">
        <f t="shared" si="28"/>
        <v/>
      </c>
      <c r="O611" t="str">
        <f t="shared" si="29"/>
        <v>FJERN</v>
      </c>
      <c r="P611" s="1"/>
    </row>
    <row r="612" spans="1:16" ht="15" customHeight="1" x14ac:dyDescent="0.2">
      <c r="A612" s="1" t="s">
        <v>1708</v>
      </c>
      <c r="B612" s="1" t="s">
        <v>1709</v>
      </c>
      <c r="C612" s="1" t="s">
        <v>9</v>
      </c>
      <c r="D612" s="1" t="s">
        <v>3</v>
      </c>
      <c r="E612" s="5">
        <v>32490</v>
      </c>
      <c r="F612" s="5">
        <v>45517</v>
      </c>
      <c r="G612" s="2">
        <v>9.0229199999999992</v>
      </c>
      <c r="H612" s="1" t="s">
        <v>10</v>
      </c>
      <c r="I612" s="2"/>
      <c r="J612" s="1" t="s">
        <v>11</v>
      </c>
      <c r="K612" s="1" t="s">
        <v>1710</v>
      </c>
      <c r="L612" s="2">
        <v>22148600</v>
      </c>
      <c r="M612">
        <f t="shared" si="27"/>
        <v>199845045.91199997</v>
      </c>
      <c r="N612">
        <f t="shared" si="28"/>
        <v>17685402.29309734</v>
      </c>
      <c r="O612" t="str">
        <f t="shared" si="29"/>
        <v>BEHOLD</v>
      </c>
      <c r="P612" s="1" t="s">
        <v>5705</v>
      </c>
    </row>
    <row r="613" spans="1:16" ht="15" customHeight="1" x14ac:dyDescent="0.2">
      <c r="A613" s="1" t="s">
        <v>1711</v>
      </c>
      <c r="B613" s="1" t="s">
        <v>1712</v>
      </c>
      <c r="C613" s="1" t="s">
        <v>2</v>
      </c>
      <c r="D613" s="1" t="s">
        <v>3</v>
      </c>
      <c r="E613" s="5">
        <v>37062</v>
      </c>
      <c r="F613" s="5">
        <v>41516</v>
      </c>
      <c r="G613" s="2">
        <v>11.61572</v>
      </c>
      <c r="H613" s="1" t="s">
        <v>4</v>
      </c>
      <c r="I613" s="2"/>
      <c r="J613" s="1" t="s">
        <v>236</v>
      </c>
      <c r="K613" s="1" t="s">
        <v>1713</v>
      </c>
      <c r="L613" s="2">
        <v>2598.587</v>
      </c>
      <c r="M613">
        <f t="shared" si="27"/>
        <v>30184.458987639999</v>
      </c>
      <c r="N613">
        <f t="shared" si="28"/>
        <v>4051.6052332402683</v>
      </c>
      <c r="O613" t="str">
        <f t="shared" si="29"/>
        <v>FJERN</v>
      </c>
      <c r="P613" s="1" t="s">
        <v>5706</v>
      </c>
    </row>
    <row r="614" spans="1:16" ht="15" customHeight="1" x14ac:dyDescent="0.2">
      <c r="A614" s="1" t="s">
        <v>1714</v>
      </c>
      <c r="B614" s="1" t="s">
        <v>1715</v>
      </c>
      <c r="C614" s="1" t="s">
        <v>9</v>
      </c>
      <c r="D614" s="1" t="s">
        <v>3</v>
      </c>
      <c r="E614" s="5">
        <v>37056</v>
      </c>
      <c r="F614" s="5">
        <v>37728</v>
      </c>
      <c r="G614" s="2"/>
      <c r="H614" s="1" t="s">
        <v>10</v>
      </c>
      <c r="I614" s="2"/>
      <c r="J614" s="1" t="s">
        <v>236</v>
      </c>
      <c r="K614" s="1" t="s">
        <v>1716</v>
      </c>
      <c r="L614" s="2"/>
      <c r="M614" t="str">
        <f t="shared" si="27"/>
        <v/>
      </c>
      <c r="N614" t="str">
        <f t="shared" si="28"/>
        <v/>
      </c>
      <c r="O614" t="str">
        <f t="shared" si="29"/>
        <v>FJERN</v>
      </c>
      <c r="P614" s="1" t="s">
        <v>5707</v>
      </c>
    </row>
    <row r="615" spans="1:16" ht="15" customHeight="1" x14ac:dyDescent="0.2">
      <c r="A615" s="1" t="s">
        <v>1717</v>
      </c>
      <c r="B615" s="1" t="s">
        <v>1718</v>
      </c>
      <c r="C615" s="1" t="s">
        <v>9</v>
      </c>
      <c r="D615" s="1" t="s">
        <v>3</v>
      </c>
      <c r="E615" s="5">
        <v>32016</v>
      </c>
      <c r="F615" s="5">
        <v>46155</v>
      </c>
      <c r="G615" s="2">
        <v>166.32550000000001</v>
      </c>
      <c r="H615" s="1" t="s">
        <v>10</v>
      </c>
      <c r="I615" s="2">
        <v>104444.05903590001</v>
      </c>
      <c r="J615" s="1" t="s">
        <v>11</v>
      </c>
      <c r="K615" s="1" t="s">
        <v>1719</v>
      </c>
      <c r="L615" s="2">
        <v>1282024</v>
      </c>
      <c r="M615">
        <f t="shared" si="27"/>
        <v>213233282.81200001</v>
      </c>
      <c r="N615">
        <f t="shared" si="28"/>
        <v>18870202.018761061</v>
      </c>
      <c r="O615" t="str">
        <f t="shared" si="29"/>
        <v>BEHOLD</v>
      </c>
      <c r="P615" s="1" t="s">
        <v>5708</v>
      </c>
    </row>
    <row r="616" spans="1:16" ht="15" customHeight="1" x14ac:dyDescent="0.2">
      <c r="A616" s="1" t="s">
        <v>1720</v>
      </c>
      <c r="B616" s="1" t="s">
        <v>1721</v>
      </c>
      <c r="C616" s="1" t="s">
        <v>9</v>
      </c>
      <c r="D616" s="1" t="s">
        <v>3</v>
      </c>
      <c r="E616" s="5">
        <v>37061</v>
      </c>
      <c r="F616" s="5">
        <v>39171</v>
      </c>
      <c r="G616" s="2">
        <v>50</v>
      </c>
      <c r="H616" s="1" t="s">
        <v>10</v>
      </c>
      <c r="I616" s="2"/>
      <c r="J616" s="1" t="s">
        <v>176</v>
      </c>
      <c r="K616" s="1" t="s">
        <v>1722</v>
      </c>
      <c r="L616" s="2">
        <v>0</v>
      </c>
      <c r="M616">
        <f t="shared" si="27"/>
        <v>0</v>
      </c>
      <c r="N616">
        <f t="shared" si="28"/>
        <v>0</v>
      </c>
      <c r="O616" t="str">
        <f t="shared" si="29"/>
        <v>FJERN</v>
      </c>
      <c r="P616" s="1" t="s">
        <v>5709</v>
      </c>
    </row>
    <row r="617" spans="1:16" ht="15" customHeight="1" x14ac:dyDescent="0.2">
      <c r="A617" s="1" t="s">
        <v>1723</v>
      </c>
      <c r="B617" s="1" t="s">
        <v>1724</v>
      </c>
      <c r="C617" s="1" t="s">
        <v>9</v>
      </c>
      <c r="D617" s="1" t="s">
        <v>3</v>
      </c>
      <c r="E617" s="5">
        <v>37174</v>
      </c>
      <c r="F617" s="5">
        <v>40541</v>
      </c>
      <c r="G617" s="2">
        <v>16.733779999999999</v>
      </c>
      <c r="H617" s="1" t="s">
        <v>10</v>
      </c>
      <c r="I617" s="2"/>
      <c r="J617" s="1" t="s">
        <v>11</v>
      </c>
      <c r="K617" s="1" t="s">
        <v>1725</v>
      </c>
      <c r="L617" s="2">
        <v>1543.6959999999999</v>
      </c>
      <c r="M617">
        <f t="shared" si="27"/>
        <v>25831.869250879998</v>
      </c>
      <c r="N617">
        <f t="shared" si="28"/>
        <v>2286.0061283964596</v>
      </c>
      <c r="O617" t="str">
        <f t="shared" si="29"/>
        <v>FJERN</v>
      </c>
      <c r="P617" s="1"/>
    </row>
    <row r="618" spans="1:16" ht="15" customHeight="1" x14ac:dyDescent="0.2">
      <c r="A618" s="1" t="s">
        <v>1726</v>
      </c>
      <c r="B618" s="1" t="s">
        <v>1727</v>
      </c>
      <c r="C618" s="1" t="s">
        <v>9</v>
      </c>
      <c r="D618" s="1" t="s">
        <v>3</v>
      </c>
      <c r="E618" s="5">
        <v>36048</v>
      </c>
      <c r="F618" s="5">
        <v>41873</v>
      </c>
      <c r="G618" s="2">
        <v>47.629759999999997</v>
      </c>
      <c r="H618" s="1" t="s">
        <v>10</v>
      </c>
      <c r="I618" s="2"/>
      <c r="J618" s="1" t="s">
        <v>289</v>
      </c>
      <c r="K618" s="1" t="s">
        <v>1728</v>
      </c>
      <c r="L618" s="2">
        <v>25531.37</v>
      </c>
      <c r="M618">
        <f t="shared" si="27"/>
        <v>1216053.0255711998</v>
      </c>
      <c r="N618">
        <f t="shared" si="28"/>
        <v>107615.31199745131</v>
      </c>
      <c r="O618" t="str">
        <f t="shared" si="29"/>
        <v>BEHOLD</v>
      </c>
      <c r="P618" s="1" t="s">
        <v>5710</v>
      </c>
    </row>
    <row r="619" spans="1:16" ht="15" customHeight="1" x14ac:dyDescent="0.2">
      <c r="A619" s="1" t="s">
        <v>1729</v>
      </c>
      <c r="B619" s="1" t="s">
        <v>1730</v>
      </c>
      <c r="C619" s="1" t="s">
        <v>9</v>
      </c>
      <c r="D619" s="1" t="s">
        <v>3</v>
      </c>
      <c r="E619" s="5">
        <v>37140</v>
      </c>
      <c r="F619" s="5">
        <v>46155</v>
      </c>
      <c r="G619" s="2">
        <v>5.1605400000000001</v>
      </c>
      <c r="H619" s="1" t="s">
        <v>10</v>
      </c>
      <c r="I619" s="2">
        <v>1316.879291322</v>
      </c>
      <c r="J619" s="1" t="s">
        <v>30</v>
      </c>
      <c r="K619" s="1" t="s">
        <v>1731</v>
      </c>
      <c r="L619" s="2">
        <v>1643375</v>
      </c>
      <c r="M619">
        <f t="shared" si="27"/>
        <v>8480702.4224999994</v>
      </c>
      <c r="N619">
        <f t="shared" si="28"/>
        <v>750504.63915929198</v>
      </c>
      <c r="O619" t="str">
        <f t="shared" si="29"/>
        <v>BEHOLD</v>
      </c>
      <c r="P619" s="1" t="s">
        <v>5711</v>
      </c>
    </row>
    <row r="620" spans="1:16" ht="15" customHeight="1" x14ac:dyDescent="0.2">
      <c r="A620" s="1" t="s">
        <v>1732</v>
      </c>
      <c r="B620" s="1" t="s">
        <v>1733</v>
      </c>
      <c r="C620" s="1" t="s">
        <v>9</v>
      </c>
      <c r="D620" s="1" t="s">
        <v>3</v>
      </c>
      <c r="E620" s="5">
        <v>37131</v>
      </c>
      <c r="F620" s="5">
        <v>38835</v>
      </c>
      <c r="G620" s="2"/>
      <c r="H620" s="1" t="s">
        <v>10</v>
      </c>
      <c r="I620" s="2"/>
      <c r="J620" s="1" t="s">
        <v>391</v>
      </c>
      <c r="K620" s="1" t="s">
        <v>1734</v>
      </c>
      <c r="L620" s="2"/>
      <c r="M620" t="str">
        <f t="shared" si="27"/>
        <v/>
      </c>
      <c r="N620" t="str">
        <f t="shared" si="28"/>
        <v/>
      </c>
      <c r="O620" t="str">
        <f t="shared" si="29"/>
        <v>FJERN</v>
      </c>
      <c r="P620" s="1" t="s">
        <v>5712</v>
      </c>
    </row>
    <row r="621" spans="1:16" ht="15" customHeight="1" x14ac:dyDescent="0.2">
      <c r="A621" s="1" t="s">
        <v>1735</v>
      </c>
      <c r="B621" s="1" t="s">
        <v>1736</v>
      </c>
      <c r="C621" s="1" t="s">
        <v>9</v>
      </c>
      <c r="D621" s="1" t="s">
        <v>3</v>
      </c>
      <c r="E621" s="5">
        <v>37162</v>
      </c>
      <c r="F621" s="5">
        <v>41415</v>
      </c>
      <c r="G621" s="2">
        <v>5.3957920000000001</v>
      </c>
      <c r="H621" s="1" t="s">
        <v>10</v>
      </c>
      <c r="I621" s="2"/>
      <c r="J621" s="1" t="s">
        <v>236</v>
      </c>
      <c r="K621" s="1" t="s">
        <v>1737</v>
      </c>
      <c r="L621" s="2">
        <v>135688.5</v>
      </c>
      <c r="M621">
        <f t="shared" si="27"/>
        <v>732146.922792</v>
      </c>
      <c r="N621">
        <f t="shared" si="28"/>
        <v>64791.763078938049</v>
      </c>
      <c r="O621" t="str">
        <f t="shared" si="29"/>
        <v>FJERN</v>
      </c>
      <c r="P621" s="1" t="s">
        <v>5713</v>
      </c>
    </row>
    <row r="622" spans="1:16" ht="15" customHeight="1" x14ac:dyDescent="0.2">
      <c r="A622" s="1" t="s">
        <v>1738</v>
      </c>
      <c r="B622" s="1" t="s">
        <v>1739</v>
      </c>
      <c r="C622" s="1" t="s">
        <v>9</v>
      </c>
      <c r="D622" s="1" t="s">
        <v>3</v>
      </c>
      <c r="E622" s="5">
        <v>37305</v>
      </c>
      <c r="F622" s="5">
        <v>40822</v>
      </c>
      <c r="G622" s="2">
        <v>2.550932</v>
      </c>
      <c r="H622" s="1" t="s">
        <v>10</v>
      </c>
      <c r="I622" s="2"/>
      <c r="J622" s="1" t="s">
        <v>76</v>
      </c>
      <c r="K622" s="1" t="s">
        <v>1740</v>
      </c>
      <c r="L622" s="2">
        <v>66.88064</v>
      </c>
      <c r="M622">
        <f t="shared" si="27"/>
        <v>170.60796475647999</v>
      </c>
      <c r="N622">
        <f t="shared" si="28"/>
        <v>15.098049978449556</v>
      </c>
      <c r="O622" t="str">
        <f t="shared" si="29"/>
        <v>FJERN</v>
      </c>
      <c r="P622" s="1"/>
    </row>
    <row r="623" spans="1:16" ht="15" customHeight="1" x14ac:dyDescent="0.2">
      <c r="A623" s="1" t="s">
        <v>1741</v>
      </c>
      <c r="B623" s="1" t="s">
        <v>1742</v>
      </c>
      <c r="C623" s="1" t="s">
        <v>9</v>
      </c>
      <c r="D623" s="1" t="s">
        <v>3</v>
      </c>
      <c r="E623" s="5">
        <v>36334</v>
      </c>
      <c r="F623" s="5">
        <v>39318</v>
      </c>
      <c r="G623" s="2"/>
      <c r="H623" s="1" t="s">
        <v>10</v>
      </c>
      <c r="I623" s="2"/>
      <c r="J623" s="1" t="s">
        <v>11</v>
      </c>
      <c r="K623" s="1" t="s">
        <v>1743</v>
      </c>
      <c r="L623" s="2"/>
      <c r="M623" t="str">
        <f t="shared" si="27"/>
        <v/>
      </c>
      <c r="N623" t="str">
        <f t="shared" si="28"/>
        <v/>
      </c>
      <c r="O623" t="str">
        <f t="shared" si="29"/>
        <v>FJERN</v>
      </c>
      <c r="P623" s="1" t="s">
        <v>5714</v>
      </c>
    </row>
    <row r="624" spans="1:16" ht="15" customHeight="1" x14ac:dyDescent="0.2">
      <c r="A624" s="1" t="s">
        <v>1744</v>
      </c>
      <c r="B624" s="1" t="s">
        <v>1745</v>
      </c>
      <c r="C624" s="1" t="s">
        <v>2</v>
      </c>
      <c r="D624" s="1" t="s">
        <v>3</v>
      </c>
      <c r="E624" s="5">
        <v>32448</v>
      </c>
      <c r="F624" s="5">
        <v>44118</v>
      </c>
      <c r="G624" s="2">
        <v>36.855739999999997</v>
      </c>
      <c r="H624" s="1" t="s">
        <v>4</v>
      </c>
      <c r="I624" s="2"/>
      <c r="J624" s="1" t="s">
        <v>197</v>
      </c>
      <c r="K624" s="1" t="s">
        <v>1746</v>
      </c>
      <c r="L624" s="2">
        <v>540.39930000000004</v>
      </c>
      <c r="M624">
        <f t="shared" si="27"/>
        <v>19916.816096981998</v>
      </c>
      <c r="N624">
        <f t="shared" si="28"/>
        <v>2673.3981338230869</v>
      </c>
      <c r="O624" t="str">
        <f t="shared" si="29"/>
        <v>FJERN</v>
      </c>
      <c r="P624" s="1" t="s">
        <v>5715</v>
      </c>
    </row>
    <row r="625" spans="1:16" ht="15" customHeight="1" x14ac:dyDescent="0.2">
      <c r="A625" s="1" t="s">
        <v>1747</v>
      </c>
      <c r="B625" s="1" t="s">
        <v>1748</v>
      </c>
      <c r="C625" s="1" t="s">
        <v>9</v>
      </c>
      <c r="D625" s="1" t="s">
        <v>3</v>
      </c>
      <c r="E625" s="5">
        <v>37215</v>
      </c>
      <c r="F625" s="5">
        <v>46155</v>
      </c>
      <c r="G625" s="2">
        <v>95.062830000000005</v>
      </c>
      <c r="H625" s="1" t="s">
        <v>10</v>
      </c>
      <c r="I625" s="2">
        <v>23353.392081900001</v>
      </c>
      <c r="J625" s="1" t="s">
        <v>19</v>
      </c>
      <c r="K625" s="1" t="s">
        <v>1749</v>
      </c>
      <c r="L625" s="2">
        <v>580943.4</v>
      </c>
      <c r="M625">
        <f t="shared" si="27"/>
        <v>55226123.673822008</v>
      </c>
      <c r="N625">
        <f t="shared" si="28"/>
        <v>4887267.5817541601</v>
      </c>
      <c r="O625" t="str">
        <f t="shared" si="29"/>
        <v>BEHOLD</v>
      </c>
      <c r="P625" s="1" t="s">
        <v>5716</v>
      </c>
    </row>
    <row r="626" spans="1:16" ht="15" customHeight="1" x14ac:dyDescent="0.2">
      <c r="A626" s="1" t="s">
        <v>1750</v>
      </c>
      <c r="B626" s="1" t="s">
        <v>1751</v>
      </c>
      <c r="C626" s="1" t="s">
        <v>2</v>
      </c>
      <c r="D626" s="1" t="s">
        <v>3</v>
      </c>
      <c r="E626" s="5">
        <v>33137</v>
      </c>
      <c r="F626" s="5">
        <v>41236</v>
      </c>
      <c r="G626" s="2">
        <v>68.65258</v>
      </c>
      <c r="H626" s="1" t="s">
        <v>4</v>
      </c>
      <c r="I626" s="2"/>
      <c r="J626" s="1" t="s">
        <v>15</v>
      </c>
      <c r="K626" s="1" t="s">
        <v>1752</v>
      </c>
      <c r="L626" s="2">
        <v>252.92910000000001</v>
      </c>
      <c r="M626">
        <f t="shared" si="27"/>
        <v>17364.235272078</v>
      </c>
      <c r="N626">
        <f t="shared" si="28"/>
        <v>2330.7698351782551</v>
      </c>
      <c r="O626" t="str">
        <f t="shared" si="29"/>
        <v>FJERN</v>
      </c>
      <c r="P626" s="1" t="s">
        <v>5717</v>
      </c>
    </row>
    <row r="627" spans="1:16" ht="15" customHeight="1" x14ac:dyDescent="0.2">
      <c r="A627" s="1" t="s">
        <v>1753</v>
      </c>
      <c r="B627" s="1" t="s">
        <v>1754</v>
      </c>
      <c r="C627" s="1" t="s">
        <v>9</v>
      </c>
      <c r="D627" s="1" t="s">
        <v>3</v>
      </c>
      <c r="E627" s="5">
        <v>37393</v>
      </c>
      <c r="F627" s="5">
        <v>46155</v>
      </c>
      <c r="G627" s="2">
        <v>224.01339999999999</v>
      </c>
      <c r="H627" s="1" t="s">
        <v>10</v>
      </c>
      <c r="I627" s="2">
        <v>192486.06902876301</v>
      </c>
      <c r="J627" s="1" t="s">
        <v>23</v>
      </c>
      <c r="K627" s="1" t="s">
        <v>1755</v>
      </c>
      <c r="L627" s="2">
        <v>1250584</v>
      </c>
      <c r="M627">
        <f t="shared" si="27"/>
        <v>280147573.82559997</v>
      </c>
      <c r="N627">
        <f t="shared" si="28"/>
        <v>24791820.692530967</v>
      </c>
      <c r="O627" t="str">
        <f t="shared" si="29"/>
        <v>BEHOLD</v>
      </c>
      <c r="P627" s="1" t="s">
        <v>5718</v>
      </c>
    </row>
    <row r="628" spans="1:16" ht="15" customHeight="1" x14ac:dyDescent="0.2">
      <c r="A628" s="1" t="s">
        <v>1756</v>
      </c>
      <c r="B628" s="1" t="s">
        <v>1757</v>
      </c>
      <c r="C628" s="1" t="s">
        <v>9</v>
      </c>
      <c r="D628" s="1" t="s">
        <v>3</v>
      </c>
      <c r="E628" s="5">
        <v>38134</v>
      </c>
      <c r="F628" s="5">
        <v>41096</v>
      </c>
      <c r="G628" s="2">
        <v>38.974800000000002</v>
      </c>
      <c r="H628" s="1" t="s">
        <v>10</v>
      </c>
      <c r="I628" s="2"/>
      <c r="J628" s="1" t="s">
        <v>23</v>
      </c>
      <c r="K628" s="1" t="s">
        <v>1758</v>
      </c>
      <c r="L628" s="2">
        <v>606.85059999999999</v>
      </c>
      <c r="M628">
        <f t="shared" si="27"/>
        <v>23651.880764879999</v>
      </c>
      <c r="N628">
        <f t="shared" si="28"/>
        <v>2093.0867933522122</v>
      </c>
      <c r="O628" t="str">
        <f t="shared" si="29"/>
        <v>FJERN</v>
      </c>
      <c r="P628" s="1" t="s">
        <v>5719</v>
      </c>
    </row>
    <row r="629" spans="1:16" ht="15" customHeight="1" x14ac:dyDescent="0.2">
      <c r="A629" s="1" t="s">
        <v>1759</v>
      </c>
      <c r="B629" s="1" t="s">
        <v>1760</v>
      </c>
      <c r="C629" s="1" t="s">
        <v>9</v>
      </c>
      <c r="D629" s="1" t="s">
        <v>3</v>
      </c>
      <c r="E629" s="5">
        <v>37025</v>
      </c>
      <c r="F629" s="5">
        <v>38649</v>
      </c>
      <c r="G629" s="2"/>
      <c r="H629" s="1" t="s">
        <v>10</v>
      </c>
      <c r="I629" s="2"/>
      <c r="J629" s="1" t="s">
        <v>76</v>
      </c>
      <c r="K629" s="1" t="s">
        <v>1761</v>
      </c>
      <c r="L629" s="2"/>
      <c r="M629" t="str">
        <f t="shared" si="27"/>
        <v/>
      </c>
      <c r="N629" t="str">
        <f t="shared" si="28"/>
        <v/>
      </c>
      <c r="O629" t="str">
        <f t="shared" si="29"/>
        <v>FJERN</v>
      </c>
      <c r="P629" s="1" t="s">
        <v>5720</v>
      </c>
    </row>
    <row r="630" spans="1:16" ht="15" customHeight="1" x14ac:dyDescent="0.2">
      <c r="A630" s="1" t="s">
        <v>1762</v>
      </c>
      <c r="B630" s="1" t="s">
        <v>1763</v>
      </c>
      <c r="C630" s="1" t="s">
        <v>9</v>
      </c>
      <c r="D630" s="1" t="s">
        <v>3</v>
      </c>
      <c r="E630" s="5">
        <v>37414</v>
      </c>
      <c r="F630" s="5">
        <v>46155</v>
      </c>
      <c r="G630" s="2">
        <v>166.1977</v>
      </c>
      <c r="H630" s="1" t="s">
        <v>10</v>
      </c>
      <c r="I630" s="2">
        <v>5258.5336256999999</v>
      </c>
      <c r="J630" s="1" t="s">
        <v>328</v>
      </c>
      <c r="K630" s="1" t="s">
        <v>1764</v>
      </c>
      <c r="L630" s="2">
        <v>466695.3</v>
      </c>
      <c r="M630">
        <f t="shared" si="27"/>
        <v>77563685.460809991</v>
      </c>
      <c r="N630">
        <f t="shared" si="28"/>
        <v>6864042.9611336272</v>
      </c>
      <c r="O630" t="str">
        <f t="shared" si="29"/>
        <v>BEHOLD</v>
      </c>
      <c r="P630" s="1" t="s">
        <v>5721</v>
      </c>
    </row>
    <row r="631" spans="1:16" ht="15" customHeight="1" x14ac:dyDescent="0.2">
      <c r="A631" s="1" t="s">
        <v>1765</v>
      </c>
      <c r="B631" s="1" t="s">
        <v>1766</v>
      </c>
      <c r="C631" s="1" t="s">
        <v>9</v>
      </c>
      <c r="D631" s="1" t="s">
        <v>3</v>
      </c>
      <c r="E631" s="5">
        <v>39353</v>
      </c>
      <c r="F631" s="5">
        <v>46155</v>
      </c>
      <c r="G631" s="2">
        <v>5.719004</v>
      </c>
      <c r="H631" s="1" t="s">
        <v>10</v>
      </c>
      <c r="I631" s="2">
        <v>72.635866424999506</v>
      </c>
      <c r="J631" s="1" t="s">
        <v>366</v>
      </c>
      <c r="K631" s="1" t="s">
        <v>1767</v>
      </c>
      <c r="L631" s="2">
        <v>1948704</v>
      </c>
      <c r="M631">
        <f t="shared" si="27"/>
        <v>11144645.970815999</v>
      </c>
      <c r="N631">
        <f t="shared" si="28"/>
        <v>986251.85582442465</v>
      </c>
      <c r="O631" t="str">
        <f t="shared" si="29"/>
        <v>BEHOLD</v>
      </c>
      <c r="P631" s="1" t="s">
        <v>5722</v>
      </c>
    </row>
    <row r="632" spans="1:16" ht="15" customHeight="1" x14ac:dyDescent="0.2">
      <c r="A632" s="1" t="s">
        <v>1768</v>
      </c>
      <c r="B632" s="1" t="s">
        <v>1769</v>
      </c>
      <c r="C632" s="1" t="s">
        <v>9</v>
      </c>
      <c r="D632" s="1" t="s">
        <v>3</v>
      </c>
      <c r="E632" s="5">
        <v>39756</v>
      </c>
      <c r="F632" s="5">
        <v>40770</v>
      </c>
      <c r="G632" s="2">
        <v>1.99129</v>
      </c>
      <c r="H632" s="1" t="s">
        <v>10</v>
      </c>
      <c r="I632" s="2"/>
      <c r="J632" s="1" t="s">
        <v>76</v>
      </c>
      <c r="K632" s="1" t="s">
        <v>1770</v>
      </c>
      <c r="L632" s="2">
        <v>11948.71</v>
      </c>
      <c r="M632">
        <f t="shared" si="27"/>
        <v>23793.346735899999</v>
      </c>
      <c r="N632">
        <f t="shared" si="28"/>
        <v>2105.6059058318583</v>
      </c>
      <c r="O632" t="str">
        <f t="shared" si="29"/>
        <v>FJERN</v>
      </c>
      <c r="P632" s="1"/>
    </row>
    <row r="633" spans="1:16" ht="15" customHeight="1" x14ac:dyDescent="0.2">
      <c r="A633" s="1" t="s">
        <v>1771</v>
      </c>
      <c r="B633" s="1" t="s">
        <v>1772</v>
      </c>
      <c r="C633" s="1" t="s">
        <v>9</v>
      </c>
      <c r="D633" s="1" t="s">
        <v>3</v>
      </c>
      <c r="E633" s="5">
        <v>34290</v>
      </c>
      <c r="F633" s="5">
        <v>46155</v>
      </c>
      <c r="G633" s="2">
        <v>89.738630000000001</v>
      </c>
      <c r="H633" s="1" t="s">
        <v>10</v>
      </c>
      <c r="I633" s="2">
        <v>746.48475399999995</v>
      </c>
      <c r="J633" s="1" t="s">
        <v>23</v>
      </c>
      <c r="K633" s="1" t="s">
        <v>1773</v>
      </c>
      <c r="L633" s="2">
        <v>8476.4509999999991</v>
      </c>
      <c r="M633">
        <f t="shared" si="27"/>
        <v>760665.10000212991</v>
      </c>
      <c r="N633">
        <f t="shared" si="28"/>
        <v>67315.495575409717</v>
      </c>
      <c r="O633" t="str">
        <f t="shared" si="29"/>
        <v>FJERN</v>
      </c>
      <c r="P633" s="1" t="s">
        <v>5723</v>
      </c>
    </row>
    <row r="634" spans="1:16" ht="15" customHeight="1" x14ac:dyDescent="0.2">
      <c r="A634" s="1" t="s">
        <v>1774</v>
      </c>
      <c r="B634" s="1" t="s">
        <v>1775</v>
      </c>
      <c r="C634" s="1" t="s">
        <v>9</v>
      </c>
      <c r="D634" s="1" t="s">
        <v>3</v>
      </c>
      <c r="E634" s="5">
        <v>37427</v>
      </c>
      <c r="F634" s="5">
        <v>39794</v>
      </c>
      <c r="G634" s="2">
        <v>24.5</v>
      </c>
      <c r="H634" s="1" t="s">
        <v>10</v>
      </c>
      <c r="I634" s="2"/>
      <c r="J634" s="1" t="s">
        <v>122</v>
      </c>
      <c r="K634" s="1" t="s">
        <v>1776</v>
      </c>
      <c r="L634" s="2">
        <v>0</v>
      </c>
      <c r="M634">
        <f t="shared" si="27"/>
        <v>0</v>
      </c>
      <c r="N634">
        <f t="shared" si="28"/>
        <v>0</v>
      </c>
      <c r="O634" t="str">
        <f t="shared" si="29"/>
        <v>FJERN</v>
      </c>
      <c r="P634" s="1" t="s">
        <v>5724</v>
      </c>
    </row>
    <row r="635" spans="1:16" ht="15" customHeight="1" x14ac:dyDescent="0.2">
      <c r="A635" s="1" t="s">
        <v>1777</v>
      </c>
      <c r="B635" s="1" t="s">
        <v>1778</v>
      </c>
      <c r="C635" s="1" t="s">
        <v>2</v>
      </c>
      <c r="D635" s="1" t="s">
        <v>3</v>
      </c>
      <c r="E635" s="5">
        <v>36602</v>
      </c>
      <c r="F635" s="5">
        <v>41029</v>
      </c>
      <c r="G635" s="2">
        <v>346.14760000000001</v>
      </c>
      <c r="H635" s="1" t="s">
        <v>4</v>
      </c>
      <c r="I635" s="2"/>
      <c r="J635" s="1" t="s">
        <v>289</v>
      </c>
      <c r="K635" s="1" t="s">
        <v>1779</v>
      </c>
      <c r="L635" s="2">
        <v>67.589150000000004</v>
      </c>
      <c r="M635">
        <f t="shared" si="27"/>
        <v>23395.822058540001</v>
      </c>
      <c r="N635">
        <f t="shared" si="28"/>
        <v>3140.378799804027</v>
      </c>
      <c r="O635" t="str">
        <f t="shared" si="29"/>
        <v>FJERN</v>
      </c>
      <c r="P635" s="1" t="s">
        <v>5725</v>
      </c>
    </row>
    <row r="636" spans="1:16" ht="15" customHeight="1" x14ac:dyDescent="0.2">
      <c r="A636" s="1" t="s">
        <v>1780</v>
      </c>
      <c r="B636" s="1" t="s">
        <v>1781</v>
      </c>
      <c r="C636" s="1" t="s">
        <v>9</v>
      </c>
      <c r="D636" s="1" t="s">
        <v>3</v>
      </c>
      <c r="E636" s="5">
        <v>36964</v>
      </c>
      <c r="F636" s="5">
        <v>46155</v>
      </c>
      <c r="G636" s="2">
        <v>72.652479999999997</v>
      </c>
      <c r="H636" s="1" t="s">
        <v>10</v>
      </c>
      <c r="I636" s="2">
        <v>1761.147612</v>
      </c>
      <c r="J636" s="1" t="s">
        <v>34</v>
      </c>
      <c r="K636" s="1" t="s">
        <v>1782</v>
      </c>
      <c r="L636" s="2">
        <v>4242.8419999999996</v>
      </c>
      <c r="M636">
        <f t="shared" si="27"/>
        <v>308252.99354815995</v>
      </c>
      <c r="N636">
        <f t="shared" si="28"/>
        <v>27279.025977713267</v>
      </c>
      <c r="O636" t="str">
        <f t="shared" si="29"/>
        <v>FJERN</v>
      </c>
      <c r="P636" s="1" t="s">
        <v>5726</v>
      </c>
    </row>
    <row r="637" spans="1:16" ht="15" customHeight="1" x14ac:dyDescent="0.2">
      <c r="A637" s="1" t="s">
        <v>1783</v>
      </c>
      <c r="B637" s="1" t="s">
        <v>1784</v>
      </c>
      <c r="C637" s="1" t="s">
        <v>9</v>
      </c>
      <c r="D637" s="1" t="s">
        <v>3</v>
      </c>
      <c r="E637" s="5">
        <v>36601</v>
      </c>
      <c r="F637" s="5">
        <v>38359</v>
      </c>
      <c r="G637" s="2"/>
      <c r="H637" s="1" t="s">
        <v>10</v>
      </c>
      <c r="I637" s="2"/>
      <c r="J637" s="1" t="s">
        <v>391</v>
      </c>
      <c r="K637" s="1" t="s">
        <v>1785</v>
      </c>
      <c r="L637" s="2"/>
      <c r="M637" t="str">
        <f t="shared" si="27"/>
        <v/>
      </c>
      <c r="N637" t="str">
        <f t="shared" si="28"/>
        <v/>
      </c>
      <c r="O637" t="str">
        <f t="shared" si="29"/>
        <v>FJERN</v>
      </c>
      <c r="P637" s="1" t="s">
        <v>5727</v>
      </c>
    </row>
    <row r="638" spans="1:16" ht="15" customHeight="1" x14ac:dyDescent="0.2">
      <c r="A638" s="1" t="s">
        <v>1786</v>
      </c>
      <c r="B638" s="1" t="s">
        <v>1787</v>
      </c>
      <c r="C638" s="1" t="s">
        <v>2</v>
      </c>
      <c r="D638" s="1" t="s">
        <v>3</v>
      </c>
      <c r="E638" s="5">
        <v>32106</v>
      </c>
      <c r="F638" s="5">
        <v>46155</v>
      </c>
      <c r="G638" s="2">
        <v>84.023920000000004</v>
      </c>
      <c r="H638" s="1" t="s">
        <v>4</v>
      </c>
      <c r="I638" s="2">
        <v>2703.5809650000001</v>
      </c>
      <c r="J638" s="1" t="s">
        <v>15</v>
      </c>
      <c r="K638" s="1" t="s">
        <v>1788</v>
      </c>
      <c r="L638" s="2">
        <v>4993.777</v>
      </c>
      <c r="M638">
        <f t="shared" si="27"/>
        <v>419596.71914584003</v>
      </c>
      <c r="N638">
        <f t="shared" si="28"/>
        <v>56321.707267897989</v>
      </c>
      <c r="O638" t="str">
        <f t="shared" si="29"/>
        <v>FJERN</v>
      </c>
      <c r="P638" s="1" t="s">
        <v>5728</v>
      </c>
    </row>
    <row r="639" spans="1:16" ht="15" customHeight="1" x14ac:dyDescent="0.2">
      <c r="A639" s="1" t="s">
        <v>1789</v>
      </c>
      <c r="B639" s="1" t="s">
        <v>1790</v>
      </c>
      <c r="C639" s="1" t="s">
        <v>9</v>
      </c>
      <c r="D639" s="1" t="s">
        <v>3</v>
      </c>
      <c r="E639" s="5">
        <v>35870</v>
      </c>
      <c r="F639" s="5">
        <v>40742</v>
      </c>
      <c r="G639" s="2">
        <v>1.293458</v>
      </c>
      <c r="H639" s="1" t="s">
        <v>10</v>
      </c>
      <c r="I639" s="2"/>
      <c r="J639" s="1" t="s">
        <v>64</v>
      </c>
      <c r="K639" s="1" t="s">
        <v>1791</v>
      </c>
      <c r="L639" s="2">
        <v>1242574</v>
      </c>
      <c r="M639">
        <f t="shared" si="27"/>
        <v>1607217.2808920001</v>
      </c>
      <c r="N639">
        <f t="shared" si="28"/>
        <v>142231.6177780531</v>
      </c>
      <c r="O639" t="str">
        <f t="shared" si="29"/>
        <v>BEHOLD</v>
      </c>
      <c r="P639" s="1" t="s">
        <v>5729</v>
      </c>
    </row>
    <row r="640" spans="1:16" ht="15" customHeight="1" x14ac:dyDescent="0.2">
      <c r="A640" s="1" t="s">
        <v>1792</v>
      </c>
      <c r="B640" s="1" t="s">
        <v>1793</v>
      </c>
      <c r="C640" s="1" t="s">
        <v>9</v>
      </c>
      <c r="D640" s="1" t="s">
        <v>3</v>
      </c>
      <c r="E640" s="5">
        <v>35436</v>
      </c>
      <c r="F640" s="5">
        <v>39437</v>
      </c>
      <c r="G640" s="2">
        <v>2.9599989999999998</v>
      </c>
      <c r="H640" s="1" t="s">
        <v>10</v>
      </c>
      <c r="I640" s="2"/>
      <c r="J640" s="1" t="s">
        <v>236</v>
      </c>
      <c r="K640" s="1" t="s">
        <v>1794</v>
      </c>
      <c r="L640" s="2">
        <v>0</v>
      </c>
      <c r="M640">
        <f t="shared" si="27"/>
        <v>0</v>
      </c>
      <c r="N640">
        <f t="shared" si="28"/>
        <v>0</v>
      </c>
      <c r="O640" t="str">
        <f t="shared" si="29"/>
        <v>FJERN</v>
      </c>
      <c r="P640" s="1" t="s">
        <v>5730</v>
      </c>
    </row>
    <row r="641" spans="1:16" ht="15" customHeight="1" x14ac:dyDescent="0.2">
      <c r="A641" s="1" t="s">
        <v>1795</v>
      </c>
      <c r="B641" s="1" t="s">
        <v>1796</v>
      </c>
      <c r="C641" s="1" t="s">
        <v>9</v>
      </c>
      <c r="D641" s="1" t="s">
        <v>3</v>
      </c>
      <c r="E641" s="5">
        <v>35866</v>
      </c>
      <c r="F641" s="5">
        <v>40753</v>
      </c>
      <c r="G641" s="2">
        <v>42.944650000000003</v>
      </c>
      <c r="H641" s="1" t="s">
        <v>10</v>
      </c>
      <c r="I641" s="2"/>
      <c r="J641" s="1" t="s">
        <v>236</v>
      </c>
      <c r="K641" s="1" t="s">
        <v>1797</v>
      </c>
      <c r="L641" s="2">
        <v>61706.1</v>
      </c>
      <c r="M641">
        <f t="shared" si="27"/>
        <v>2649946.8673650003</v>
      </c>
      <c r="N641">
        <f t="shared" si="28"/>
        <v>234508.57233318585</v>
      </c>
      <c r="O641" t="str">
        <f t="shared" si="29"/>
        <v>BEHOLD</v>
      </c>
      <c r="P641" s="1" t="s">
        <v>5731</v>
      </c>
    </row>
    <row r="642" spans="1:16" ht="15" customHeight="1" x14ac:dyDescent="0.2">
      <c r="A642" s="1" t="s">
        <v>1798</v>
      </c>
      <c r="B642" s="1" t="s">
        <v>1799</v>
      </c>
      <c r="C642" s="1" t="s">
        <v>9</v>
      </c>
      <c r="D642" s="1" t="s">
        <v>3</v>
      </c>
      <c r="E642" s="5">
        <v>35871</v>
      </c>
      <c r="F642" s="5">
        <v>38988</v>
      </c>
      <c r="G642" s="2"/>
      <c r="H642" s="1" t="s">
        <v>10</v>
      </c>
      <c r="I642" s="2"/>
      <c r="J642" s="1" t="s">
        <v>236</v>
      </c>
      <c r="K642" s="1" t="s">
        <v>1800</v>
      </c>
      <c r="L642" s="2"/>
      <c r="M642" t="str">
        <f t="shared" si="27"/>
        <v/>
      </c>
      <c r="N642" t="str">
        <f t="shared" si="28"/>
        <v/>
      </c>
      <c r="O642" t="str">
        <f t="shared" si="29"/>
        <v>FJERN</v>
      </c>
      <c r="P642" s="1" t="s">
        <v>5732</v>
      </c>
    </row>
    <row r="643" spans="1:16" ht="15" customHeight="1" x14ac:dyDescent="0.2">
      <c r="A643" s="1" t="s">
        <v>1801</v>
      </c>
      <c r="B643" s="1" t="s">
        <v>1802</v>
      </c>
      <c r="C643" s="1" t="s">
        <v>9</v>
      </c>
      <c r="D643" s="1" t="s">
        <v>3</v>
      </c>
      <c r="E643" s="5">
        <v>33669</v>
      </c>
      <c r="F643" s="5">
        <v>46155</v>
      </c>
      <c r="G643" s="2">
        <v>93.855119999999999</v>
      </c>
      <c r="H643" s="1" t="s">
        <v>10</v>
      </c>
      <c r="I643" s="2">
        <v>7816.4722439999996</v>
      </c>
      <c r="J643" s="1" t="s">
        <v>64</v>
      </c>
      <c r="K643" s="1" t="s">
        <v>1803</v>
      </c>
      <c r="L643" s="2">
        <v>69473.52</v>
      </c>
      <c r="M643">
        <f t="shared" ref="M643:M706" si="30">IF(OR(G643="",L643=""),"",G643*L643)</f>
        <v>6520445.5564224003</v>
      </c>
      <c r="N643">
        <f t="shared" ref="N643:N706" si="31">IF(M643="","",IF(H643="DKK",M643/7.45,IF(H643="SEK",M643/11.3,M643)))</f>
        <v>577030.58021437167</v>
      </c>
      <c r="O643" t="str">
        <f t="shared" ref="O643:O706" si="32">IF(AND(E643&lt;=DATE(2024,12,31),F643&gt;=DATE(2010,1,1),D643="SHARE",N643&gt;=100000),"BEHOLD","FJERN")</f>
        <v>BEHOLD</v>
      </c>
      <c r="P643" s="1" t="s">
        <v>5733</v>
      </c>
    </row>
    <row r="644" spans="1:16" ht="15" customHeight="1" x14ac:dyDescent="0.2">
      <c r="A644" s="1" t="s">
        <v>1804</v>
      </c>
      <c r="B644" s="1" t="s">
        <v>1805</v>
      </c>
      <c r="C644" s="1" t="s">
        <v>9</v>
      </c>
      <c r="D644" s="1" t="s">
        <v>3</v>
      </c>
      <c r="E644" s="5">
        <v>36692</v>
      </c>
      <c r="F644" s="5">
        <v>46155</v>
      </c>
      <c r="G644" s="2">
        <v>7.4336399999999996</v>
      </c>
      <c r="H644" s="1" t="s">
        <v>10</v>
      </c>
      <c r="I644" s="2">
        <v>314.06268654000002</v>
      </c>
      <c r="J644" s="1" t="s">
        <v>236</v>
      </c>
      <c r="K644" s="1" t="s">
        <v>1806</v>
      </c>
      <c r="L644" s="2">
        <v>23715.32</v>
      </c>
      <c r="M644">
        <f t="shared" si="30"/>
        <v>176291.1513648</v>
      </c>
      <c r="N644">
        <f t="shared" si="31"/>
        <v>15600.986846442476</v>
      </c>
      <c r="O644" t="str">
        <f t="shared" si="32"/>
        <v>FJERN</v>
      </c>
      <c r="P644" s="1" t="s">
        <v>5734</v>
      </c>
    </row>
    <row r="645" spans="1:16" ht="15" customHeight="1" x14ac:dyDescent="0.2">
      <c r="A645" s="1" t="s">
        <v>1807</v>
      </c>
      <c r="B645" s="1" t="s">
        <v>1808</v>
      </c>
      <c r="C645" s="1" t="s">
        <v>2</v>
      </c>
      <c r="D645" s="1" t="s">
        <v>3</v>
      </c>
      <c r="E645" s="5">
        <v>32232</v>
      </c>
      <c r="F645" s="5">
        <v>39805</v>
      </c>
      <c r="G645" s="2">
        <v>115</v>
      </c>
      <c r="H645" s="1" t="s">
        <v>4</v>
      </c>
      <c r="I645" s="2"/>
      <c r="J645" s="1" t="s">
        <v>15</v>
      </c>
      <c r="K645" s="1" t="s">
        <v>1809</v>
      </c>
      <c r="L645" s="2">
        <v>0</v>
      </c>
      <c r="M645">
        <f t="shared" si="30"/>
        <v>0</v>
      </c>
      <c r="N645">
        <f t="shared" si="31"/>
        <v>0</v>
      </c>
      <c r="O645" t="str">
        <f t="shared" si="32"/>
        <v>FJERN</v>
      </c>
      <c r="P645" s="1" t="s">
        <v>5735</v>
      </c>
    </row>
    <row r="646" spans="1:16" ht="15" customHeight="1" x14ac:dyDescent="0.2">
      <c r="A646" s="1" t="s">
        <v>1810</v>
      </c>
      <c r="B646" s="1" t="s">
        <v>1811</v>
      </c>
      <c r="C646" s="1" t="s">
        <v>9</v>
      </c>
      <c r="D646" s="1" t="s">
        <v>3</v>
      </c>
      <c r="E646" s="5">
        <v>36655</v>
      </c>
      <c r="F646" s="5">
        <v>42096</v>
      </c>
      <c r="G646" s="2">
        <v>1.02315</v>
      </c>
      <c r="H646" s="1" t="s">
        <v>10</v>
      </c>
      <c r="I646" s="2"/>
      <c r="J646" s="1" t="s">
        <v>38</v>
      </c>
      <c r="K646" s="1" t="s">
        <v>1812</v>
      </c>
      <c r="L646" s="2">
        <v>234866.8</v>
      </c>
      <c r="M646">
        <f t="shared" si="30"/>
        <v>240303.96641999998</v>
      </c>
      <c r="N646">
        <f t="shared" si="31"/>
        <v>21265.837736283182</v>
      </c>
      <c r="O646" t="str">
        <f t="shared" si="32"/>
        <v>FJERN</v>
      </c>
      <c r="P646" s="1" t="s">
        <v>5736</v>
      </c>
    </row>
    <row r="647" spans="1:16" ht="15" customHeight="1" x14ac:dyDescent="0.2">
      <c r="A647" s="1" t="s">
        <v>1813</v>
      </c>
      <c r="B647" s="1" t="s">
        <v>1814</v>
      </c>
      <c r="C647" s="1" t="s">
        <v>2</v>
      </c>
      <c r="D647" s="1" t="s">
        <v>3</v>
      </c>
      <c r="E647" s="5">
        <v>37917</v>
      </c>
      <c r="F647" s="5">
        <v>41886</v>
      </c>
      <c r="G647" s="2">
        <v>87.856430000000003</v>
      </c>
      <c r="H647" s="1" t="s">
        <v>4</v>
      </c>
      <c r="I647" s="2"/>
      <c r="J647" s="1" t="s">
        <v>55</v>
      </c>
      <c r="K647" s="1" t="s">
        <v>1815</v>
      </c>
      <c r="L647" s="2">
        <v>1678.2660000000001</v>
      </c>
      <c r="M647">
        <f t="shared" si="30"/>
        <v>147446.45935038</v>
      </c>
      <c r="N647">
        <f t="shared" si="31"/>
        <v>19791.47105374228</v>
      </c>
      <c r="O647" t="str">
        <f t="shared" si="32"/>
        <v>FJERN</v>
      </c>
      <c r="P647" s="1" t="s">
        <v>5737</v>
      </c>
    </row>
    <row r="648" spans="1:16" ht="15" customHeight="1" x14ac:dyDescent="0.2">
      <c r="A648" s="1" t="s">
        <v>1816</v>
      </c>
      <c r="B648" s="1" t="s">
        <v>1817</v>
      </c>
      <c r="C648" s="1" t="s">
        <v>9</v>
      </c>
      <c r="D648" s="1" t="s">
        <v>3</v>
      </c>
      <c r="E648" s="5">
        <v>37945</v>
      </c>
      <c r="F648" s="5">
        <v>41173</v>
      </c>
      <c r="G648" s="2">
        <v>89.169619999999995</v>
      </c>
      <c r="H648" s="1" t="s">
        <v>10</v>
      </c>
      <c r="I648" s="2"/>
      <c r="J648" s="1" t="s">
        <v>61</v>
      </c>
      <c r="K648" s="1" t="s">
        <v>1818</v>
      </c>
      <c r="L648" s="2">
        <v>6347.2520000000004</v>
      </c>
      <c r="M648">
        <f t="shared" si="30"/>
        <v>565982.04888423998</v>
      </c>
      <c r="N648">
        <f t="shared" si="31"/>
        <v>50086.906980906191</v>
      </c>
      <c r="O648" t="str">
        <f t="shared" si="32"/>
        <v>FJERN</v>
      </c>
      <c r="P648" s="1" t="s">
        <v>5738</v>
      </c>
    </row>
    <row r="649" spans="1:16" ht="15" customHeight="1" x14ac:dyDescent="0.2">
      <c r="A649" s="1" t="s">
        <v>1819</v>
      </c>
      <c r="B649" s="1" t="s">
        <v>1820</v>
      </c>
      <c r="C649" s="1" t="s">
        <v>9</v>
      </c>
      <c r="D649" s="1" t="s">
        <v>3</v>
      </c>
      <c r="E649" s="5">
        <v>34110</v>
      </c>
      <c r="F649" s="5">
        <v>46155</v>
      </c>
      <c r="G649" s="2">
        <v>169.8631</v>
      </c>
      <c r="H649" s="1" t="s">
        <v>10</v>
      </c>
      <c r="I649" s="2">
        <v>59594.4625724</v>
      </c>
      <c r="J649" s="1" t="s">
        <v>34</v>
      </c>
      <c r="K649" s="1" t="s">
        <v>1821</v>
      </c>
      <c r="L649" s="2">
        <v>915685.4</v>
      </c>
      <c r="M649">
        <f t="shared" si="30"/>
        <v>155541160.66874</v>
      </c>
      <c r="N649">
        <f t="shared" si="31"/>
        <v>13764704.483959291</v>
      </c>
      <c r="O649" t="str">
        <f t="shared" si="32"/>
        <v>BEHOLD</v>
      </c>
      <c r="P649" s="1" t="s">
        <v>5739</v>
      </c>
    </row>
    <row r="650" spans="1:16" ht="15" customHeight="1" x14ac:dyDescent="0.2">
      <c r="A650" s="1" t="s">
        <v>1822</v>
      </c>
      <c r="B650" s="1" t="s">
        <v>1823</v>
      </c>
      <c r="C650" s="1" t="s">
        <v>2</v>
      </c>
      <c r="D650" s="1" t="s">
        <v>3</v>
      </c>
      <c r="E650" s="5">
        <v>32231</v>
      </c>
      <c r="F650" s="5">
        <v>42445</v>
      </c>
      <c r="G650" s="2">
        <v>0.59000220000000003</v>
      </c>
      <c r="H650" s="1" t="s">
        <v>4</v>
      </c>
      <c r="I650" s="2"/>
      <c r="J650" s="1" t="s">
        <v>122</v>
      </c>
      <c r="K650" s="1" t="s">
        <v>1824</v>
      </c>
      <c r="L650" s="2">
        <v>42508.17</v>
      </c>
      <c r="M650">
        <f t="shared" si="30"/>
        <v>25079.913817974</v>
      </c>
      <c r="N650">
        <f t="shared" si="31"/>
        <v>3366.431384962953</v>
      </c>
      <c r="O650" t="str">
        <f t="shared" si="32"/>
        <v>FJERN</v>
      </c>
      <c r="P650" s="1" t="s">
        <v>5740</v>
      </c>
    </row>
    <row r="651" spans="1:16" ht="15" customHeight="1" x14ac:dyDescent="0.2">
      <c r="A651" s="1" t="s">
        <v>1825</v>
      </c>
      <c r="B651" s="1" t="s">
        <v>1826</v>
      </c>
      <c r="C651" s="1" t="s">
        <v>9</v>
      </c>
      <c r="D651" s="1" t="s">
        <v>3</v>
      </c>
      <c r="E651" s="5">
        <v>33050</v>
      </c>
      <c r="F651" s="5">
        <v>46155</v>
      </c>
      <c r="G651" s="2">
        <v>4.5463310000000003</v>
      </c>
      <c r="H651" s="1" t="s">
        <v>10</v>
      </c>
      <c r="I651" s="2">
        <v>121.25908982</v>
      </c>
      <c r="J651" s="1" t="s">
        <v>366</v>
      </c>
      <c r="K651" s="1" t="s">
        <v>1827</v>
      </c>
      <c r="L651" s="2">
        <v>2708700</v>
      </c>
      <c r="M651">
        <f t="shared" si="30"/>
        <v>12314646.779700002</v>
      </c>
      <c r="N651">
        <f t="shared" si="31"/>
        <v>1089791.7504159294</v>
      </c>
      <c r="O651" t="str">
        <f t="shared" si="32"/>
        <v>BEHOLD</v>
      </c>
      <c r="P651" s="1" t="s">
        <v>5741</v>
      </c>
    </row>
    <row r="652" spans="1:16" ht="15" customHeight="1" x14ac:dyDescent="0.2">
      <c r="A652" s="1" t="s">
        <v>1828</v>
      </c>
      <c r="B652" s="1" t="s">
        <v>1829</v>
      </c>
      <c r="C652" s="1" t="s">
        <v>2</v>
      </c>
      <c r="D652" s="1" t="s">
        <v>3</v>
      </c>
      <c r="E652" s="5">
        <v>38027</v>
      </c>
      <c r="F652" s="5">
        <v>42522</v>
      </c>
      <c r="G652" s="2">
        <v>17.86242</v>
      </c>
      <c r="H652" s="1" t="s">
        <v>4</v>
      </c>
      <c r="I652" s="2"/>
      <c r="J652" s="1" t="s">
        <v>61</v>
      </c>
      <c r="K652" s="1" t="s">
        <v>1830</v>
      </c>
      <c r="L652" s="2">
        <v>746.89970000000005</v>
      </c>
      <c r="M652">
        <f t="shared" si="30"/>
        <v>13341.436139274001</v>
      </c>
      <c r="N652">
        <f t="shared" si="31"/>
        <v>1790.7967972179868</v>
      </c>
      <c r="O652" t="str">
        <f t="shared" si="32"/>
        <v>FJERN</v>
      </c>
      <c r="P652" s="1" t="s">
        <v>5742</v>
      </c>
    </row>
    <row r="653" spans="1:16" ht="15" customHeight="1" x14ac:dyDescent="0.2">
      <c r="A653" s="1" t="s">
        <v>1831</v>
      </c>
      <c r="B653" s="1" t="s">
        <v>1832</v>
      </c>
      <c r="C653" s="1" t="s">
        <v>2</v>
      </c>
      <c r="D653" s="1" t="s">
        <v>3</v>
      </c>
      <c r="E653" s="5">
        <v>32100</v>
      </c>
      <c r="F653" s="5">
        <v>46000</v>
      </c>
      <c r="G653" s="2">
        <v>4.6475809999999997</v>
      </c>
      <c r="H653" s="1" t="s">
        <v>4</v>
      </c>
      <c r="I653" s="2">
        <v>5240.4027942599996</v>
      </c>
      <c r="J653" s="1" t="s">
        <v>15</v>
      </c>
      <c r="K653" s="1" t="s">
        <v>1833</v>
      </c>
      <c r="L653" s="2">
        <v>341029.1</v>
      </c>
      <c r="M653">
        <f t="shared" si="30"/>
        <v>1584960.3656070998</v>
      </c>
      <c r="N653">
        <f t="shared" si="31"/>
        <v>212746.35779961071</v>
      </c>
      <c r="O653" t="str">
        <f t="shared" si="32"/>
        <v>BEHOLD</v>
      </c>
      <c r="P653" s="1" t="s">
        <v>5743</v>
      </c>
    </row>
    <row r="654" spans="1:16" ht="15" customHeight="1" x14ac:dyDescent="0.2">
      <c r="A654" s="1" t="s">
        <v>1834</v>
      </c>
      <c r="B654" s="1" t="s">
        <v>1835</v>
      </c>
      <c r="C654" s="1" t="s">
        <v>9</v>
      </c>
      <c r="D654" s="1" t="s">
        <v>3</v>
      </c>
      <c r="E654" s="5">
        <v>38119</v>
      </c>
      <c r="F654" s="5">
        <v>41768</v>
      </c>
      <c r="G654" s="2">
        <v>7.1653669999999998</v>
      </c>
      <c r="H654" s="1" t="s">
        <v>10</v>
      </c>
      <c r="I654" s="2"/>
      <c r="J654" s="1" t="s">
        <v>201</v>
      </c>
      <c r="K654" s="1" t="s">
        <v>1836</v>
      </c>
      <c r="L654" s="2">
        <v>25986.12</v>
      </c>
      <c r="M654">
        <f t="shared" si="30"/>
        <v>186200.08670603999</v>
      </c>
      <c r="N654">
        <f t="shared" si="31"/>
        <v>16477.883779295575</v>
      </c>
      <c r="O654" t="str">
        <f t="shared" si="32"/>
        <v>FJERN</v>
      </c>
      <c r="P654" s="1" t="s">
        <v>5744</v>
      </c>
    </row>
    <row r="655" spans="1:16" ht="15" customHeight="1" x14ac:dyDescent="0.2">
      <c r="A655" s="1" t="s">
        <v>1837</v>
      </c>
      <c r="B655" s="1" t="s">
        <v>1838</v>
      </c>
      <c r="C655" s="1" t="s">
        <v>2</v>
      </c>
      <c r="D655" s="1" t="s">
        <v>3</v>
      </c>
      <c r="E655" s="5">
        <v>33801</v>
      </c>
      <c r="F655" s="5">
        <v>46155</v>
      </c>
      <c r="G655" s="2">
        <v>7.6163759999999998</v>
      </c>
      <c r="H655" s="1" t="s">
        <v>4</v>
      </c>
      <c r="I655" s="2">
        <v>156.56765960000001</v>
      </c>
      <c r="J655" s="1" t="s">
        <v>23</v>
      </c>
      <c r="K655" s="1" t="s">
        <v>1839</v>
      </c>
      <c r="L655" s="2">
        <v>8124.6620000000003</v>
      </c>
      <c r="M655">
        <f t="shared" si="30"/>
        <v>61880.480664912</v>
      </c>
      <c r="N655">
        <f t="shared" si="31"/>
        <v>8306.1047872365107</v>
      </c>
      <c r="O655" t="str">
        <f t="shared" si="32"/>
        <v>FJERN</v>
      </c>
      <c r="P655" s="1" t="s">
        <v>5745</v>
      </c>
    </row>
    <row r="656" spans="1:16" ht="15" customHeight="1" x14ac:dyDescent="0.2">
      <c r="A656" s="1" t="s">
        <v>1840</v>
      </c>
      <c r="B656" s="1" t="s">
        <v>1841</v>
      </c>
      <c r="C656" s="1" t="s">
        <v>9</v>
      </c>
      <c r="D656" s="1" t="s">
        <v>3</v>
      </c>
      <c r="E656" s="5">
        <v>38113</v>
      </c>
      <c r="F656" s="5">
        <v>38261</v>
      </c>
      <c r="G656" s="2"/>
      <c r="H656" s="1" t="s">
        <v>10</v>
      </c>
      <c r="I656" s="2"/>
      <c r="J656" s="1" t="s">
        <v>61</v>
      </c>
      <c r="K656" s="1" t="s">
        <v>1842</v>
      </c>
      <c r="L656" s="2"/>
      <c r="M656" t="str">
        <f t="shared" si="30"/>
        <v/>
      </c>
      <c r="N656" t="str">
        <f t="shared" si="31"/>
        <v/>
      </c>
      <c r="O656" t="str">
        <f t="shared" si="32"/>
        <v>FJERN</v>
      </c>
      <c r="P656" s="1" t="s">
        <v>5746</v>
      </c>
    </row>
    <row r="657" spans="1:16" ht="15" customHeight="1" x14ac:dyDescent="0.2">
      <c r="A657" s="1" t="s">
        <v>1843</v>
      </c>
      <c r="B657" s="1" t="s">
        <v>1844</v>
      </c>
      <c r="C657" s="1" t="s">
        <v>9</v>
      </c>
      <c r="D657" s="1" t="s">
        <v>3</v>
      </c>
      <c r="E657" s="5">
        <v>38146</v>
      </c>
      <c r="F657" s="5">
        <v>38471</v>
      </c>
      <c r="G657" s="2"/>
      <c r="H657" s="1" t="s">
        <v>10</v>
      </c>
      <c r="I657" s="2"/>
      <c r="J657" s="1" t="s">
        <v>76</v>
      </c>
      <c r="K657" s="1" t="s">
        <v>1845</v>
      </c>
      <c r="L657" s="2"/>
      <c r="M657" t="str">
        <f t="shared" si="30"/>
        <v/>
      </c>
      <c r="N657" t="str">
        <f t="shared" si="31"/>
        <v/>
      </c>
      <c r="O657" t="str">
        <f t="shared" si="32"/>
        <v>FJERN</v>
      </c>
      <c r="P657" s="1" t="s">
        <v>5747</v>
      </c>
    </row>
    <row r="658" spans="1:16" ht="15" customHeight="1" x14ac:dyDescent="0.2">
      <c r="A658" s="1" t="s">
        <v>1846</v>
      </c>
      <c r="B658" s="1" t="s">
        <v>1847</v>
      </c>
      <c r="C658" s="1" t="s">
        <v>9</v>
      </c>
      <c r="D658" s="1" t="s">
        <v>3</v>
      </c>
      <c r="E658" s="5">
        <v>38106</v>
      </c>
      <c r="F658" s="5">
        <v>41873</v>
      </c>
      <c r="G658" s="2">
        <v>58.168259999999997</v>
      </c>
      <c r="H658" s="1" t="s">
        <v>10</v>
      </c>
      <c r="I658" s="2"/>
      <c r="J658" s="1" t="s">
        <v>236</v>
      </c>
      <c r="K658" s="1" t="s">
        <v>1848</v>
      </c>
      <c r="L658" s="2">
        <v>21095.119999999999</v>
      </c>
      <c r="M658">
        <f t="shared" si="30"/>
        <v>1227066.4248911999</v>
      </c>
      <c r="N658">
        <f t="shared" si="31"/>
        <v>108589.94910541592</v>
      </c>
      <c r="O658" t="str">
        <f t="shared" si="32"/>
        <v>BEHOLD</v>
      </c>
      <c r="P658" s="1" t="s">
        <v>5748</v>
      </c>
    </row>
    <row r="659" spans="1:16" ht="15" customHeight="1" x14ac:dyDescent="0.2">
      <c r="A659" s="1" t="s">
        <v>1849</v>
      </c>
      <c r="B659" s="1" t="s">
        <v>1850</v>
      </c>
      <c r="C659" s="1" t="s">
        <v>9</v>
      </c>
      <c r="D659" s="1" t="s">
        <v>3</v>
      </c>
      <c r="E659" s="5">
        <v>34323</v>
      </c>
      <c r="F659" s="5">
        <v>44174</v>
      </c>
      <c r="G659" s="2">
        <v>31.166219999999999</v>
      </c>
      <c r="H659" s="1" t="s">
        <v>10</v>
      </c>
      <c r="I659" s="2"/>
      <c r="J659" s="1" t="s">
        <v>38</v>
      </c>
      <c r="K659" s="1" t="s">
        <v>1851</v>
      </c>
      <c r="L659" s="2">
        <v>91172.2</v>
      </c>
      <c r="M659">
        <f t="shared" si="30"/>
        <v>2841492.8430840001</v>
      </c>
      <c r="N659">
        <f t="shared" si="31"/>
        <v>251459.5436357522</v>
      </c>
      <c r="O659" t="str">
        <f t="shared" si="32"/>
        <v>BEHOLD</v>
      </c>
      <c r="P659" s="1" t="s">
        <v>5749</v>
      </c>
    </row>
    <row r="660" spans="1:16" ht="15" customHeight="1" x14ac:dyDescent="0.2">
      <c r="A660" s="1" t="s">
        <v>1852</v>
      </c>
      <c r="B660" s="1" t="s">
        <v>1853</v>
      </c>
      <c r="C660" s="1" t="s">
        <v>2</v>
      </c>
      <c r="D660" s="1" t="s">
        <v>3</v>
      </c>
      <c r="E660" s="5">
        <v>32944</v>
      </c>
      <c r="F660" s="5">
        <v>41228</v>
      </c>
      <c r="G660" s="2">
        <v>73.545360000000002</v>
      </c>
      <c r="H660" s="1" t="s">
        <v>4</v>
      </c>
      <c r="I660" s="2"/>
      <c r="J660" s="1" t="s">
        <v>15</v>
      </c>
      <c r="K660" s="1" t="s">
        <v>1854</v>
      </c>
      <c r="L660" s="2">
        <v>917.58150000000001</v>
      </c>
      <c r="M660">
        <f t="shared" si="30"/>
        <v>67483.861746840004</v>
      </c>
      <c r="N660">
        <f t="shared" si="31"/>
        <v>9058.2364760859073</v>
      </c>
      <c r="O660" t="str">
        <f t="shared" si="32"/>
        <v>FJERN</v>
      </c>
      <c r="P660" s="1" t="s">
        <v>5750</v>
      </c>
    </row>
    <row r="661" spans="1:16" ht="15" customHeight="1" x14ac:dyDescent="0.2">
      <c r="A661" s="1" t="s">
        <v>1855</v>
      </c>
      <c r="B661" s="1" t="s">
        <v>1856</v>
      </c>
      <c r="C661" s="1" t="s">
        <v>2</v>
      </c>
      <c r="D661" s="1" t="s">
        <v>3</v>
      </c>
      <c r="E661" s="5">
        <v>33003</v>
      </c>
      <c r="F661" s="5">
        <v>40823</v>
      </c>
      <c r="G661" s="2">
        <v>36.546930000000003</v>
      </c>
      <c r="H661" s="1" t="s">
        <v>4</v>
      </c>
      <c r="I661" s="2"/>
      <c r="J661" s="1" t="s">
        <v>15</v>
      </c>
      <c r="K661" s="1" t="s">
        <v>1857</v>
      </c>
      <c r="L661" s="2">
        <v>3664.6260000000002</v>
      </c>
      <c r="M661">
        <f t="shared" si="30"/>
        <v>133930.82989818003</v>
      </c>
      <c r="N661">
        <f t="shared" si="31"/>
        <v>17977.292603782553</v>
      </c>
      <c r="O661" t="str">
        <f t="shared" si="32"/>
        <v>FJERN</v>
      </c>
      <c r="P661" s="1" t="s">
        <v>5751</v>
      </c>
    </row>
    <row r="662" spans="1:16" ht="15" customHeight="1" x14ac:dyDescent="0.2">
      <c r="A662" s="1" t="s">
        <v>1858</v>
      </c>
      <c r="B662" s="1" t="s">
        <v>1859</v>
      </c>
      <c r="C662" s="1" t="s">
        <v>2</v>
      </c>
      <c r="D662" s="1" t="s">
        <v>3</v>
      </c>
      <c r="E662" s="5">
        <v>32106</v>
      </c>
      <c r="F662" s="5">
        <v>46155</v>
      </c>
      <c r="G662" s="2">
        <v>290.80329999999998</v>
      </c>
      <c r="H662" s="1" t="s">
        <v>4</v>
      </c>
      <c r="I662" s="2">
        <v>2414.4205919999999</v>
      </c>
      <c r="J662" s="1" t="s">
        <v>15</v>
      </c>
      <c r="K662" s="1" t="s">
        <v>1860</v>
      </c>
      <c r="L662" s="2">
        <v>1038.9970000000001</v>
      </c>
      <c r="M662">
        <f t="shared" si="30"/>
        <v>302143.75629009999</v>
      </c>
      <c r="N662">
        <f t="shared" si="31"/>
        <v>40556.208897999997</v>
      </c>
      <c r="O662" t="str">
        <f t="shared" si="32"/>
        <v>FJERN</v>
      </c>
      <c r="P662" s="1" t="s">
        <v>5752</v>
      </c>
    </row>
    <row r="663" spans="1:16" ht="15" customHeight="1" x14ac:dyDescent="0.2">
      <c r="A663" s="1" t="s">
        <v>1861</v>
      </c>
      <c r="B663" s="1" t="s">
        <v>1862</v>
      </c>
      <c r="C663" s="1" t="s">
        <v>9</v>
      </c>
      <c r="D663" s="1" t="s">
        <v>3</v>
      </c>
      <c r="E663" s="5">
        <v>38148</v>
      </c>
      <c r="F663" s="5">
        <v>40966</v>
      </c>
      <c r="G663" s="2">
        <v>1.2965960000000001</v>
      </c>
      <c r="H663" s="1" t="s">
        <v>10</v>
      </c>
      <c r="I663" s="2"/>
      <c r="J663" s="1" t="s">
        <v>64</v>
      </c>
      <c r="K663" s="1" t="s">
        <v>1863</v>
      </c>
      <c r="L663" s="2">
        <v>5692.384</v>
      </c>
      <c r="M663">
        <f t="shared" si="30"/>
        <v>7380.7223248640003</v>
      </c>
      <c r="N663">
        <f t="shared" si="31"/>
        <v>653.16126768707966</v>
      </c>
      <c r="O663" t="str">
        <f t="shared" si="32"/>
        <v>FJERN</v>
      </c>
      <c r="P663" s="1" t="s">
        <v>5753</v>
      </c>
    </row>
    <row r="664" spans="1:16" ht="15" customHeight="1" x14ac:dyDescent="0.2">
      <c r="A664" s="1" t="s">
        <v>1864</v>
      </c>
      <c r="B664" s="1" t="s">
        <v>1865</v>
      </c>
      <c r="C664" s="1" t="s">
        <v>9</v>
      </c>
      <c r="D664" s="1" t="s">
        <v>3</v>
      </c>
      <c r="E664" s="5">
        <v>38152</v>
      </c>
      <c r="F664" s="5">
        <v>40633</v>
      </c>
      <c r="G664" s="2">
        <v>0.44053369999999997</v>
      </c>
      <c r="H664" s="1" t="s">
        <v>10</v>
      </c>
      <c r="I664" s="2"/>
      <c r="J664" s="1" t="s">
        <v>236</v>
      </c>
      <c r="K664" s="1" t="s">
        <v>1866</v>
      </c>
      <c r="L664" s="2">
        <v>67623.350000000006</v>
      </c>
      <c r="M664">
        <f t="shared" si="30"/>
        <v>29790.364581894999</v>
      </c>
      <c r="N664">
        <f t="shared" si="31"/>
        <v>2636.3154497252208</v>
      </c>
      <c r="O664" t="str">
        <f t="shared" si="32"/>
        <v>FJERN</v>
      </c>
      <c r="P664" s="1"/>
    </row>
    <row r="665" spans="1:16" ht="15" customHeight="1" x14ac:dyDescent="0.2">
      <c r="A665" s="1" t="s">
        <v>1867</v>
      </c>
      <c r="B665" s="1" t="s">
        <v>1868</v>
      </c>
      <c r="C665" s="1" t="s">
        <v>9</v>
      </c>
      <c r="D665" s="1" t="s">
        <v>3</v>
      </c>
      <c r="E665" s="5">
        <v>35976</v>
      </c>
      <c r="F665" s="5">
        <v>38924</v>
      </c>
      <c r="G665" s="2"/>
      <c r="H665" s="1" t="s">
        <v>10</v>
      </c>
      <c r="I665" s="2"/>
      <c r="J665" s="1" t="s">
        <v>236</v>
      </c>
      <c r="K665" s="1" t="s">
        <v>1869</v>
      </c>
      <c r="L665" s="2"/>
      <c r="M665" t="str">
        <f t="shared" si="30"/>
        <v/>
      </c>
      <c r="N665" t="str">
        <f t="shared" si="31"/>
        <v/>
      </c>
      <c r="O665" t="str">
        <f t="shared" si="32"/>
        <v>FJERN</v>
      </c>
      <c r="P665" s="1" t="s">
        <v>5754</v>
      </c>
    </row>
    <row r="666" spans="1:16" ht="15" customHeight="1" x14ac:dyDescent="0.2">
      <c r="A666" s="1" t="s">
        <v>1870</v>
      </c>
      <c r="B666" s="1" t="s">
        <v>1871</v>
      </c>
      <c r="C666" s="1" t="s">
        <v>2</v>
      </c>
      <c r="D666" s="1" t="s">
        <v>3</v>
      </c>
      <c r="E666" s="5">
        <v>34796</v>
      </c>
      <c r="F666" s="5">
        <v>38405</v>
      </c>
      <c r="G666" s="2"/>
      <c r="H666" s="1" t="s">
        <v>4</v>
      </c>
      <c r="I666" s="2"/>
      <c r="J666" s="1" t="s">
        <v>1872</v>
      </c>
      <c r="K666" s="1" t="s">
        <v>1873</v>
      </c>
      <c r="L666" s="2"/>
      <c r="M666" t="str">
        <f t="shared" si="30"/>
        <v/>
      </c>
      <c r="N666" t="str">
        <f t="shared" si="31"/>
        <v/>
      </c>
      <c r="O666" t="str">
        <f t="shared" si="32"/>
        <v>FJERN</v>
      </c>
      <c r="P666" s="1" t="s">
        <v>5755</v>
      </c>
    </row>
    <row r="667" spans="1:16" ht="15" customHeight="1" x14ac:dyDescent="0.2">
      <c r="A667" s="1" t="s">
        <v>1874</v>
      </c>
      <c r="B667" s="1" t="s">
        <v>1875</v>
      </c>
      <c r="C667" s="1" t="s">
        <v>2</v>
      </c>
      <c r="D667" s="1" t="s">
        <v>3</v>
      </c>
      <c r="E667" s="5">
        <v>38188</v>
      </c>
      <c r="F667" s="5">
        <v>38370</v>
      </c>
      <c r="G667" s="2"/>
      <c r="H667" s="1" t="s">
        <v>4</v>
      </c>
      <c r="I667" s="2"/>
      <c r="J667" s="1" t="s">
        <v>289</v>
      </c>
      <c r="K667" s="1" t="s">
        <v>1876</v>
      </c>
      <c r="L667" s="2"/>
      <c r="M667" t="str">
        <f t="shared" si="30"/>
        <v/>
      </c>
      <c r="N667" t="str">
        <f t="shared" si="31"/>
        <v/>
      </c>
      <c r="O667" t="str">
        <f t="shared" si="32"/>
        <v>FJERN</v>
      </c>
      <c r="P667" s="1" t="s">
        <v>5756</v>
      </c>
    </row>
    <row r="668" spans="1:16" ht="15" customHeight="1" x14ac:dyDescent="0.2">
      <c r="A668" s="1" t="s">
        <v>1877</v>
      </c>
      <c r="B668" s="1" t="s">
        <v>1878</v>
      </c>
      <c r="C668" s="1" t="s">
        <v>9</v>
      </c>
      <c r="D668" s="1" t="s">
        <v>3</v>
      </c>
      <c r="E668" s="5">
        <v>38161</v>
      </c>
      <c r="F668" s="5">
        <v>46155</v>
      </c>
      <c r="G668" s="2">
        <v>61.76511</v>
      </c>
      <c r="H668" s="1" t="s">
        <v>10</v>
      </c>
      <c r="I668" s="2">
        <v>5190.1354799999999</v>
      </c>
      <c r="J668" s="1" t="s">
        <v>115</v>
      </c>
      <c r="K668" s="1" t="s">
        <v>1879</v>
      </c>
      <c r="L668" s="2">
        <v>71605.399999999994</v>
      </c>
      <c r="M668">
        <f t="shared" si="30"/>
        <v>4422715.407594</v>
      </c>
      <c r="N668">
        <f t="shared" si="31"/>
        <v>391390.74403486721</v>
      </c>
      <c r="O668" t="str">
        <f t="shared" si="32"/>
        <v>BEHOLD</v>
      </c>
      <c r="P668" s="1" t="s">
        <v>5757</v>
      </c>
    </row>
    <row r="669" spans="1:16" ht="15" customHeight="1" x14ac:dyDescent="0.2">
      <c r="A669" s="1" t="s">
        <v>1880</v>
      </c>
      <c r="B669" s="1" t="s">
        <v>1881</v>
      </c>
      <c r="C669" s="1" t="s">
        <v>9</v>
      </c>
      <c r="D669" s="1" t="s">
        <v>3</v>
      </c>
      <c r="E669" s="5">
        <v>38169</v>
      </c>
      <c r="F669" s="5">
        <v>39734</v>
      </c>
      <c r="G669" s="2">
        <v>0.34000010000000003</v>
      </c>
      <c r="H669" s="1" t="s">
        <v>10</v>
      </c>
      <c r="I669" s="2"/>
      <c r="J669" s="1" t="s">
        <v>11</v>
      </c>
      <c r="K669" s="1" t="s">
        <v>1882</v>
      </c>
      <c r="L669" s="2">
        <v>0</v>
      </c>
      <c r="M669">
        <f t="shared" si="30"/>
        <v>0</v>
      </c>
      <c r="N669">
        <f t="shared" si="31"/>
        <v>0</v>
      </c>
      <c r="O669" t="str">
        <f t="shared" si="32"/>
        <v>FJERN</v>
      </c>
      <c r="P669" s="1" t="s">
        <v>5758</v>
      </c>
    </row>
    <row r="670" spans="1:16" ht="15" customHeight="1" x14ac:dyDescent="0.2">
      <c r="A670" s="1" t="s">
        <v>1883</v>
      </c>
      <c r="B670" s="1" t="s">
        <v>1884</v>
      </c>
      <c r="C670" s="1" t="s">
        <v>9</v>
      </c>
      <c r="D670" s="1" t="s">
        <v>3</v>
      </c>
      <c r="E670" s="5">
        <v>38198</v>
      </c>
      <c r="F670" s="5">
        <v>43424</v>
      </c>
      <c r="G670" s="2">
        <v>11.662430000000001</v>
      </c>
      <c r="H670" s="1" t="s">
        <v>10</v>
      </c>
      <c r="I670" s="2"/>
      <c r="J670" s="1" t="s">
        <v>201</v>
      </c>
      <c r="K670" s="1" t="s">
        <v>1885</v>
      </c>
      <c r="L670" s="2">
        <v>195201.3</v>
      </c>
      <c r="M670">
        <f t="shared" si="30"/>
        <v>2276521.497159</v>
      </c>
      <c r="N670">
        <f t="shared" si="31"/>
        <v>201462.07939460175</v>
      </c>
      <c r="O670" t="str">
        <f t="shared" si="32"/>
        <v>BEHOLD</v>
      </c>
      <c r="P670" s="1" t="s">
        <v>5759</v>
      </c>
    </row>
    <row r="671" spans="1:16" ht="15" customHeight="1" x14ac:dyDescent="0.2">
      <c r="A671" s="1" t="s">
        <v>1886</v>
      </c>
      <c r="B671" s="1" t="s">
        <v>1887</v>
      </c>
      <c r="C671" s="1" t="s">
        <v>9</v>
      </c>
      <c r="D671" s="1" t="s">
        <v>3</v>
      </c>
      <c r="E671" s="5">
        <v>38483</v>
      </c>
      <c r="F671" s="5">
        <v>39825</v>
      </c>
      <c r="G671" s="2">
        <v>0.62593719999999997</v>
      </c>
      <c r="H671" s="1" t="s">
        <v>10</v>
      </c>
      <c r="I671" s="2"/>
      <c r="J671" s="1" t="s">
        <v>115</v>
      </c>
      <c r="K671" s="1" t="s">
        <v>1888</v>
      </c>
      <c r="L671" s="2">
        <v>874.99990000000003</v>
      </c>
      <c r="M671">
        <f t="shared" si="30"/>
        <v>547.69498740628001</v>
      </c>
      <c r="N671">
        <f t="shared" si="31"/>
        <v>48.468582956307962</v>
      </c>
      <c r="O671" t="str">
        <f t="shared" si="32"/>
        <v>FJERN</v>
      </c>
      <c r="P671" s="1"/>
    </row>
    <row r="672" spans="1:16" ht="15" customHeight="1" x14ac:dyDescent="0.2">
      <c r="A672" s="1" t="s">
        <v>1889</v>
      </c>
      <c r="B672" s="1" t="s">
        <v>1890</v>
      </c>
      <c r="C672" s="1" t="s">
        <v>9</v>
      </c>
      <c r="D672" s="1" t="s">
        <v>3</v>
      </c>
      <c r="E672" s="5">
        <v>36438</v>
      </c>
      <c r="F672" s="5">
        <v>46155</v>
      </c>
      <c r="G672" s="2">
        <v>127.2959</v>
      </c>
      <c r="H672" s="1" t="s">
        <v>10</v>
      </c>
      <c r="I672" s="2">
        <v>17398.758856799999</v>
      </c>
      <c r="J672" s="1" t="s">
        <v>184</v>
      </c>
      <c r="K672" s="1" t="s">
        <v>1891</v>
      </c>
      <c r="L672" s="2">
        <v>145265</v>
      </c>
      <c r="M672">
        <f t="shared" si="30"/>
        <v>18491638.9135</v>
      </c>
      <c r="N672">
        <f t="shared" si="31"/>
        <v>1636428.2224336283</v>
      </c>
      <c r="O672" t="str">
        <f t="shared" si="32"/>
        <v>BEHOLD</v>
      </c>
      <c r="P672" s="1" t="s">
        <v>5760</v>
      </c>
    </row>
    <row r="673" spans="1:16" ht="15" customHeight="1" x14ac:dyDescent="0.2">
      <c r="A673" s="1" t="s">
        <v>1892</v>
      </c>
      <c r="B673" s="1" t="s">
        <v>1893</v>
      </c>
      <c r="C673" s="1" t="s">
        <v>2</v>
      </c>
      <c r="D673" s="1" t="s">
        <v>3</v>
      </c>
      <c r="E673" s="5">
        <v>31049</v>
      </c>
      <c r="F673" s="5">
        <v>46155</v>
      </c>
      <c r="G673" s="2">
        <v>329.95420000000001</v>
      </c>
      <c r="H673" s="1" t="s">
        <v>4</v>
      </c>
      <c r="I673" s="2">
        <v>51032.525000000001</v>
      </c>
      <c r="J673" s="1" t="s">
        <v>15</v>
      </c>
      <c r="K673" s="1" t="s">
        <v>1894</v>
      </c>
      <c r="L673" s="2">
        <v>191516.3</v>
      </c>
      <c r="M673">
        <f t="shared" si="30"/>
        <v>63191607.553460002</v>
      </c>
      <c r="N673">
        <f t="shared" si="31"/>
        <v>8482094.9736187924</v>
      </c>
      <c r="O673" t="str">
        <f t="shared" si="32"/>
        <v>BEHOLD</v>
      </c>
      <c r="P673" s="1" t="s">
        <v>5761</v>
      </c>
    </row>
    <row r="674" spans="1:16" ht="15" customHeight="1" x14ac:dyDescent="0.2">
      <c r="A674" s="1" t="s">
        <v>1895</v>
      </c>
      <c r="B674" s="1" t="s">
        <v>1896</v>
      </c>
      <c r="C674" s="1" t="s">
        <v>9</v>
      </c>
      <c r="D674" s="1" t="s">
        <v>3</v>
      </c>
      <c r="E674" s="5">
        <v>39063</v>
      </c>
      <c r="F674" s="5">
        <v>42529</v>
      </c>
      <c r="G674" s="2">
        <v>7.8940479999999997</v>
      </c>
      <c r="H674" s="1" t="s">
        <v>10</v>
      </c>
      <c r="I674" s="2"/>
      <c r="J674" s="1" t="s">
        <v>34</v>
      </c>
      <c r="K674" s="1" t="s">
        <v>1897</v>
      </c>
      <c r="L674" s="2">
        <v>153440.9</v>
      </c>
      <c r="M674">
        <f t="shared" si="30"/>
        <v>1211269.8297631999</v>
      </c>
      <c r="N674">
        <f t="shared" si="31"/>
        <v>107192.02033302654</v>
      </c>
      <c r="O674" t="str">
        <f t="shared" si="32"/>
        <v>BEHOLD</v>
      </c>
      <c r="P674" s="1" t="s">
        <v>5762</v>
      </c>
    </row>
    <row r="675" spans="1:16" ht="15" customHeight="1" x14ac:dyDescent="0.2">
      <c r="A675" s="1" t="s">
        <v>1898</v>
      </c>
      <c r="B675" s="1" t="s">
        <v>1899</v>
      </c>
      <c r="C675" s="1" t="s">
        <v>9</v>
      </c>
      <c r="D675" s="1" t="s">
        <v>3</v>
      </c>
      <c r="E675" s="1"/>
      <c r="F675" s="1"/>
      <c r="G675" s="2"/>
      <c r="H675" s="1" t="s">
        <v>10</v>
      </c>
      <c r="I675" s="2"/>
      <c r="J675" s="1" t="s">
        <v>289</v>
      </c>
      <c r="K675" s="1" t="s">
        <v>1900</v>
      </c>
      <c r="L675" s="2"/>
      <c r="M675" t="str">
        <f t="shared" si="30"/>
        <v/>
      </c>
      <c r="N675" t="str">
        <f t="shared" si="31"/>
        <v/>
      </c>
      <c r="O675" t="str">
        <f t="shared" si="32"/>
        <v>FJERN</v>
      </c>
      <c r="P675" s="1"/>
    </row>
    <row r="676" spans="1:16" ht="15" customHeight="1" x14ac:dyDescent="0.2">
      <c r="A676" s="1" t="s">
        <v>1901</v>
      </c>
      <c r="B676" s="1" t="s">
        <v>1902</v>
      </c>
      <c r="C676" s="1" t="s">
        <v>9</v>
      </c>
      <c r="D676" s="1" t="s">
        <v>3</v>
      </c>
      <c r="E676" s="5">
        <v>38336</v>
      </c>
      <c r="F676" s="5">
        <v>46155</v>
      </c>
      <c r="G676" s="2">
        <v>12.0199</v>
      </c>
      <c r="H676" s="1" t="s">
        <v>10</v>
      </c>
      <c r="I676" s="2">
        <v>148.35927362999999</v>
      </c>
      <c r="J676" s="1" t="s">
        <v>23</v>
      </c>
      <c r="K676" s="1" t="s">
        <v>1903</v>
      </c>
      <c r="L676" s="2">
        <v>103243.5</v>
      </c>
      <c r="M676">
        <f t="shared" si="30"/>
        <v>1240976.54565</v>
      </c>
      <c r="N676">
        <f t="shared" si="31"/>
        <v>109820.93324336283</v>
      </c>
      <c r="O676" t="str">
        <f t="shared" si="32"/>
        <v>BEHOLD</v>
      </c>
      <c r="P676" s="1" t="s">
        <v>5763</v>
      </c>
    </row>
    <row r="677" spans="1:16" ht="15" customHeight="1" x14ac:dyDescent="0.2">
      <c r="A677" s="1" t="s">
        <v>1904</v>
      </c>
      <c r="B677" s="1" t="s">
        <v>1905</v>
      </c>
      <c r="C677" s="1" t="s">
        <v>9</v>
      </c>
      <c r="D677" s="1" t="s">
        <v>3</v>
      </c>
      <c r="E677" s="5">
        <v>39066</v>
      </c>
      <c r="F677" s="5">
        <v>40939</v>
      </c>
      <c r="G677" s="2">
        <v>1.3510260000000001</v>
      </c>
      <c r="H677" s="1" t="s">
        <v>10</v>
      </c>
      <c r="I677" s="2"/>
      <c r="J677" s="1" t="s">
        <v>38</v>
      </c>
      <c r="K677" s="1" t="s">
        <v>1906</v>
      </c>
      <c r="L677" s="2">
        <v>47918.25</v>
      </c>
      <c r="M677">
        <f t="shared" si="30"/>
        <v>64738.801624500004</v>
      </c>
      <c r="N677">
        <f t="shared" si="31"/>
        <v>5729.0974888938053</v>
      </c>
      <c r="O677" t="str">
        <f t="shared" si="32"/>
        <v>FJERN</v>
      </c>
      <c r="P677" s="1" t="s">
        <v>5764</v>
      </c>
    </row>
    <row r="678" spans="1:16" ht="15" customHeight="1" x14ac:dyDescent="0.2">
      <c r="A678" s="1" t="s">
        <v>1907</v>
      </c>
      <c r="B678" s="1" t="s">
        <v>1908</v>
      </c>
      <c r="C678" s="1" t="s">
        <v>9</v>
      </c>
      <c r="D678" s="1" t="s">
        <v>3</v>
      </c>
      <c r="E678" s="5">
        <v>39400</v>
      </c>
      <c r="F678" s="5">
        <v>46155</v>
      </c>
      <c r="G678" s="2">
        <v>92.730930000000001</v>
      </c>
      <c r="H678" s="1" t="s">
        <v>10</v>
      </c>
      <c r="I678" s="2">
        <v>4944.2981663999999</v>
      </c>
      <c r="J678" s="1" t="s">
        <v>176</v>
      </c>
      <c r="K678" s="1" t="s">
        <v>1909</v>
      </c>
      <c r="L678" s="2">
        <v>49963.199999999997</v>
      </c>
      <c r="M678">
        <f t="shared" si="30"/>
        <v>4633134.0017759996</v>
      </c>
      <c r="N678">
        <f t="shared" si="31"/>
        <v>410011.85856424773</v>
      </c>
      <c r="O678" t="str">
        <f t="shared" si="32"/>
        <v>BEHOLD</v>
      </c>
      <c r="P678" s="1" t="s">
        <v>5765</v>
      </c>
    </row>
    <row r="679" spans="1:16" ht="15" customHeight="1" x14ac:dyDescent="0.2">
      <c r="A679" s="1" t="s">
        <v>1910</v>
      </c>
      <c r="B679" s="1" t="s">
        <v>1911</v>
      </c>
      <c r="C679" s="1" t="s">
        <v>9</v>
      </c>
      <c r="D679" s="1" t="s">
        <v>3</v>
      </c>
      <c r="E679" s="5">
        <v>38867</v>
      </c>
      <c r="F679" s="5">
        <v>43378</v>
      </c>
      <c r="G679" s="2">
        <v>11.028700000000001</v>
      </c>
      <c r="H679" s="1" t="s">
        <v>10</v>
      </c>
      <c r="I679" s="2"/>
      <c r="J679" s="1" t="s">
        <v>328</v>
      </c>
      <c r="K679" s="1" t="s">
        <v>1912</v>
      </c>
      <c r="L679" s="2">
        <v>207205.1</v>
      </c>
      <c r="M679">
        <f t="shared" si="30"/>
        <v>2285202.88637</v>
      </c>
      <c r="N679">
        <f t="shared" si="31"/>
        <v>202230.34392654867</v>
      </c>
      <c r="O679" t="str">
        <f t="shared" si="32"/>
        <v>BEHOLD</v>
      </c>
      <c r="P679" s="1" t="s">
        <v>5766</v>
      </c>
    </row>
    <row r="680" spans="1:16" ht="15" customHeight="1" x14ac:dyDescent="0.2">
      <c r="A680" s="1" t="s">
        <v>1913</v>
      </c>
      <c r="B680" s="1" t="s">
        <v>1914</v>
      </c>
      <c r="C680" s="1" t="s">
        <v>9</v>
      </c>
      <c r="D680" s="1" t="s">
        <v>3</v>
      </c>
      <c r="E680" s="5">
        <v>38310</v>
      </c>
      <c r="F680" s="5">
        <v>43399</v>
      </c>
      <c r="G680" s="2">
        <v>26.334540000000001</v>
      </c>
      <c r="H680" s="1" t="s">
        <v>10</v>
      </c>
      <c r="I680" s="2"/>
      <c r="J680" s="1" t="s">
        <v>289</v>
      </c>
      <c r="K680" s="1" t="s">
        <v>1915</v>
      </c>
      <c r="L680" s="2">
        <v>16565.150000000001</v>
      </c>
      <c r="M680">
        <f t="shared" si="30"/>
        <v>436235.60528100003</v>
      </c>
      <c r="N680">
        <f t="shared" si="31"/>
        <v>38604.920821327432</v>
      </c>
      <c r="O680" t="str">
        <f t="shared" si="32"/>
        <v>FJERN</v>
      </c>
      <c r="P680" s="1" t="s">
        <v>5767</v>
      </c>
    </row>
    <row r="681" spans="1:16" ht="15" customHeight="1" x14ac:dyDescent="0.2">
      <c r="A681" s="1" t="s">
        <v>1916</v>
      </c>
      <c r="B681" s="1" t="s">
        <v>1917</v>
      </c>
      <c r="C681" s="1" t="s">
        <v>9</v>
      </c>
      <c r="D681" s="1" t="s">
        <v>3</v>
      </c>
      <c r="E681" s="5">
        <v>40893</v>
      </c>
      <c r="F681" s="5">
        <v>45520</v>
      </c>
      <c r="G681" s="2">
        <v>3.892754</v>
      </c>
      <c r="H681" s="1" t="s">
        <v>10</v>
      </c>
      <c r="I681" s="2">
        <v>168.375966224</v>
      </c>
      <c r="J681" s="1" t="s">
        <v>5</v>
      </c>
      <c r="K681" s="1" t="s">
        <v>1918</v>
      </c>
      <c r="L681" s="2">
        <v>54784.44</v>
      </c>
      <c r="M681">
        <f t="shared" si="30"/>
        <v>213262.34794776002</v>
      </c>
      <c r="N681">
        <f t="shared" si="31"/>
        <v>18872.774154669027</v>
      </c>
      <c r="O681" t="str">
        <f t="shared" si="32"/>
        <v>FJERN</v>
      </c>
      <c r="P681" s="1" t="s">
        <v>5768</v>
      </c>
    </row>
    <row r="682" spans="1:16" ht="15" customHeight="1" x14ac:dyDescent="0.2">
      <c r="A682" s="1" t="s">
        <v>1919</v>
      </c>
      <c r="B682" s="1" t="s">
        <v>1920</v>
      </c>
      <c r="C682" s="1" t="s">
        <v>9</v>
      </c>
      <c r="D682" s="1" t="s">
        <v>3</v>
      </c>
      <c r="E682" s="5">
        <v>39251</v>
      </c>
      <c r="F682" s="5">
        <v>42076</v>
      </c>
      <c r="G682" s="2">
        <v>54.286720000000003</v>
      </c>
      <c r="H682" s="1" t="s">
        <v>10</v>
      </c>
      <c r="I682" s="2"/>
      <c r="J682" s="1" t="s">
        <v>236</v>
      </c>
      <c r="K682" s="1" t="s">
        <v>1921</v>
      </c>
      <c r="L682" s="2">
        <v>13585.68</v>
      </c>
      <c r="M682">
        <f t="shared" si="30"/>
        <v>737522.00616960006</v>
      </c>
      <c r="N682">
        <f t="shared" si="31"/>
        <v>65267.434174300884</v>
      </c>
      <c r="O682" t="str">
        <f t="shared" si="32"/>
        <v>FJERN</v>
      </c>
      <c r="P682" s="1" t="s">
        <v>5769</v>
      </c>
    </row>
    <row r="683" spans="1:16" ht="15" customHeight="1" x14ac:dyDescent="0.2">
      <c r="A683" s="1" t="s">
        <v>1922</v>
      </c>
      <c r="B683" s="1" t="s">
        <v>1923</v>
      </c>
      <c r="C683" s="1" t="s">
        <v>9</v>
      </c>
      <c r="D683" s="1" t="s">
        <v>3</v>
      </c>
      <c r="E683" s="5">
        <v>36328</v>
      </c>
      <c r="F683" s="5">
        <v>45700</v>
      </c>
      <c r="G683" s="2">
        <v>205.3022</v>
      </c>
      <c r="H683" s="1" t="s">
        <v>10</v>
      </c>
      <c r="I683" s="2">
        <v>2313.0073750000001</v>
      </c>
      <c r="J683" s="1" t="s">
        <v>64</v>
      </c>
      <c r="K683" s="1" t="s">
        <v>1924</v>
      </c>
      <c r="L683" s="2">
        <v>11071.73</v>
      </c>
      <c r="M683">
        <f t="shared" si="30"/>
        <v>2273050.5268059997</v>
      </c>
      <c r="N683">
        <f t="shared" si="31"/>
        <v>201154.91387663712</v>
      </c>
      <c r="O683" t="str">
        <f t="shared" si="32"/>
        <v>BEHOLD</v>
      </c>
      <c r="P683" s="1" t="s">
        <v>5770</v>
      </c>
    </row>
    <row r="684" spans="1:16" ht="15" customHeight="1" x14ac:dyDescent="0.2">
      <c r="A684" s="1" t="s">
        <v>1925</v>
      </c>
      <c r="B684" s="1" t="s">
        <v>1926</v>
      </c>
      <c r="C684" s="1" t="s">
        <v>9</v>
      </c>
      <c r="D684" s="1" t="s">
        <v>3</v>
      </c>
      <c r="E684" s="5">
        <v>38323</v>
      </c>
      <c r="F684" s="5">
        <v>41064</v>
      </c>
      <c r="G684" s="2">
        <v>0.28848679999999999</v>
      </c>
      <c r="H684" s="1" t="s">
        <v>10</v>
      </c>
      <c r="I684" s="2"/>
      <c r="J684" s="1" t="s">
        <v>64</v>
      </c>
      <c r="K684" s="1" t="s">
        <v>1927</v>
      </c>
      <c r="L684" s="2">
        <v>1994.606</v>
      </c>
      <c r="M684">
        <f t="shared" si="30"/>
        <v>575.41750220079996</v>
      </c>
      <c r="N684">
        <f t="shared" si="31"/>
        <v>50.92190284962831</v>
      </c>
      <c r="O684" t="str">
        <f t="shared" si="32"/>
        <v>FJERN</v>
      </c>
      <c r="P684" s="1"/>
    </row>
    <row r="685" spans="1:16" ht="15" customHeight="1" x14ac:dyDescent="0.2">
      <c r="A685" s="1" t="s">
        <v>1928</v>
      </c>
      <c r="B685" s="1" t="s">
        <v>1929</v>
      </c>
      <c r="C685" s="1" t="s">
        <v>9</v>
      </c>
      <c r="D685" s="1" t="s">
        <v>3</v>
      </c>
      <c r="E685" s="5">
        <v>36069</v>
      </c>
      <c r="F685" s="5">
        <v>46070</v>
      </c>
      <c r="G685" s="2">
        <v>2.3802370000000002</v>
      </c>
      <c r="H685" s="1" t="s">
        <v>10</v>
      </c>
      <c r="I685" s="2">
        <v>978.79950669000004</v>
      </c>
      <c r="J685" s="1" t="s">
        <v>64</v>
      </c>
      <c r="K685" s="1" t="s">
        <v>1930</v>
      </c>
      <c r="L685" s="2">
        <v>32642.77</v>
      </c>
      <c r="M685">
        <f t="shared" si="30"/>
        <v>77697.528936490009</v>
      </c>
      <c r="N685">
        <f t="shared" si="31"/>
        <v>6875.8875165035406</v>
      </c>
      <c r="O685" t="str">
        <f t="shared" si="32"/>
        <v>FJERN</v>
      </c>
      <c r="P685" s="1" t="s">
        <v>5771</v>
      </c>
    </row>
    <row r="686" spans="1:16" ht="15" customHeight="1" x14ac:dyDescent="0.2">
      <c r="A686" s="1" t="s">
        <v>1931</v>
      </c>
      <c r="B686" s="1" t="s">
        <v>1932</v>
      </c>
      <c r="C686" s="1" t="s">
        <v>9</v>
      </c>
      <c r="D686" s="1" t="s">
        <v>3</v>
      </c>
      <c r="E686" s="5">
        <v>38894</v>
      </c>
      <c r="F686" s="5">
        <v>42045</v>
      </c>
      <c r="G686" s="2">
        <v>0.28363690000000003</v>
      </c>
      <c r="H686" s="1" t="s">
        <v>10</v>
      </c>
      <c r="I686" s="2"/>
      <c r="J686" s="1" t="s">
        <v>167</v>
      </c>
      <c r="K686" s="1" t="s">
        <v>1933</v>
      </c>
      <c r="L686" s="2">
        <v>179499.2</v>
      </c>
      <c r="M686">
        <f t="shared" si="30"/>
        <v>50912.596640480006</v>
      </c>
      <c r="N686">
        <f t="shared" si="31"/>
        <v>4505.5395257061946</v>
      </c>
      <c r="O686" t="str">
        <f t="shared" si="32"/>
        <v>FJERN</v>
      </c>
      <c r="P686" s="1" t="s">
        <v>5772</v>
      </c>
    </row>
    <row r="687" spans="1:16" ht="15" customHeight="1" x14ac:dyDescent="0.2">
      <c r="A687" s="1" t="s">
        <v>1934</v>
      </c>
      <c r="B687" s="1" t="s">
        <v>1935</v>
      </c>
      <c r="C687" s="1" t="s">
        <v>2</v>
      </c>
      <c r="D687" s="1" t="s">
        <v>3</v>
      </c>
      <c r="E687" s="5">
        <v>32106</v>
      </c>
      <c r="F687" s="5">
        <v>40434</v>
      </c>
      <c r="G687" s="2">
        <v>39.516219999999997</v>
      </c>
      <c r="H687" s="1" t="s">
        <v>4</v>
      </c>
      <c r="I687" s="2"/>
      <c r="J687" s="1" t="s">
        <v>76</v>
      </c>
      <c r="K687" s="1" t="s">
        <v>1936</v>
      </c>
      <c r="L687" s="2">
        <v>3539.5549999999998</v>
      </c>
      <c r="M687">
        <f t="shared" si="30"/>
        <v>139869.83408209999</v>
      </c>
      <c r="N687">
        <f t="shared" si="31"/>
        <v>18774.474373436238</v>
      </c>
      <c r="O687" t="str">
        <f t="shared" si="32"/>
        <v>FJERN</v>
      </c>
      <c r="P687" s="1" t="s">
        <v>5773</v>
      </c>
    </row>
    <row r="688" spans="1:16" ht="15" customHeight="1" x14ac:dyDescent="0.2">
      <c r="A688" s="1" t="s">
        <v>1937</v>
      </c>
      <c r="B688" s="1" t="s">
        <v>1938</v>
      </c>
      <c r="C688" s="1" t="s">
        <v>9</v>
      </c>
      <c r="D688" s="1" t="s">
        <v>3</v>
      </c>
      <c r="E688" s="5">
        <v>38371</v>
      </c>
      <c r="F688" s="5">
        <v>46155</v>
      </c>
      <c r="G688" s="2">
        <v>16.330269999999999</v>
      </c>
      <c r="H688" s="1" t="s">
        <v>10</v>
      </c>
      <c r="I688" s="2">
        <v>1443.2660186000001</v>
      </c>
      <c r="J688" s="1" t="s">
        <v>289</v>
      </c>
      <c r="K688" s="1" t="s">
        <v>1939</v>
      </c>
      <c r="L688" s="2">
        <v>63564.04</v>
      </c>
      <c r="M688">
        <f t="shared" si="30"/>
        <v>1038017.9354908</v>
      </c>
      <c r="N688">
        <f t="shared" si="31"/>
        <v>91859.994291221228</v>
      </c>
      <c r="O688" t="str">
        <f t="shared" si="32"/>
        <v>FJERN</v>
      </c>
      <c r="P688" s="1" t="s">
        <v>5774</v>
      </c>
    </row>
    <row r="689" spans="1:16" ht="15" customHeight="1" x14ac:dyDescent="0.2">
      <c r="A689" s="1" t="s">
        <v>1940</v>
      </c>
      <c r="B689" s="1" t="s">
        <v>1941</v>
      </c>
      <c r="C689" s="1" t="s">
        <v>9</v>
      </c>
      <c r="D689" s="1" t="s">
        <v>3</v>
      </c>
      <c r="E689" s="5">
        <v>38866</v>
      </c>
      <c r="F689" s="5">
        <v>46155</v>
      </c>
      <c r="G689" s="2">
        <v>100.2269</v>
      </c>
      <c r="H689" s="1" t="s">
        <v>10</v>
      </c>
      <c r="I689" s="2">
        <v>12145.243742000001</v>
      </c>
      <c r="J689" s="1" t="s">
        <v>38</v>
      </c>
      <c r="K689" s="1" t="s">
        <v>1942</v>
      </c>
      <c r="L689" s="2">
        <v>56990.38</v>
      </c>
      <c r="M689">
        <f t="shared" si="30"/>
        <v>5711969.1172219999</v>
      </c>
      <c r="N689">
        <f t="shared" si="31"/>
        <v>505483.99267451325</v>
      </c>
      <c r="O689" t="str">
        <f t="shared" si="32"/>
        <v>BEHOLD</v>
      </c>
      <c r="P689" s="1" t="s">
        <v>5775</v>
      </c>
    </row>
    <row r="690" spans="1:16" ht="15" customHeight="1" x14ac:dyDescent="0.2">
      <c r="A690" s="1" t="s">
        <v>1943</v>
      </c>
      <c r="B690" s="1" t="s">
        <v>1944</v>
      </c>
      <c r="C690" s="1" t="s">
        <v>2</v>
      </c>
      <c r="D690" s="1" t="s">
        <v>3</v>
      </c>
      <c r="E690" s="5">
        <v>33120</v>
      </c>
      <c r="F690" s="5">
        <v>46155</v>
      </c>
      <c r="G690" s="2">
        <v>209.59190000000001</v>
      </c>
      <c r="H690" s="1" t="s">
        <v>4</v>
      </c>
      <c r="I690" s="2">
        <v>48898.226909999998</v>
      </c>
      <c r="J690" s="1" t="s">
        <v>15</v>
      </c>
      <c r="K690" s="1" t="s">
        <v>1945</v>
      </c>
      <c r="L690" s="2">
        <v>173351.6</v>
      </c>
      <c r="M690">
        <f t="shared" si="30"/>
        <v>36333091.21204</v>
      </c>
      <c r="N690">
        <f t="shared" si="31"/>
        <v>4876924.9949046979</v>
      </c>
      <c r="O690" t="str">
        <f t="shared" si="32"/>
        <v>BEHOLD</v>
      </c>
      <c r="P690" s="1" t="s">
        <v>5776</v>
      </c>
    </row>
    <row r="691" spans="1:16" ht="15" customHeight="1" x14ac:dyDescent="0.2">
      <c r="A691" s="1" t="s">
        <v>1946</v>
      </c>
      <c r="B691" s="1" t="s">
        <v>1947</v>
      </c>
      <c r="C691" s="1" t="s">
        <v>2</v>
      </c>
      <c r="D691" s="1" t="s">
        <v>3</v>
      </c>
      <c r="E691" s="5">
        <v>33137</v>
      </c>
      <c r="F691" s="5">
        <v>39743</v>
      </c>
      <c r="G691" s="2">
        <v>291</v>
      </c>
      <c r="H691" s="1" t="s">
        <v>4</v>
      </c>
      <c r="I691" s="2"/>
      <c r="J691" s="1" t="s">
        <v>15</v>
      </c>
      <c r="K691" s="1" t="s">
        <v>1948</v>
      </c>
      <c r="L691" s="2">
        <v>0</v>
      </c>
      <c r="M691">
        <f t="shared" si="30"/>
        <v>0</v>
      </c>
      <c r="N691">
        <f t="shared" si="31"/>
        <v>0</v>
      </c>
      <c r="O691" t="str">
        <f t="shared" si="32"/>
        <v>FJERN</v>
      </c>
      <c r="P691" s="1" t="s">
        <v>5777</v>
      </c>
    </row>
    <row r="692" spans="1:16" ht="15" customHeight="1" x14ac:dyDescent="0.2">
      <c r="A692" s="1" t="s">
        <v>1949</v>
      </c>
      <c r="B692" s="1" t="s">
        <v>1950</v>
      </c>
      <c r="C692" s="1" t="s">
        <v>9</v>
      </c>
      <c r="D692" s="1" t="s">
        <v>3</v>
      </c>
      <c r="E692" s="5">
        <v>38495</v>
      </c>
      <c r="F692" s="5">
        <v>45691</v>
      </c>
      <c r="G692" s="2">
        <v>10.756830000000001</v>
      </c>
      <c r="H692" s="1" t="s">
        <v>10</v>
      </c>
      <c r="I692" s="2">
        <v>98.768270000000001</v>
      </c>
      <c r="J692" s="1" t="s">
        <v>86</v>
      </c>
      <c r="K692" s="1" t="s">
        <v>1951</v>
      </c>
      <c r="L692" s="2">
        <v>37393.18</v>
      </c>
      <c r="M692">
        <f t="shared" si="30"/>
        <v>402232.08041940001</v>
      </c>
      <c r="N692">
        <f t="shared" si="31"/>
        <v>35595.759329150438</v>
      </c>
      <c r="O692" t="str">
        <f t="shared" si="32"/>
        <v>FJERN</v>
      </c>
      <c r="P692" s="1" t="s">
        <v>5778</v>
      </c>
    </row>
    <row r="693" spans="1:16" ht="15" customHeight="1" x14ac:dyDescent="0.2">
      <c r="A693" s="1" t="s">
        <v>1952</v>
      </c>
      <c r="B693" s="1" t="s">
        <v>1953</v>
      </c>
      <c r="C693" s="1" t="s">
        <v>9</v>
      </c>
      <c r="D693" s="1" t="s">
        <v>3</v>
      </c>
      <c r="E693" s="5">
        <v>38468</v>
      </c>
      <c r="F693" s="5">
        <v>42895</v>
      </c>
      <c r="G693" s="2">
        <v>3.5521090000000002</v>
      </c>
      <c r="H693" s="1" t="s">
        <v>10</v>
      </c>
      <c r="I693" s="2"/>
      <c r="J693" s="1" t="s">
        <v>38</v>
      </c>
      <c r="K693" s="1" t="s">
        <v>1954</v>
      </c>
      <c r="L693" s="2">
        <v>6793.8670000000002</v>
      </c>
      <c r="M693">
        <f t="shared" si="30"/>
        <v>24132.556115503001</v>
      </c>
      <c r="N693">
        <f t="shared" si="31"/>
        <v>2135.6244350002653</v>
      </c>
      <c r="O693" t="str">
        <f t="shared" si="32"/>
        <v>FJERN</v>
      </c>
      <c r="P693" s="1" t="s">
        <v>5779</v>
      </c>
    </row>
    <row r="694" spans="1:16" ht="15" customHeight="1" x14ac:dyDescent="0.2">
      <c r="A694" s="1" t="s">
        <v>1955</v>
      </c>
      <c r="B694" s="1" t="s">
        <v>1956</v>
      </c>
      <c r="C694" s="1" t="s">
        <v>2</v>
      </c>
      <c r="D694" s="1" t="s">
        <v>3</v>
      </c>
      <c r="E694" s="5">
        <v>32099</v>
      </c>
      <c r="F694" s="5">
        <v>46155</v>
      </c>
      <c r="G694" s="2">
        <v>343.92849999999999</v>
      </c>
      <c r="H694" s="1" t="s">
        <v>4</v>
      </c>
      <c r="I694" s="2">
        <v>923.4</v>
      </c>
      <c r="J694" s="1" t="s">
        <v>15</v>
      </c>
      <c r="K694" s="1" t="s">
        <v>1957</v>
      </c>
      <c r="L694" s="2">
        <v>522.23</v>
      </c>
      <c r="M694">
        <f t="shared" si="30"/>
        <v>179609.780555</v>
      </c>
      <c r="N694">
        <f t="shared" si="31"/>
        <v>24108.695376510066</v>
      </c>
      <c r="O694" t="str">
        <f t="shared" si="32"/>
        <v>FJERN</v>
      </c>
      <c r="P694" s="1" t="s">
        <v>5780</v>
      </c>
    </row>
    <row r="695" spans="1:16" ht="15" customHeight="1" x14ac:dyDescent="0.2">
      <c r="A695" s="1" t="s">
        <v>1958</v>
      </c>
      <c r="B695" s="1" t="s">
        <v>1959</v>
      </c>
      <c r="C695" s="1" t="s">
        <v>9</v>
      </c>
      <c r="D695" s="1" t="s">
        <v>3</v>
      </c>
      <c r="E695" s="5">
        <v>35816</v>
      </c>
      <c r="F695" s="5">
        <v>40596</v>
      </c>
      <c r="G695" s="2">
        <v>8.8095839999999992</v>
      </c>
      <c r="H695" s="1" t="s">
        <v>10</v>
      </c>
      <c r="I695" s="2"/>
      <c r="J695" s="1" t="s">
        <v>64</v>
      </c>
      <c r="K695" s="1" t="s">
        <v>1960</v>
      </c>
      <c r="L695" s="2">
        <v>41617.5</v>
      </c>
      <c r="M695">
        <f t="shared" si="30"/>
        <v>366632.86211999995</v>
      </c>
      <c r="N695">
        <f t="shared" si="31"/>
        <v>32445.386028318579</v>
      </c>
      <c r="O695" t="str">
        <f t="shared" si="32"/>
        <v>FJERN</v>
      </c>
      <c r="P695" s="1" t="s">
        <v>5781</v>
      </c>
    </row>
    <row r="696" spans="1:16" ht="15" customHeight="1" x14ac:dyDescent="0.2">
      <c r="A696" s="1" t="s">
        <v>1961</v>
      </c>
      <c r="B696" s="1" t="s">
        <v>1962</v>
      </c>
      <c r="C696" s="1" t="s">
        <v>2</v>
      </c>
      <c r="D696" s="1" t="s">
        <v>3</v>
      </c>
      <c r="E696" s="5">
        <v>32232</v>
      </c>
      <c r="F696" s="5">
        <v>41214</v>
      </c>
      <c r="G696" s="2">
        <v>242.51009999999999</v>
      </c>
      <c r="H696" s="1" t="s">
        <v>4</v>
      </c>
      <c r="I696" s="2"/>
      <c r="J696" s="1" t="s">
        <v>15</v>
      </c>
      <c r="K696" s="1" t="s">
        <v>1963</v>
      </c>
      <c r="L696" s="2">
        <v>143.71190000000001</v>
      </c>
      <c r="M696">
        <f t="shared" si="30"/>
        <v>34851.587240190005</v>
      </c>
      <c r="N696">
        <f t="shared" si="31"/>
        <v>4678.0654013677859</v>
      </c>
      <c r="O696" t="str">
        <f t="shared" si="32"/>
        <v>FJERN</v>
      </c>
      <c r="P696" s="1" t="s">
        <v>5782</v>
      </c>
    </row>
    <row r="697" spans="1:16" ht="15" customHeight="1" x14ac:dyDescent="0.2">
      <c r="A697" s="1" t="s">
        <v>1964</v>
      </c>
      <c r="B697" s="1" t="s">
        <v>1965</v>
      </c>
      <c r="C697" s="1" t="s">
        <v>9</v>
      </c>
      <c r="D697" s="1" t="s">
        <v>3</v>
      </c>
      <c r="E697" s="5">
        <v>34507</v>
      </c>
      <c r="F697" s="5">
        <v>39073</v>
      </c>
      <c r="G697" s="2"/>
      <c r="H697" s="1" t="s">
        <v>10</v>
      </c>
      <c r="I697" s="2"/>
      <c r="J697" s="1" t="s">
        <v>115</v>
      </c>
      <c r="K697" s="1" t="s">
        <v>1966</v>
      </c>
      <c r="L697" s="2"/>
      <c r="M697" t="str">
        <f t="shared" si="30"/>
        <v/>
      </c>
      <c r="N697" t="str">
        <f t="shared" si="31"/>
        <v/>
      </c>
      <c r="O697" t="str">
        <f t="shared" si="32"/>
        <v>FJERN</v>
      </c>
      <c r="P697" s="1" t="s">
        <v>5783</v>
      </c>
    </row>
    <row r="698" spans="1:16" ht="15" customHeight="1" x14ac:dyDescent="0.2">
      <c r="A698" s="1" t="s">
        <v>1967</v>
      </c>
      <c r="B698" s="1" t="s">
        <v>1968</v>
      </c>
      <c r="C698" s="1" t="s">
        <v>9</v>
      </c>
      <c r="D698" s="1" t="s">
        <v>3</v>
      </c>
      <c r="E698" s="5">
        <v>33718</v>
      </c>
      <c r="F698" s="5">
        <v>45279</v>
      </c>
      <c r="G698" s="2">
        <v>99.303269999999998</v>
      </c>
      <c r="H698" s="1" t="s">
        <v>10</v>
      </c>
      <c r="I698" s="2"/>
      <c r="J698" s="1" t="s">
        <v>64</v>
      </c>
      <c r="K698" s="1" t="s">
        <v>1969</v>
      </c>
      <c r="L698" s="2">
        <v>5038.7759999999998</v>
      </c>
      <c r="M698">
        <f t="shared" si="30"/>
        <v>500366.93359751999</v>
      </c>
      <c r="N698">
        <f t="shared" si="31"/>
        <v>44280.259610399997</v>
      </c>
      <c r="O698" t="str">
        <f t="shared" si="32"/>
        <v>FJERN</v>
      </c>
      <c r="P698" s="1" t="s">
        <v>5784</v>
      </c>
    </row>
    <row r="699" spans="1:16" ht="15" customHeight="1" x14ac:dyDescent="0.2">
      <c r="A699" s="1" t="s">
        <v>1970</v>
      </c>
      <c r="B699" s="1" t="s">
        <v>1971</v>
      </c>
      <c r="C699" s="1" t="s">
        <v>9</v>
      </c>
      <c r="D699" s="1" t="s">
        <v>3</v>
      </c>
      <c r="E699" s="5">
        <v>38519</v>
      </c>
      <c r="F699" s="5">
        <v>39738</v>
      </c>
      <c r="G699" s="2">
        <v>1.0999829999999999</v>
      </c>
      <c r="H699" s="1" t="s">
        <v>10</v>
      </c>
      <c r="I699" s="2"/>
      <c r="J699" s="1" t="s">
        <v>289</v>
      </c>
      <c r="K699" s="1" t="s">
        <v>1972</v>
      </c>
      <c r="L699" s="2">
        <v>0</v>
      </c>
      <c r="M699">
        <f t="shared" si="30"/>
        <v>0</v>
      </c>
      <c r="N699">
        <f t="shared" si="31"/>
        <v>0</v>
      </c>
      <c r="O699" t="str">
        <f t="shared" si="32"/>
        <v>FJERN</v>
      </c>
      <c r="P699" s="1" t="s">
        <v>5785</v>
      </c>
    </row>
    <row r="700" spans="1:16" ht="15" customHeight="1" x14ac:dyDescent="0.2">
      <c r="A700" s="1" t="s">
        <v>1973</v>
      </c>
      <c r="B700" s="1" t="s">
        <v>1974</v>
      </c>
      <c r="C700" s="1" t="s">
        <v>2</v>
      </c>
      <c r="D700" s="1" t="s">
        <v>3</v>
      </c>
      <c r="E700" s="5">
        <v>38509</v>
      </c>
      <c r="F700" s="5">
        <v>38929</v>
      </c>
      <c r="G700" s="2"/>
      <c r="H700" s="1" t="s">
        <v>4</v>
      </c>
      <c r="I700" s="2"/>
      <c r="J700" s="1" t="s">
        <v>23</v>
      </c>
      <c r="K700" s="1" t="s">
        <v>1975</v>
      </c>
      <c r="L700" s="2"/>
      <c r="M700" t="str">
        <f t="shared" si="30"/>
        <v/>
      </c>
      <c r="N700" t="str">
        <f t="shared" si="31"/>
        <v/>
      </c>
      <c r="O700" t="str">
        <f t="shared" si="32"/>
        <v>FJERN</v>
      </c>
      <c r="P700" s="1" t="s">
        <v>5786</v>
      </c>
    </row>
    <row r="701" spans="1:16" ht="15" customHeight="1" x14ac:dyDescent="0.2">
      <c r="A701" s="1" t="s">
        <v>1976</v>
      </c>
      <c r="B701" s="1" t="s">
        <v>1977</v>
      </c>
      <c r="C701" s="1" t="s">
        <v>2</v>
      </c>
      <c r="D701" s="1" t="s">
        <v>3</v>
      </c>
      <c r="E701" s="5">
        <v>38509</v>
      </c>
      <c r="F701" s="5">
        <v>38770</v>
      </c>
      <c r="G701" s="2"/>
      <c r="H701" s="1" t="s">
        <v>4</v>
      </c>
      <c r="I701" s="2"/>
      <c r="J701" s="1" t="s">
        <v>86</v>
      </c>
      <c r="K701" s="1" t="s">
        <v>1978</v>
      </c>
      <c r="L701" s="2"/>
      <c r="M701" t="str">
        <f t="shared" si="30"/>
        <v/>
      </c>
      <c r="N701" t="str">
        <f t="shared" si="31"/>
        <v/>
      </c>
      <c r="O701" t="str">
        <f t="shared" si="32"/>
        <v>FJERN</v>
      </c>
      <c r="P701" s="1" t="s">
        <v>5787</v>
      </c>
    </row>
    <row r="702" spans="1:16" ht="15" customHeight="1" x14ac:dyDescent="0.2">
      <c r="A702" s="1" t="s">
        <v>1979</v>
      </c>
      <c r="B702" s="1" t="s">
        <v>1980</v>
      </c>
      <c r="C702" s="1" t="s">
        <v>9</v>
      </c>
      <c r="D702" s="1" t="s">
        <v>3</v>
      </c>
      <c r="E702" s="5">
        <v>38517</v>
      </c>
      <c r="F702" s="5">
        <v>39722</v>
      </c>
      <c r="G702" s="2">
        <v>185</v>
      </c>
      <c r="H702" s="1" t="s">
        <v>10</v>
      </c>
      <c r="I702" s="2"/>
      <c r="J702" s="1" t="s">
        <v>23</v>
      </c>
      <c r="K702" s="1" t="s">
        <v>1981</v>
      </c>
      <c r="L702" s="2">
        <v>0</v>
      </c>
      <c r="M702">
        <f t="shared" si="30"/>
        <v>0</v>
      </c>
      <c r="N702">
        <f t="shared" si="31"/>
        <v>0</v>
      </c>
      <c r="O702" t="str">
        <f t="shared" si="32"/>
        <v>FJERN</v>
      </c>
      <c r="P702" s="1" t="s">
        <v>5788</v>
      </c>
    </row>
    <row r="703" spans="1:16" ht="15" customHeight="1" x14ac:dyDescent="0.2">
      <c r="A703" s="1" t="s">
        <v>1982</v>
      </c>
      <c r="B703" s="1" t="s">
        <v>1983</v>
      </c>
      <c r="C703" s="1" t="s">
        <v>2</v>
      </c>
      <c r="D703" s="1" t="s">
        <v>3</v>
      </c>
      <c r="E703" s="5">
        <v>38513</v>
      </c>
      <c r="F703" s="5">
        <v>41851</v>
      </c>
      <c r="G703" s="2">
        <v>2.9085570000000001</v>
      </c>
      <c r="H703" s="1" t="s">
        <v>4</v>
      </c>
      <c r="I703" s="2"/>
      <c r="J703" s="1" t="s">
        <v>366</v>
      </c>
      <c r="K703" s="1" t="s">
        <v>1984</v>
      </c>
      <c r="L703" s="2">
        <v>554951.19999999995</v>
      </c>
      <c r="M703">
        <f t="shared" si="30"/>
        <v>1614107.1974183999</v>
      </c>
      <c r="N703">
        <f t="shared" si="31"/>
        <v>216658.68421723487</v>
      </c>
      <c r="O703" t="str">
        <f t="shared" si="32"/>
        <v>BEHOLD</v>
      </c>
      <c r="P703" s="1" t="s">
        <v>5789</v>
      </c>
    </row>
    <row r="704" spans="1:16" ht="15" customHeight="1" x14ac:dyDescent="0.2">
      <c r="A704" s="1" t="s">
        <v>1985</v>
      </c>
      <c r="B704" s="1" t="s">
        <v>1986</v>
      </c>
      <c r="C704" s="1" t="s">
        <v>9</v>
      </c>
      <c r="D704" s="1" t="s">
        <v>3</v>
      </c>
      <c r="E704" s="5">
        <v>35216</v>
      </c>
      <c r="F704" s="5">
        <v>39412</v>
      </c>
      <c r="G704" s="2">
        <v>95.5</v>
      </c>
      <c r="H704" s="1" t="s">
        <v>10</v>
      </c>
      <c r="I704" s="2"/>
      <c r="J704" s="1" t="s">
        <v>19</v>
      </c>
      <c r="K704" s="1" t="s">
        <v>1987</v>
      </c>
      <c r="L704" s="2">
        <v>0</v>
      </c>
      <c r="M704">
        <f t="shared" si="30"/>
        <v>0</v>
      </c>
      <c r="N704">
        <f t="shared" si="31"/>
        <v>0</v>
      </c>
      <c r="O704" t="str">
        <f t="shared" si="32"/>
        <v>FJERN</v>
      </c>
      <c r="P704" s="1" t="s">
        <v>5790</v>
      </c>
    </row>
    <row r="705" spans="1:16" ht="15" customHeight="1" x14ac:dyDescent="0.2">
      <c r="A705" s="1" t="s">
        <v>1988</v>
      </c>
      <c r="B705" s="1" t="s">
        <v>1989</v>
      </c>
      <c r="C705" s="1" t="s">
        <v>9</v>
      </c>
      <c r="D705" s="1" t="s">
        <v>3</v>
      </c>
      <c r="E705" s="5">
        <v>38537</v>
      </c>
      <c r="F705" s="5">
        <v>40641</v>
      </c>
      <c r="G705" s="2">
        <v>0.41284939999999998</v>
      </c>
      <c r="H705" s="1" t="s">
        <v>10</v>
      </c>
      <c r="I705" s="2"/>
      <c r="J705" s="1" t="s">
        <v>11</v>
      </c>
      <c r="K705" s="1" t="s">
        <v>1990</v>
      </c>
      <c r="L705" s="2">
        <v>37715.07</v>
      </c>
      <c r="M705">
        <f t="shared" si="30"/>
        <v>15570.644020457999</v>
      </c>
      <c r="N705">
        <f t="shared" si="31"/>
        <v>1377.9330991555751</v>
      </c>
      <c r="O705" t="str">
        <f t="shared" si="32"/>
        <v>FJERN</v>
      </c>
      <c r="P705" s="1"/>
    </row>
    <row r="706" spans="1:16" ht="15" customHeight="1" x14ac:dyDescent="0.2">
      <c r="A706" s="1" t="s">
        <v>1991</v>
      </c>
      <c r="B706" s="1" t="s">
        <v>1992</v>
      </c>
      <c r="C706" s="1" t="s">
        <v>9</v>
      </c>
      <c r="D706" s="1" t="s">
        <v>3</v>
      </c>
      <c r="E706" s="5">
        <v>36468</v>
      </c>
      <c r="F706" s="5">
        <v>41305</v>
      </c>
      <c r="G706" s="2">
        <v>1.0176430000000001</v>
      </c>
      <c r="H706" s="1" t="s">
        <v>10</v>
      </c>
      <c r="I706" s="2"/>
      <c r="J706" s="1" t="s">
        <v>289</v>
      </c>
      <c r="K706" s="1" t="s">
        <v>1993</v>
      </c>
      <c r="L706" s="2">
        <v>91659.19</v>
      </c>
      <c r="M706">
        <f t="shared" si="30"/>
        <v>93276.333089170002</v>
      </c>
      <c r="N706">
        <f t="shared" si="31"/>
        <v>8254.5427512539827</v>
      </c>
      <c r="O706" t="str">
        <f t="shared" si="32"/>
        <v>FJERN</v>
      </c>
      <c r="P706" s="1" t="s">
        <v>5791</v>
      </c>
    </row>
    <row r="707" spans="1:16" ht="15" customHeight="1" x14ac:dyDescent="0.2">
      <c r="A707" s="1" t="s">
        <v>1994</v>
      </c>
      <c r="B707" s="1" t="s">
        <v>1995</v>
      </c>
      <c r="C707" s="1" t="s">
        <v>9</v>
      </c>
      <c r="D707" s="1" t="s">
        <v>3</v>
      </c>
      <c r="E707" s="5">
        <v>33669</v>
      </c>
      <c r="F707" s="5">
        <v>40410</v>
      </c>
      <c r="G707" s="2">
        <v>7.4750699999999997</v>
      </c>
      <c r="H707" s="1" t="s">
        <v>10</v>
      </c>
      <c r="I707" s="2"/>
      <c r="J707" s="1" t="s">
        <v>76</v>
      </c>
      <c r="K707" s="1" t="s">
        <v>1996</v>
      </c>
      <c r="L707" s="2">
        <v>680031.9</v>
      </c>
      <c r="M707">
        <f t="shared" ref="M707:M770" si="33">IF(OR(G707="",L707=""),"",G707*L707)</f>
        <v>5083286.0547329998</v>
      </c>
      <c r="N707">
        <f t="shared" ref="N707:N770" si="34">IF(M707="","",IF(H707="DKK",M707/7.45,IF(H707="SEK",M707/11.3,M707)))</f>
        <v>449848.32342769904</v>
      </c>
      <c r="O707" t="str">
        <f t="shared" ref="O707:O770" si="35">IF(AND(E707&lt;=DATE(2024,12,31),F707&gt;=DATE(2010,1,1),D707="SHARE",N707&gt;=100000),"BEHOLD","FJERN")</f>
        <v>BEHOLD</v>
      </c>
      <c r="P707" s="1" t="s">
        <v>5792</v>
      </c>
    </row>
    <row r="708" spans="1:16" ht="15" customHeight="1" x14ac:dyDescent="0.2">
      <c r="A708" s="1" t="s">
        <v>1997</v>
      </c>
      <c r="B708" s="1" t="s">
        <v>1998</v>
      </c>
      <c r="C708" s="1" t="s">
        <v>9</v>
      </c>
      <c r="D708" s="1" t="s">
        <v>3</v>
      </c>
      <c r="E708" s="5">
        <v>38597</v>
      </c>
      <c r="F708" s="5">
        <v>39311</v>
      </c>
      <c r="G708" s="2"/>
      <c r="H708" s="1" t="s">
        <v>10</v>
      </c>
      <c r="I708" s="2"/>
      <c r="J708" s="1" t="s">
        <v>76</v>
      </c>
      <c r="K708" s="1" t="s">
        <v>1999</v>
      </c>
      <c r="L708" s="2"/>
      <c r="M708" t="str">
        <f t="shared" si="33"/>
        <v/>
      </c>
      <c r="N708" t="str">
        <f t="shared" si="34"/>
        <v/>
      </c>
      <c r="O708" t="str">
        <f t="shared" si="35"/>
        <v>FJERN</v>
      </c>
      <c r="P708" s="1" t="s">
        <v>5793</v>
      </c>
    </row>
    <row r="709" spans="1:16" ht="15" customHeight="1" x14ac:dyDescent="0.2">
      <c r="A709" s="1" t="s">
        <v>2000</v>
      </c>
      <c r="B709" s="1" t="s">
        <v>2001</v>
      </c>
      <c r="C709" s="1" t="s">
        <v>9</v>
      </c>
      <c r="D709" s="1" t="s">
        <v>3</v>
      </c>
      <c r="E709" s="5">
        <v>36063</v>
      </c>
      <c r="F709" s="5">
        <v>42571</v>
      </c>
      <c r="G709" s="2">
        <v>13.07578</v>
      </c>
      <c r="H709" s="1" t="s">
        <v>10</v>
      </c>
      <c r="I709" s="2"/>
      <c r="J709" s="1" t="s">
        <v>167</v>
      </c>
      <c r="K709" s="1" t="s">
        <v>2002</v>
      </c>
      <c r="L709" s="2">
        <v>9973.3760000000002</v>
      </c>
      <c r="M709">
        <f t="shared" si="33"/>
        <v>130409.67043328</v>
      </c>
      <c r="N709">
        <f t="shared" si="34"/>
        <v>11540.678799405308</v>
      </c>
      <c r="O709" t="str">
        <f t="shared" si="35"/>
        <v>FJERN</v>
      </c>
      <c r="P709" s="1" t="s">
        <v>5794</v>
      </c>
    </row>
    <row r="710" spans="1:16" ht="15" customHeight="1" x14ac:dyDescent="0.2">
      <c r="A710" s="1" t="s">
        <v>2003</v>
      </c>
      <c r="B710" s="1" t="s">
        <v>2004</v>
      </c>
      <c r="C710" s="1" t="s">
        <v>9</v>
      </c>
      <c r="D710" s="1" t="s">
        <v>3</v>
      </c>
      <c r="E710" s="5">
        <v>39093</v>
      </c>
      <c r="F710" s="5">
        <v>39955</v>
      </c>
      <c r="G710" s="2">
        <v>2.7749419999999998</v>
      </c>
      <c r="H710" s="1" t="s">
        <v>10</v>
      </c>
      <c r="I710" s="2"/>
      <c r="J710" s="1" t="s">
        <v>64</v>
      </c>
      <c r="K710" s="1" t="s">
        <v>2005</v>
      </c>
      <c r="L710" s="2">
        <v>2177.7429999999999</v>
      </c>
      <c r="M710">
        <f t="shared" si="33"/>
        <v>6043.1105159059998</v>
      </c>
      <c r="N710">
        <f t="shared" si="34"/>
        <v>534.78854123061944</v>
      </c>
      <c r="O710" t="str">
        <f t="shared" si="35"/>
        <v>FJERN</v>
      </c>
      <c r="P710" s="1" t="s">
        <v>5795</v>
      </c>
    </row>
    <row r="711" spans="1:16" ht="15" customHeight="1" x14ac:dyDescent="0.2">
      <c r="A711" s="1" t="s">
        <v>2006</v>
      </c>
      <c r="B711" s="1" t="s">
        <v>2007</v>
      </c>
      <c r="C711" s="1" t="s">
        <v>9</v>
      </c>
      <c r="D711" s="1" t="s">
        <v>3</v>
      </c>
      <c r="E711" s="5">
        <v>38631</v>
      </c>
      <c r="F711" s="5">
        <v>42300</v>
      </c>
      <c r="G711" s="2">
        <v>9.1605840000000001</v>
      </c>
      <c r="H711" s="1" t="s">
        <v>10</v>
      </c>
      <c r="I711" s="2"/>
      <c r="J711" s="1" t="s">
        <v>184</v>
      </c>
      <c r="K711" s="1" t="s">
        <v>2008</v>
      </c>
      <c r="L711" s="2">
        <v>46714.47</v>
      </c>
      <c r="M711">
        <f t="shared" si="33"/>
        <v>427931.82645048003</v>
      </c>
      <c r="N711">
        <f t="shared" si="34"/>
        <v>37870.073137210617</v>
      </c>
      <c r="O711" t="str">
        <f t="shared" si="35"/>
        <v>FJERN</v>
      </c>
      <c r="P711" s="1" t="s">
        <v>5796</v>
      </c>
    </row>
    <row r="712" spans="1:16" ht="15" customHeight="1" x14ac:dyDescent="0.2">
      <c r="A712" s="1" t="s">
        <v>2009</v>
      </c>
      <c r="B712" s="1" t="s">
        <v>2010</v>
      </c>
      <c r="C712" s="1" t="s">
        <v>9</v>
      </c>
      <c r="D712" s="1" t="s">
        <v>3</v>
      </c>
      <c r="E712" s="5">
        <v>38630</v>
      </c>
      <c r="F712" s="5">
        <v>46155</v>
      </c>
      <c r="G712" s="2">
        <v>109.1082</v>
      </c>
      <c r="H712" s="1" t="s">
        <v>10</v>
      </c>
      <c r="I712" s="2">
        <v>87583.245556769994</v>
      </c>
      <c r="J712" s="1" t="s">
        <v>11</v>
      </c>
      <c r="K712" s="1" t="s">
        <v>2011</v>
      </c>
      <c r="L712" s="2">
        <v>443451.2</v>
      </c>
      <c r="M712">
        <f t="shared" si="33"/>
        <v>48384162.219839998</v>
      </c>
      <c r="N712">
        <f t="shared" si="34"/>
        <v>4281784.2672424773</v>
      </c>
      <c r="O712" t="str">
        <f t="shared" si="35"/>
        <v>BEHOLD</v>
      </c>
      <c r="P712" s="1" t="s">
        <v>5797</v>
      </c>
    </row>
    <row r="713" spans="1:16" ht="15" customHeight="1" x14ac:dyDescent="0.2">
      <c r="A713" s="1" t="s">
        <v>2012</v>
      </c>
      <c r="B713" s="1" t="s">
        <v>2013</v>
      </c>
      <c r="C713" s="1" t="s">
        <v>9</v>
      </c>
      <c r="D713" s="1" t="s">
        <v>3</v>
      </c>
      <c r="E713" s="5">
        <v>35816</v>
      </c>
      <c r="F713" s="5">
        <v>41901</v>
      </c>
      <c r="G713" s="2">
        <v>8.7910730000000008</v>
      </c>
      <c r="H713" s="1" t="s">
        <v>10</v>
      </c>
      <c r="I713" s="2"/>
      <c r="J713" s="1" t="s">
        <v>34</v>
      </c>
      <c r="K713" s="1" t="s">
        <v>2014</v>
      </c>
      <c r="L713" s="2">
        <v>2043.45</v>
      </c>
      <c r="M713">
        <f t="shared" si="33"/>
        <v>17964.118121850002</v>
      </c>
      <c r="N713">
        <f t="shared" si="34"/>
        <v>1589.7449665353984</v>
      </c>
      <c r="O713" t="str">
        <f t="shared" si="35"/>
        <v>FJERN</v>
      </c>
      <c r="P713" s="1" t="s">
        <v>5798</v>
      </c>
    </row>
    <row r="714" spans="1:16" ht="15" customHeight="1" x14ac:dyDescent="0.2">
      <c r="A714" s="1" t="s">
        <v>2015</v>
      </c>
      <c r="B714" s="1" t="s">
        <v>2016</v>
      </c>
      <c r="C714" s="1" t="s">
        <v>9</v>
      </c>
      <c r="D714" s="1" t="s">
        <v>3</v>
      </c>
      <c r="E714" s="5">
        <v>34395</v>
      </c>
      <c r="F714" s="5">
        <v>46155</v>
      </c>
      <c r="G714" s="2">
        <v>79.309889999999996</v>
      </c>
      <c r="H714" s="1" t="s">
        <v>10</v>
      </c>
      <c r="I714" s="2">
        <v>18722.07288</v>
      </c>
      <c r="J714" s="1" t="s">
        <v>34</v>
      </c>
      <c r="K714" s="1" t="s">
        <v>2017</v>
      </c>
      <c r="L714" s="2">
        <v>1559847</v>
      </c>
      <c r="M714">
        <f t="shared" si="33"/>
        <v>123711293.98683</v>
      </c>
      <c r="N714">
        <f t="shared" si="34"/>
        <v>10947902.122728318</v>
      </c>
      <c r="O714" t="str">
        <f t="shared" si="35"/>
        <v>BEHOLD</v>
      </c>
      <c r="P714" s="1" t="s">
        <v>5799</v>
      </c>
    </row>
    <row r="715" spans="1:16" ht="15" customHeight="1" x14ac:dyDescent="0.2">
      <c r="A715" s="1" t="s">
        <v>2018</v>
      </c>
      <c r="B715" s="1" t="s">
        <v>2019</v>
      </c>
      <c r="C715" s="1" t="s">
        <v>9</v>
      </c>
      <c r="D715" s="1" t="s">
        <v>3</v>
      </c>
      <c r="E715" s="5">
        <v>38674</v>
      </c>
      <c r="F715" s="5">
        <v>40739</v>
      </c>
      <c r="G715" s="2">
        <v>48.832479999999997</v>
      </c>
      <c r="H715" s="1" t="s">
        <v>10</v>
      </c>
      <c r="I715" s="2"/>
      <c r="J715" s="1" t="s">
        <v>184</v>
      </c>
      <c r="K715" s="1" t="s">
        <v>2020</v>
      </c>
      <c r="L715" s="2">
        <v>14076.89</v>
      </c>
      <c r="M715">
        <f t="shared" si="33"/>
        <v>687409.44938719994</v>
      </c>
      <c r="N715">
        <f t="shared" si="34"/>
        <v>60832.69463603539</v>
      </c>
      <c r="O715" t="str">
        <f t="shared" si="35"/>
        <v>FJERN</v>
      </c>
      <c r="P715" s="1" t="s">
        <v>5800</v>
      </c>
    </row>
    <row r="716" spans="1:16" ht="15" customHeight="1" x14ac:dyDescent="0.2">
      <c r="A716" s="1" t="s">
        <v>2021</v>
      </c>
      <c r="B716" s="1" t="s">
        <v>2022</v>
      </c>
      <c r="C716" s="1" t="s">
        <v>2</v>
      </c>
      <c r="D716" s="1" t="s">
        <v>3</v>
      </c>
      <c r="E716" s="5">
        <v>33053</v>
      </c>
      <c r="F716" s="5">
        <v>46155</v>
      </c>
      <c r="G716" s="2">
        <v>100.517</v>
      </c>
      <c r="H716" s="1" t="s">
        <v>4</v>
      </c>
      <c r="I716" s="2">
        <v>609.49845572000004</v>
      </c>
      <c r="J716" s="1" t="s">
        <v>5</v>
      </c>
      <c r="K716" s="1" t="s">
        <v>2023</v>
      </c>
      <c r="L716" s="2">
        <v>6165.9269999999997</v>
      </c>
      <c r="M716">
        <f t="shared" si="33"/>
        <v>619780.48425899993</v>
      </c>
      <c r="N716">
        <f t="shared" si="34"/>
        <v>83192.011309932874</v>
      </c>
      <c r="O716" t="str">
        <f t="shared" si="35"/>
        <v>FJERN</v>
      </c>
      <c r="P716" s="1" t="s">
        <v>5801</v>
      </c>
    </row>
    <row r="717" spans="1:16" ht="15" customHeight="1" x14ac:dyDescent="0.2">
      <c r="A717" s="1" t="s">
        <v>2024</v>
      </c>
      <c r="B717" s="1" t="s">
        <v>2025</v>
      </c>
      <c r="C717" s="1" t="s">
        <v>9</v>
      </c>
      <c r="D717" s="1" t="s">
        <v>3</v>
      </c>
      <c r="E717" s="5">
        <v>38665</v>
      </c>
      <c r="F717" s="5">
        <v>46155</v>
      </c>
      <c r="G717" s="2">
        <v>48.296059999999997</v>
      </c>
      <c r="H717" s="1" t="s">
        <v>10</v>
      </c>
      <c r="I717" s="2">
        <v>1044.7707892999999</v>
      </c>
      <c r="J717" s="1" t="s">
        <v>366</v>
      </c>
      <c r="K717" s="1" t="s">
        <v>2026</v>
      </c>
      <c r="L717" s="2">
        <v>84572.94</v>
      </c>
      <c r="M717">
        <f t="shared" si="33"/>
        <v>4084539.7846164</v>
      </c>
      <c r="N717">
        <f t="shared" si="34"/>
        <v>361463.6977536637</v>
      </c>
      <c r="O717" t="str">
        <f t="shared" si="35"/>
        <v>BEHOLD</v>
      </c>
      <c r="P717" s="1" t="s">
        <v>5802</v>
      </c>
    </row>
    <row r="718" spans="1:16" ht="15" customHeight="1" x14ac:dyDescent="0.2">
      <c r="A718" s="1" t="s">
        <v>2027</v>
      </c>
      <c r="B718" s="1" t="s">
        <v>2028</v>
      </c>
      <c r="C718" s="1" t="s">
        <v>9</v>
      </c>
      <c r="D718" s="1" t="s">
        <v>3</v>
      </c>
      <c r="E718" s="5">
        <v>33441</v>
      </c>
      <c r="F718" s="5">
        <v>38917</v>
      </c>
      <c r="G718" s="2"/>
      <c r="H718" s="1" t="s">
        <v>10</v>
      </c>
      <c r="I718" s="2"/>
      <c r="J718" s="1" t="s">
        <v>34</v>
      </c>
      <c r="K718" s="1" t="s">
        <v>2029</v>
      </c>
      <c r="L718" s="2"/>
      <c r="M718" t="str">
        <f t="shared" si="33"/>
        <v/>
      </c>
      <c r="N718" t="str">
        <f t="shared" si="34"/>
        <v/>
      </c>
      <c r="O718" t="str">
        <f t="shared" si="35"/>
        <v>FJERN</v>
      </c>
      <c r="P718" s="1" t="s">
        <v>5803</v>
      </c>
    </row>
    <row r="719" spans="1:16" ht="15" customHeight="1" x14ac:dyDescent="0.2">
      <c r="A719" s="1" t="s">
        <v>2030</v>
      </c>
      <c r="B719" s="1" t="s">
        <v>2031</v>
      </c>
      <c r="C719" s="1" t="s">
        <v>9</v>
      </c>
      <c r="D719" s="1" t="s">
        <v>3</v>
      </c>
      <c r="E719" s="5">
        <v>38664</v>
      </c>
      <c r="F719" s="5">
        <v>46155</v>
      </c>
      <c r="G719" s="2">
        <v>12.6523</v>
      </c>
      <c r="H719" s="1" t="s">
        <v>10</v>
      </c>
      <c r="I719" s="2">
        <v>420.25800700000002</v>
      </c>
      <c r="J719" s="1" t="s">
        <v>289</v>
      </c>
      <c r="K719" s="1" t="s">
        <v>2032</v>
      </c>
      <c r="L719" s="2">
        <v>70993.55</v>
      </c>
      <c r="M719">
        <f t="shared" si="33"/>
        <v>898231.6926650001</v>
      </c>
      <c r="N719">
        <f t="shared" si="34"/>
        <v>79489.530324336287</v>
      </c>
      <c r="O719" t="str">
        <f t="shared" si="35"/>
        <v>FJERN</v>
      </c>
      <c r="P719" s="1" t="s">
        <v>5804</v>
      </c>
    </row>
    <row r="720" spans="1:16" ht="15" customHeight="1" x14ac:dyDescent="0.2">
      <c r="A720" s="1" t="s">
        <v>2033</v>
      </c>
      <c r="B720" s="1" t="s">
        <v>2034</v>
      </c>
      <c r="C720" s="1" t="s">
        <v>9</v>
      </c>
      <c r="D720" s="1" t="s">
        <v>3</v>
      </c>
      <c r="E720" s="5">
        <v>38975</v>
      </c>
      <c r="F720" s="5">
        <v>46155</v>
      </c>
      <c r="G720" s="2">
        <v>17.427659999999999</v>
      </c>
      <c r="H720" s="1" t="s">
        <v>10</v>
      </c>
      <c r="I720" s="2">
        <v>1403.8343299999999</v>
      </c>
      <c r="J720" s="1" t="s">
        <v>64</v>
      </c>
      <c r="K720" s="1" t="s">
        <v>2035</v>
      </c>
      <c r="L720" s="2">
        <v>69831.06</v>
      </c>
      <c r="M720">
        <f t="shared" si="33"/>
        <v>1216991.9711195999</v>
      </c>
      <c r="N720">
        <f t="shared" si="34"/>
        <v>107698.40452385839</v>
      </c>
      <c r="O720" t="str">
        <f t="shared" si="35"/>
        <v>BEHOLD</v>
      </c>
      <c r="P720" s="1" t="s">
        <v>5805</v>
      </c>
    </row>
    <row r="721" spans="1:16" ht="15" customHeight="1" x14ac:dyDescent="0.2">
      <c r="A721" s="1" t="s">
        <v>2036</v>
      </c>
      <c r="B721" s="1" t="s">
        <v>2037</v>
      </c>
      <c r="C721" s="1" t="s">
        <v>9</v>
      </c>
      <c r="D721" s="1" t="s">
        <v>3</v>
      </c>
      <c r="E721" s="5">
        <v>34799</v>
      </c>
      <c r="F721" s="5">
        <v>39465</v>
      </c>
      <c r="G721" s="2">
        <v>116.75</v>
      </c>
      <c r="H721" s="1" t="s">
        <v>10</v>
      </c>
      <c r="I721" s="2"/>
      <c r="J721" s="1" t="s">
        <v>184</v>
      </c>
      <c r="K721" s="1" t="s">
        <v>2038</v>
      </c>
      <c r="L721" s="2">
        <v>0</v>
      </c>
      <c r="M721">
        <f t="shared" si="33"/>
        <v>0</v>
      </c>
      <c r="N721">
        <f t="shared" si="34"/>
        <v>0</v>
      </c>
      <c r="O721" t="str">
        <f t="shared" si="35"/>
        <v>FJERN</v>
      </c>
      <c r="P721" s="1" t="s">
        <v>5806</v>
      </c>
    </row>
    <row r="722" spans="1:16" ht="15" customHeight="1" x14ac:dyDescent="0.2">
      <c r="A722" s="1" t="s">
        <v>2039</v>
      </c>
      <c r="B722" s="1" t="s">
        <v>2040</v>
      </c>
      <c r="C722" s="1" t="s">
        <v>9</v>
      </c>
      <c r="D722" s="1" t="s">
        <v>3</v>
      </c>
      <c r="E722" s="5">
        <v>38685</v>
      </c>
      <c r="F722" s="5">
        <v>40046</v>
      </c>
      <c r="G722" s="2">
        <v>0.13946800000000001</v>
      </c>
      <c r="H722" s="1" t="s">
        <v>10</v>
      </c>
      <c r="I722" s="2"/>
      <c r="J722" s="1" t="s">
        <v>236</v>
      </c>
      <c r="K722" s="1" t="s">
        <v>2041</v>
      </c>
      <c r="L722" s="2">
        <v>1291875</v>
      </c>
      <c r="M722">
        <f t="shared" si="33"/>
        <v>180175.2225</v>
      </c>
      <c r="N722">
        <f t="shared" si="34"/>
        <v>15944.709955752212</v>
      </c>
      <c r="O722" t="str">
        <f t="shared" si="35"/>
        <v>FJERN</v>
      </c>
      <c r="P722" s="1"/>
    </row>
    <row r="723" spans="1:16" ht="15" customHeight="1" x14ac:dyDescent="0.2">
      <c r="A723" s="1" t="s">
        <v>2042</v>
      </c>
      <c r="B723" s="1" t="s">
        <v>2043</v>
      </c>
      <c r="C723" s="1" t="s">
        <v>9</v>
      </c>
      <c r="D723" s="1" t="s">
        <v>3</v>
      </c>
      <c r="E723" s="5">
        <v>38694</v>
      </c>
      <c r="F723" s="5">
        <v>44574</v>
      </c>
      <c r="G723" s="2">
        <v>249.68299999999999</v>
      </c>
      <c r="H723" s="1" t="s">
        <v>10</v>
      </c>
      <c r="I723" s="2"/>
      <c r="J723" s="1" t="s">
        <v>222</v>
      </c>
      <c r="K723" s="1" t="s">
        <v>2044</v>
      </c>
      <c r="L723" s="2">
        <v>281008</v>
      </c>
      <c r="M723">
        <f t="shared" si="33"/>
        <v>70162920.464000002</v>
      </c>
      <c r="N723">
        <f t="shared" si="34"/>
        <v>6209108.0056637162</v>
      </c>
      <c r="O723" t="str">
        <f t="shared" si="35"/>
        <v>BEHOLD</v>
      </c>
      <c r="P723" s="1" t="s">
        <v>5807</v>
      </c>
    </row>
    <row r="724" spans="1:16" ht="15" customHeight="1" x14ac:dyDescent="0.2">
      <c r="A724" s="1" t="s">
        <v>2045</v>
      </c>
      <c r="B724" s="1" t="s">
        <v>2046</v>
      </c>
      <c r="C724" s="1" t="s">
        <v>2</v>
      </c>
      <c r="D724" s="1" t="s">
        <v>3</v>
      </c>
      <c r="E724" s="5">
        <v>40505</v>
      </c>
      <c r="F724" s="5">
        <v>46155</v>
      </c>
      <c r="G724" s="2">
        <v>196.7577</v>
      </c>
      <c r="H724" s="1" t="s">
        <v>4</v>
      </c>
      <c r="I724" s="2">
        <v>32931.169389928597</v>
      </c>
      <c r="J724" s="1" t="s">
        <v>366</v>
      </c>
      <c r="K724" s="1" t="s">
        <v>2047</v>
      </c>
      <c r="L724" s="2">
        <v>150333.4</v>
      </c>
      <c r="M724">
        <f t="shared" si="33"/>
        <v>29579254.01718</v>
      </c>
      <c r="N724">
        <f t="shared" si="34"/>
        <v>3970369.6667355704</v>
      </c>
      <c r="O724" t="str">
        <f t="shared" si="35"/>
        <v>BEHOLD</v>
      </c>
      <c r="P724" s="1" t="s">
        <v>5808</v>
      </c>
    </row>
    <row r="725" spans="1:16" ht="15" customHeight="1" x14ac:dyDescent="0.2">
      <c r="A725" s="1" t="s">
        <v>2048</v>
      </c>
      <c r="B725" s="1" t="s">
        <v>2049</v>
      </c>
      <c r="C725" s="1" t="s">
        <v>9</v>
      </c>
      <c r="D725" s="1" t="s">
        <v>3</v>
      </c>
      <c r="E725" s="5">
        <v>36964</v>
      </c>
      <c r="F725" s="5">
        <v>39850</v>
      </c>
      <c r="G725" s="2">
        <v>3.1336950000000002E-2</v>
      </c>
      <c r="H725" s="1" t="s">
        <v>10</v>
      </c>
      <c r="I725" s="2"/>
      <c r="J725" s="1" t="s">
        <v>55</v>
      </c>
      <c r="K725" s="1" t="s">
        <v>2050</v>
      </c>
      <c r="L725" s="2">
        <v>116407.1</v>
      </c>
      <c r="M725">
        <f t="shared" si="33"/>
        <v>3647.8434723450005</v>
      </c>
      <c r="N725">
        <f t="shared" si="34"/>
        <v>322.8180064022124</v>
      </c>
      <c r="O725" t="str">
        <f t="shared" si="35"/>
        <v>FJERN</v>
      </c>
      <c r="P725" s="1"/>
    </row>
    <row r="726" spans="1:16" ht="15" customHeight="1" x14ac:dyDescent="0.2">
      <c r="A726" s="1" t="s">
        <v>2051</v>
      </c>
      <c r="B726" s="1" t="s">
        <v>2052</v>
      </c>
      <c r="C726" s="1" t="s">
        <v>9</v>
      </c>
      <c r="D726" s="1" t="s">
        <v>3</v>
      </c>
      <c r="E726" s="5">
        <v>38698</v>
      </c>
      <c r="F726" s="5">
        <v>40723</v>
      </c>
      <c r="G726" s="2">
        <v>3.8258709999999998</v>
      </c>
      <c r="H726" s="1" t="s">
        <v>10</v>
      </c>
      <c r="I726" s="2"/>
      <c r="J726" s="1" t="s">
        <v>23</v>
      </c>
      <c r="K726" s="1" t="s">
        <v>2053</v>
      </c>
      <c r="L726" s="2">
        <v>1287.8510000000001</v>
      </c>
      <c r="M726">
        <f t="shared" si="33"/>
        <v>4927.1517932209999</v>
      </c>
      <c r="N726">
        <f t="shared" si="34"/>
        <v>436.03113214345132</v>
      </c>
      <c r="O726" t="str">
        <f t="shared" si="35"/>
        <v>FJERN</v>
      </c>
      <c r="P726" s="1"/>
    </row>
    <row r="727" spans="1:16" ht="15" customHeight="1" x14ac:dyDescent="0.2">
      <c r="A727" s="1" t="s">
        <v>2054</v>
      </c>
      <c r="B727" s="1" t="s">
        <v>2055</v>
      </c>
      <c r="C727" s="1" t="s">
        <v>9</v>
      </c>
      <c r="D727" s="1" t="s">
        <v>3</v>
      </c>
      <c r="E727" s="5">
        <v>38701</v>
      </c>
      <c r="F727" s="5">
        <v>40350</v>
      </c>
      <c r="G727" s="2">
        <v>5.5449859999999997E-2</v>
      </c>
      <c r="H727" s="1" t="s">
        <v>10</v>
      </c>
      <c r="I727" s="2"/>
      <c r="J727" s="1" t="s">
        <v>391</v>
      </c>
      <c r="K727" s="1" t="s">
        <v>2056</v>
      </c>
      <c r="L727" s="2">
        <v>200028.7</v>
      </c>
      <c r="M727">
        <f t="shared" si="33"/>
        <v>11091.563410982</v>
      </c>
      <c r="N727">
        <f t="shared" si="34"/>
        <v>981.55428415769904</v>
      </c>
      <c r="O727" t="str">
        <f t="shared" si="35"/>
        <v>FJERN</v>
      </c>
      <c r="P727" s="1"/>
    </row>
    <row r="728" spans="1:16" ht="15" customHeight="1" x14ac:dyDescent="0.2">
      <c r="A728" s="1" t="s">
        <v>2057</v>
      </c>
      <c r="B728" s="1" t="s">
        <v>2058</v>
      </c>
      <c r="C728" s="1" t="s">
        <v>9</v>
      </c>
      <c r="D728" s="1" t="s">
        <v>3</v>
      </c>
      <c r="E728" s="5">
        <v>38715</v>
      </c>
      <c r="F728" s="5">
        <v>40225</v>
      </c>
      <c r="G728" s="2">
        <v>0.72400620000000004</v>
      </c>
      <c r="H728" s="1" t="s">
        <v>10</v>
      </c>
      <c r="I728" s="2"/>
      <c r="J728" s="1" t="s">
        <v>167</v>
      </c>
      <c r="K728" s="1" t="s">
        <v>2059</v>
      </c>
      <c r="L728" s="2">
        <v>8549.4830000000002</v>
      </c>
      <c r="M728">
        <f t="shared" si="33"/>
        <v>6189.8786987946005</v>
      </c>
      <c r="N728">
        <f t="shared" si="34"/>
        <v>547.77687599952219</v>
      </c>
      <c r="O728" t="str">
        <f t="shared" si="35"/>
        <v>FJERN</v>
      </c>
      <c r="P728" s="1"/>
    </row>
    <row r="729" spans="1:16" ht="15" customHeight="1" x14ac:dyDescent="0.2">
      <c r="A729" s="1" t="s">
        <v>2060</v>
      </c>
      <c r="B729" s="1" t="s">
        <v>2061</v>
      </c>
      <c r="C729" s="1" t="s">
        <v>9</v>
      </c>
      <c r="D729" s="1" t="s">
        <v>3</v>
      </c>
      <c r="E729" s="5">
        <v>38709</v>
      </c>
      <c r="F729" s="5">
        <v>40316</v>
      </c>
      <c r="G729" s="2">
        <v>0.50611280000000003</v>
      </c>
      <c r="H729" s="1" t="s">
        <v>10</v>
      </c>
      <c r="I729" s="2"/>
      <c r="J729" s="1" t="s">
        <v>122</v>
      </c>
      <c r="K729" s="1" t="s">
        <v>2062</v>
      </c>
      <c r="L729" s="2">
        <v>10477.14</v>
      </c>
      <c r="M729">
        <f t="shared" si="33"/>
        <v>5302.614661392</v>
      </c>
      <c r="N729">
        <f t="shared" si="34"/>
        <v>469.25793463646016</v>
      </c>
      <c r="O729" t="str">
        <f t="shared" si="35"/>
        <v>FJERN</v>
      </c>
      <c r="P729" s="1"/>
    </row>
    <row r="730" spans="1:16" ht="15" customHeight="1" x14ac:dyDescent="0.2">
      <c r="A730" s="1" t="s">
        <v>2063</v>
      </c>
      <c r="B730" s="1" t="s">
        <v>2064</v>
      </c>
      <c r="C730" s="1" t="s">
        <v>2</v>
      </c>
      <c r="D730" s="1" t="s">
        <v>3</v>
      </c>
      <c r="E730" s="5">
        <v>38756</v>
      </c>
      <c r="F730" s="5">
        <v>40268</v>
      </c>
      <c r="G730" s="2">
        <v>9.9314269999999993</v>
      </c>
      <c r="H730" s="1" t="s">
        <v>4</v>
      </c>
      <c r="I730" s="2"/>
      <c r="J730" s="1" t="s">
        <v>76</v>
      </c>
      <c r="K730" s="1" t="s">
        <v>2065</v>
      </c>
      <c r="L730" s="2">
        <v>6857.6930000000002</v>
      </c>
      <c r="M730">
        <f t="shared" si="33"/>
        <v>68106.677417910993</v>
      </c>
      <c r="N730">
        <f t="shared" si="34"/>
        <v>9141.8358950216098</v>
      </c>
      <c r="O730" t="str">
        <f t="shared" si="35"/>
        <v>FJERN</v>
      </c>
      <c r="P730" s="1" t="s">
        <v>5809</v>
      </c>
    </row>
    <row r="731" spans="1:16" ht="15" customHeight="1" x14ac:dyDescent="0.2">
      <c r="A731" s="1" t="s">
        <v>2066</v>
      </c>
      <c r="B731" s="1" t="s">
        <v>2067</v>
      </c>
      <c r="C731" s="1" t="s">
        <v>9</v>
      </c>
      <c r="D731" s="1" t="s">
        <v>3</v>
      </c>
      <c r="E731" s="5">
        <v>36122</v>
      </c>
      <c r="F731" s="5">
        <v>42361</v>
      </c>
      <c r="G731" s="2">
        <v>10.99628</v>
      </c>
      <c r="H731" s="1" t="s">
        <v>10</v>
      </c>
      <c r="I731" s="2"/>
      <c r="J731" s="1" t="s">
        <v>167</v>
      </c>
      <c r="K731" s="1" t="s">
        <v>2068</v>
      </c>
      <c r="L731" s="2">
        <v>5326.1549999999997</v>
      </c>
      <c r="M731">
        <f t="shared" si="33"/>
        <v>58567.891703399997</v>
      </c>
      <c r="N731">
        <f t="shared" si="34"/>
        <v>5182.9992657876101</v>
      </c>
      <c r="O731" t="str">
        <f t="shared" si="35"/>
        <v>FJERN</v>
      </c>
      <c r="P731" s="1" t="s">
        <v>5810</v>
      </c>
    </row>
    <row r="732" spans="1:16" ht="15" customHeight="1" x14ac:dyDescent="0.2">
      <c r="A732" s="1" t="s">
        <v>2069</v>
      </c>
      <c r="B732" s="1" t="s">
        <v>2070</v>
      </c>
      <c r="C732" s="1" t="s">
        <v>9</v>
      </c>
      <c r="D732" s="1" t="s">
        <v>3</v>
      </c>
      <c r="E732" s="5">
        <v>35573</v>
      </c>
      <c r="F732" s="5">
        <v>46155</v>
      </c>
      <c r="G732" s="2">
        <v>106.6155</v>
      </c>
      <c r="H732" s="1" t="s">
        <v>10</v>
      </c>
      <c r="I732" s="2">
        <v>52359.658013599998</v>
      </c>
      <c r="J732" s="1" t="s">
        <v>61</v>
      </c>
      <c r="K732" s="1" t="s">
        <v>2071</v>
      </c>
      <c r="L732" s="2">
        <v>918164.5</v>
      </c>
      <c r="M732">
        <f t="shared" si="33"/>
        <v>97890567.249750003</v>
      </c>
      <c r="N732">
        <f t="shared" si="34"/>
        <v>8662882.0574999992</v>
      </c>
      <c r="O732" t="str">
        <f t="shared" si="35"/>
        <v>BEHOLD</v>
      </c>
      <c r="P732" s="1" t="s">
        <v>5811</v>
      </c>
    </row>
    <row r="733" spans="1:16" ht="15" customHeight="1" x14ac:dyDescent="0.2">
      <c r="A733" s="1" t="s">
        <v>2072</v>
      </c>
      <c r="B733" s="1" t="s">
        <v>2073</v>
      </c>
      <c r="C733" s="1" t="s">
        <v>2</v>
      </c>
      <c r="D733" s="1" t="s">
        <v>3</v>
      </c>
      <c r="E733" s="5">
        <v>38770</v>
      </c>
      <c r="F733" s="5">
        <v>46155</v>
      </c>
      <c r="G733" s="2">
        <v>82.565520000000006</v>
      </c>
      <c r="H733" s="1" t="s">
        <v>4</v>
      </c>
      <c r="I733" s="2">
        <v>2202.1309237999999</v>
      </c>
      <c r="J733" s="1" t="s">
        <v>289</v>
      </c>
      <c r="K733" s="1" t="s">
        <v>2074</v>
      </c>
      <c r="L733" s="2">
        <v>32063.34</v>
      </c>
      <c r="M733">
        <f t="shared" si="33"/>
        <v>2647326.3400368001</v>
      </c>
      <c r="N733">
        <f t="shared" si="34"/>
        <v>355345.81745460402</v>
      </c>
      <c r="O733" t="str">
        <f t="shared" si="35"/>
        <v>BEHOLD</v>
      </c>
      <c r="P733" s="1" t="s">
        <v>5812</v>
      </c>
    </row>
    <row r="734" spans="1:16" ht="15" customHeight="1" x14ac:dyDescent="0.2">
      <c r="A734" s="1" t="s">
        <v>2075</v>
      </c>
      <c r="B734" s="1" t="s">
        <v>2076</v>
      </c>
      <c r="C734" s="1" t="s">
        <v>9</v>
      </c>
      <c r="D734" s="1" t="s">
        <v>3</v>
      </c>
      <c r="E734" s="5">
        <v>32856</v>
      </c>
      <c r="F734" s="5">
        <v>40970</v>
      </c>
      <c r="G734" s="2">
        <v>91.912530000000004</v>
      </c>
      <c r="H734" s="1" t="s">
        <v>10</v>
      </c>
      <c r="I734" s="2"/>
      <c r="J734" s="1" t="s">
        <v>23</v>
      </c>
      <c r="K734" s="1" t="s">
        <v>2077</v>
      </c>
      <c r="L734" s="2">
        <v>66734.03</v>
      </c>
      <c r="M734">
        <f t="shared" si="33"/>
        <v>6133693.5343959006</v>
      </c>
      <c r="N734">
        <f t="shared" si="34"/>
        <v>542804.73755715927</v>
      </c>
      <c r="O734" t="str">
        <f t="shared" si="35"/>
        <v>BEHOLD</v>
      </c>
      <c r="P734" s="1" t="s">
        <v>5813</v>
      </c>
    </row>
    <row r="735" spans="1:16" ht="15" customHeight="1" x14ac:dyDescent="0.2">
      <c r="A735" s="1" t="s">
        <v>2078</v>
      </c>
      <c r="B735" s="1" t="s">
        <v>2079</v>
      </c>
      <c r="C735" s="1" t="s">
        <v>9</v>
      </c>
      <c r="D735" s="1" t="s">
        <v>3</v>
      </c>
      <c r="E735" s="5">
        <v>38777</v>
      </c>
      <c r="F735" s="5">
        <v>40592</v>
      </c>
      <c r="G735" s="2">
        <v>0.7246745</v>
      </c>
      <c r="H735" s="1" t="s">
        <v>10</v>
      </c>
      <c r="I735" s="2"/>
      <c r="J735" s="1" t="s">
        <v>11</v>
      </c>
      <c r="K735" s="1" t="s">
        <v>2080</v>
      </c>
      <c r="L735" s="2">
        <v>117307.1</v>
      </c>
      <c r="M735">
        <f t="shared" si="33"/>
        <v>85009.464038949998</v>
      </c>
      <c r="N735">
        <f t="shared" si="34"/>
        <v>7522.9614193761054</v>
      </c>
      <c r="O735" t="str">
        <f t="shared" si="35"/>
        <v>FJERN</v>
      </c>
      <c r="P735" s="1" t="s">
        <v>5814</v>
      </c>
    </row>
    <row r="736" spans="1:16" ht="15" customHeight="1" x14ac:dyDescent="0.2">
      <c r="A736" s="1" t="s">
        <v>2081</v>
      </c>
      <c r="B736" s="1" t="s">
        <v>2082</v>
      </c>
      <c r="C736" s="1" t="s">
        <v>9</v>
      </c>
      <c r="D736" s="1" t="s">
        <v>3</v>
      </c>
      <c r="E736" s="5">
        <v>38804</v>
      </c>
      <c r="F736" s="5">
        <v>39527</v>
      </c>
      <c r="G736" s="2">
        <v>320</v>
      </c>
      <c r="H736" s="1" t="s">
        <v>10</v>
      </c>
      <c r="I736" s="2"/>
      <c r="J736" s="1" t="s">
        <v>184</v>
      </c>
      <c r="K736" s="1" t="s">
        <v>2083</v>
      </c>
      <c r="L736" s="2">
        <v>0</v>
      </c>
      <c r="M736">
        <f t="shared" si="33"/>
        <v>0</v>
      </c>
      <c r="N736">
        <f t="shared" si="34"/>
        <v>0</v>
      </c>
      <c r="O736" t="str">
        <f t="shared" si="35"/>
        <v>FJERN</v>
      </c>
      <c r="P736" s="1" t="s">
        <v>5815</v>
      </c>
    </row>
    <row r="737" spans="1:16" ht="15" customHeight="1" x14ac:dyDescent="0.2">
      <c r="A737" s="1" t="s">
        <v>2084</v>
      </c>
      <c r="B737" s="1" t="s">
        <v>2085</v>
      </c>
      <c r="C737" s="1" t="s">
        <v>2</v>
      </c>
      <c r="D737" s="1" t="s">
        <v>3</v>
      </c>
      <c r="E737" s="5">
        <v>33044</v>
      </c>
      <c r="F737" s="5">
        <v>39764</v>
      </c>
      <c r="G737" s="2">
        <v>60</v>
      </c>
      <c r="H737" s="1" t="s">
        <v>4</v>
      </c>
      <c r="I737" s="2"/>
      <c r="J737" s="1" t="s">
        <v>15</v>
      </c>
      <c r="K737" s="1" t="s">
        <v>2086</v>
      </c>
      <c r="L737" s="2">
        <v>0</v>
      </c>
      <c r="M737">
        <f t="shared" si="33"/>
        <v>0</v>
      </c>
      <c r="N737">
        <f t="shared" si="34"/>
        <v>0</v>
      </c>
      <c r="O737" t="str">
        <f t="shared" si="35"/>
        <v>FJERN</v>
      </c>
      <c r="P737" s="1" t="s">
        <v>5816</v>
      </c>
    </row>
    <row r="738" spans="1:16" ht="15" customHeight="1" x14ac:dyDescent="0.2">
      <c r="A738" s="1" t="s">
        <v>2087</v>
      </c>
      <c r="B738" s="1" t="s">
        <v>2088</v>
      </c>
      <c r="C738" s="1" t="s">
        <v>9</v>
      </c>
      <c r="D738" s="1" t="s">
        <v>3</v>
      </c>
      <c r="E738" s="5">
        <v>36062</v>
      </c>
      <c r="F738" s="5">
        <v>40605</v>
      </c>
      <c r="G738" s="2">
        <v>8.9681580000000007</v>
      </c>
      <c r="H738" s="1" t="s">
        <v>10</v>
      </c>
      <c r="I738" s="2"/>
      <c r="J738" s="1" t="s">
        <v>236</v>
      </c>
      <c r="K738" s="1" t="s">
        <v>2089</v>
      </c>
      <c r="L738" s="2">
        <v>19148.53</v>
      </c>
      <c r="M738">
        <f t="shared" si="33"/>
        <v>171727.04250774</v>
      </c>
      <c r="N738">
        <f t="shared" si="34"/>
        <v>15197.083407764601</v>
      </c>
      <c r="O738" t="str">
        <f t="shared" si="35"/>
        <v>FJERN</v>
      </c>
      <c r="P738" s="1" t="s">
        <v>5817</v>
      </c>
    </row>
    <row r="739" spans="1:16" ht="15" customHeight="1" x14ac:dyDescent="0.2">
      <c r="A739" s="1" t="s">
        <v>2090</v>
      </c>
      <c r="B739" s="1" t="s">
        <v>2091</v>
      </c>
      <c r="C739" s="1" t="s">
        <v>9</v>
      </c>
      <c r="D739" s="1" t="s">
        <v>3</v>
      </c>
      <c r="E739" s="5">
        <v>38841</v>
      </c>
      <c r="F739" s="5">
        <v>46155</v>
      </c>
      <c r="G739" s="2">
        <v>47.396099999999997</v>
      </c>
      <c r="H739" s="1" t="s">
        <v>10</v>
      </c>
      <c r="I739" s="2">
        <v>250.39677954999999</v>
      </c>
      <c r="J739" s="1" t="s">
        <v>184</v>
      </c>
      <c r="K739" s="1" t="s">
        <v>2092</v>
      </c>
      <c r="L739" s="2">
        <v>5135.7950000000001</v>
      </c>
      <c r="M739">
        <f t="shared" si="33"/>
        <v>243416.65339949998</v>
      </c>
      <c r="N739">
        <f t="shared" si="34"/>
        <v>21541.296761017697</v>
      </c>
      <c r="O739" t="str">
        <f t="shared" si="35"/>
        <v>FJERN</v>
      </c>
      <c r="P739" s="1" t="s">
        <v>5818</v>
      </c>
    </row>
    <row r="740" spans="1:16" ht="15" customHeight="1" x14ac:dyDescent="0.2">
      <c r="A740" s="1" t="s">
        <v>2093</v>
      </c>
      <c r="B740" s="1" t="s">
        <v>2094</v>
      </c>
      <c r="C740" s="1" t="s">
        <v>9</v>
      </c>
      <c r="D740" s="1" t="s">
        <v>3</v>
      </c>
      <c r="E740" s="5">
        <v>38881</v>
      </c>
      <c r="F740" s="5">
        <v>46155</v>
      </c>
      <c r="G740" s="2">
        <v>65.32329</v>
      </c>
      <c r="H740" s="1" t="s">
        <v>10</v>
      </c>
      <c r="I740" s="2">
        <v>26592.976096980001</v>
      </c>
      <c r="J740" s="1" t="s">
        <v>23</v>
      </c>
      <c r="K740" s="1" t="s">
        <v>2095</v>
      </c>
      <c r="L740" s="2">
        <v>1617889</v>
      </c>
      <c r="M740">
        <f t="shared" si="33"/>
        <v>105685832.33481</v>
      </c>
      <c r="N740">
        <f t="shared" si="34"/>
        <v>9352728.5252044238</v>
      </c>
      <c r="O740" t="str">
        <f t="shared" si="35"/>
        <v>BEHOLD</v>
      </c>
      <c r="P740" s="1" t="s">
        <v>5819</v>
      </c>
    </row>
    <row r="741" spans="1:16" ht="15" customHeight="1" x14ac:dyDescent="0.2">
      <c r="A741" s="1" t="s">
        <v>2096</v>
      </c>
      <c r="B741" s="1" t="s">
        <v>2097</v>
      </c>
      <c r="C741" s="1" t="s">
        <v>9</v>
      </c>
      <c r="D741" s="1" t="s">
        <v>3</v>
      </c>
      <c r="E741" s="5">
        <v>38825</v>
      </c>
      <c r="F741" s="5">
        <v>44134</v>
      </c>
      <c r="G741" s="2">
        <v>5.1702839999999997</v>
      </c>
      <c r="H741" s="1" t="s">
        <v>10</v>
      </c>
      <c r="I741" s="2"/>
      <c r="J741" s="1" t="s">
        <v>289</v>
      </c>
      <c r="K741" s="1" t="s">
        <v>2098</v>
      </c>
      <c r="L741" s="2">
        <v>560990.19999999995</v>
      </c>
      <c r="M741">
        <f t="shared" si="33"/>
        <v>2900478.6552167996</v>
      </c>
      <c r="N741">
        <f t="shared" si="34"/>
        <v>256679.52701033623</v>
      </c>
      <c r="O741" t="str">
        <f t="shared" si="35"/>
        <v>BEHOLD</v>
      </c>
      <c r="P741" s="1" t="s">
        <v>5820</v>
      </c>
    </row>
    <row r="742" spans="1:16" ht="15" customHeight="1" x14ac:dyDescent="0.2">
      <c r="A742" s="1" t="s">
        <v>2099</v>
      </c>
      <c r="B742" s="1" t="s">
        <v>2100</v>
      </c>
      <c r="C742" s="1" t="s">
        <v>9</v>
      </c>
      <c r="D742" s="1" t="s">
        <v>3</v>
      </c>
      <c r="E742" s="5">
        <v>35892</v>
      </c>
      <c r="F742" s="5">
        <v>39125</v>
      </c>
      <c r="G742" s="2"/>
      <c r="H742" s="1" t="s">
        <v>10</v>
      </c>
      <c r="I742" s="2"/>
      <c r="J742" s="1" t="s">
        <v>236</v>
      </c>
      <c r="K742" s="1" t="s">
        <v>2101</v>
      </c>
      <c r="L742" s="2"/>
      <c r="M742" t="str">
        <f t="shared" si="33"/>
        <v/>
      </c>
      <c r="N742" t="str">
        <f t="shared" si="34"/>
        <v/>
      </c>
      <c r="O742" t="str">
        <f t="shared" si="35"/>
        <v>FJERN</v>
      </c>
      <c r="P742" s="1" t="s">
        <v>5821</v>
      </c>
    </row>
    <row r="743" spans="1:16" ht="15" customHeight="1" x14ac:dyDescent="0.2">
      <c r="A743" s="1" t="s">
        <v>2102</v>
      </c>
      <c r="B743" s="1" t="s">
        <v>2103</v>
      </c>
      <c r="C743" s="1" t="s">
        <v>9</v>
      </c>
      <c r="D743" s="1" t="s">
        <v>3</v>
      </c>
      <c r="E743" s="5">
        <v>36264</v>
      </c>
      <c r="F743" s="5">
        <v>44533</v>
      </c>
      <c r="G743" s="2">
        <v>58.769939999999998</v>
      </c>
      <c r="H743" s="1" t="s">
        <v>10</v>
      </c>
      <c r="I743" s="2"/>
      <c r="J743" s="1" t="s">
        <v>61</v>
      </c>
      <c r="K743" s="1" t="s">
        <v>2104</v>
      </c>
      <c r="L743" s="2">
        <v>451456.2</v>
      </c>
      <c r="M743">
        <f t="shared" si="33"/>
        <v>26532053.786628</v>
      </c>
      <c r="N743">
        <f t="shared" si="34"/>
        <v>2347969.3616484953</v>
      </c>
      <c r="O743" t="str">
        <f t="shared" si="35"/>
        <v>BEHOLD</v>
      </c>
      <c r="P743" s="1" t="s">
        <v>5822</v>
      </c>
    </row>
    <row r="744" spans="1:16" ht="15" customHeight="1" x14ac:dyDescent="0.2">
      <c r="A744" s="1" t="s">
        <v>2105</v>
      </c>
      <c r="B744" s="1" t="s">
        <v>2106</v>
      </c>
      <c r="C744" s="1" t="s">
        <v>9</v>
      </c>
      <c r="D744" s="1" t="s">
        <v>3</v>
      </c>
      <c r="E744" s="5">
        <v>35710</v>
      </c>
      <c r="F744" s="5">
        <v>46155</v>
      </c>
      <c r="G744" s="2">
        <v>29.320180000000001</v>
      </c>
      <c r="H744" s="1" t="s">
        <v>10</v>
      </c>
      <c r="I744" s="2">
        <v>3620.8202492</v>
      </c>
      <c r="J744" s="1" t="s">
        <v>176</v>
      </c>
      <c r="K744" s="1" t="s">
        <v>2107</v>
      </c>
      <c r="L744" s="2">
        <v>26808.51</v>
      </c>
      <c r="M744">
        <f t="shared" si="33"/>
        <v>786030.33873179997</v>
      </c>
      <c r="N744">
        <f t="shared" si="34"/>
        <v>69560.206967415928</v>
      </c>
      <c r="O744" t="str">
        <f t="shared" si="35"/>
        <v>FJERN</v>
      </c>
      <c r="P744" s="1" t="s">
        <v>5823</v>
      </c>
    </row>
    <row r="745" spans="1:16" ht="15" customHeight="1" x14ac:dyDescent="0.2">
      <c r="A745" s="1" t="s">
        <v>2108</v>
      </c>
      <c r="B745" s="1" t="s">
        <v>2109</v>
      </c>
      <c r="C745" s="1" t="s">
        <v>9</v>
      </c>
      <c r="D745" s="1" t="s">
        <v>3</v>
      </c>
      <c r="E745" s="5">
        <v>32512</v>
      </c>
      <c r="F745" s="5">
        <v>46155</v>
      </c>
      <c r="G745" s="2">
        <v>52.911619999999999</v>
      </c>
      <c r="H745" s="1" t="s">
        <v>10</v>
      </c>
      <c r="I745" s="2">
        <v>12460.29928528</v>
      </c>
      <c r="J745" s="1" t="s">
        <v>76</v>
      </c>
      <c r="K745" s="1" t="s">
        <v>2110</v>
      </c>
      <c r="L745" s="2">
        <v>677437.4</v>
      </c>
      <c r="M745">
        <f t="shared" si="33"/>
        <v>35844310.282587998</v>
      </c>
      <c r="N745">
        <f t="shared" si="34"/>
        <v>3172062.8568661944</v>
      </c>
      <c r="O745" t="str">
        <f t="shared" si="35"/>
        <v>BEHOLD</v>
      </c>
      <c r="P745" s="1" t="s">
        <v>5824</v>
      </c>
    </row>
    <row r="746" spans="1:16" ht="15" customHeight="1" x14ac:dyDescent="0.2">
      <c r="A746" s="1" t="s">
        <v>2111</v>
      </c>
      <c r="B746" s="1" t="s">
        <v>2112</v>
      </c>
      <c r="C746" s="1" t="s">
        <v>9</v>
      </c>
      <c r="D746" s="1" t="s">
        <v>3</v>
      </c>
      <c r="E746" s="5">
        <v>38833</v>
      </c>
      <c r="F746" s="5">
        <v>46155</v>
      </c>
      <c r="G746" s="2">
        <v>239.00190000000001</v>
      </c>
      <c r="H746" s="1" t="s">
        <v>10</v>
      </c>
      <c r="I746" s="2">
        <v>27210.334279598999</v>
      </c>
      <c r="J746" s="1" t="s">
        <v>61</v>
      </c>
      <c r="K746" s="1" t="s">
        <v>2113</v>
      </c>
      <c r="L746" s="2">
        <v>35491.800000000003</v>
      </c>
      <c r="M746">
        <f t="shared" si="33"/>
        <v>8482607.63442</v>
      </c>
      <c r="N746">
        <f t="shared" si="34"/>
        <v>750673.24198407074</v>
      </c>
      <c r="O746" t="str">
        <f t="shared" si="35"/>
        <v>BEHOLD</v>
      </c>
      <c r="P746" s="1" t="s">
        <v>5825</v>
      </c>
    </row>
    <row r="747" spans="1:16" ht="15" customHeight="1" x14ac:dyDescent="0.2">
      <c r="A747" s="1" t="s">
        <v>2114</v>
      </c>
      <c r="B747" s="1" t="s">
        <v>2115</v>
      </c>
      <c r="C747" s="1" t="s">
        <v>9</v>
      </c>
      <c r="D747" s="1" t="s">
        <v>3</v>
      </c>
      <c r="E747" s="5">
        <v>38859</v>
      </c>
      <c r="F747" s="5">
        <v>46155</v>
      </c>
      <c r="G747" s="2">
        <v>53.81373</v>
      </c>
      <c r="H747" s="1" t="s">
        <v>10</v>
      </c>
      <c r="I747" s="2">
        <v>9308.1960822500005</v>
      </c>
      <c r="J747" s="1" t="s">
        <v>61</v>
      </c>
      <c r="K747" s="1" t="s">
        <v>2116</v>
      </c>
      <c r="L747" s="2">
        <v>185601.8</v>
      </c>
      <c r="M747">
        <f t="shared" si="33"/>
        <v>9987925.1527139992</v>
      </c>
      <c r="N747">
        <f t="shared" si="34"/>
        <v>883887.18165610603</v>
      </c>
      <c r="O747" t="str">
        <f t="shared" si="35"/>
        <v>BEHOLD</v>
      </c>
      <c r="P747" s="1" t="s">
        <v>5826</v>
      </c>
    </row>
    <row r="748" spans="1:16" ht="15" customHeight="1" x14ac:dyDescent="0.2">
      <c r="A748" s="1" t="s">
        <v>2117</v>
      </c>
      <c r="B748" s="1" t="s">
        <v>2118</v>
      </c>
      <c r="C748" s="1" t="s">
        <v>9</v>
      </c>
      <c r="D748" s="1" t="s">
        <v>3</v>
      </c>
      <c r="E748" s="5">
        <v>36934</v>
      </c>
      <c r="F748" s="5">
        <v>39485</v>
      </c>
      <c r="G748" s="2"/>
      <c r="H748" s="1" t="s">
        <v>10</v>
      </c>
      <c r="I748" s="2"/>
      <c r="J748" s="1" t="s">
        <v>11</v>
      </c>
      <c r="K748" s="1" t="s">
        <v>2119</v>
      </c>
      <c r="L748" s="2"/>
      <c r="M748" t="str">
        <f t="shared" si="33"/>
        <v/>
      </c>
      <c r="N748" t="str">
        <f t="shared" si="34"/>
        <v/>
      </c>
      <c r="O748" t="str">
        <f t="shared" si="35"/>
        <v>FJERN</v>
      </c>
      <c r="P748" s="1"/>
    </row>
    <row r="749" spans="1:16" ht="15" customHeight="1" x14ac:dyDescent="0.2">
      <c r="A749" s="1" t="s">
        <v>2120</v>
      </c>
      <c r="B749" s="1" t="s">
        <v>2121</v>
      </c>
      <c r="C749" s="1" t="s">
        <v>9</v>
      </c>
      <c r="D749" s="1" t="s">
        <v>3</v>
      </c>
      <c r="E749" s="5">
        <v>36500</v>
      </c>
      <c r="F749" s="5">
        <v>40627</v>
      </c>
      <c r="G749" s="2">
        <v>56.271120000000003</v>
      </c>
      <c r="H749" s="1" t="s">
        <v>10</v>
      </c>
      <c r="I749" s="2"/>
      <c r="J749" s="1" t="s">
        <v>34</v>
      </c>
      <c r="K749" s="1" t="s">
        <v>2122</v>
      </c>
      <c r="L749" s="2">
        <v>183080.8</v>
      </c>
      <c r="M749">
        <f t="shared" si="33"/>
        <v>10302161.666495999</v>
      </c>
      <c r="N749">
        <f t="shared" si="34"/>
        <v>911695.72269876092</v>
      </c>
      <c r="O749" t="str">
        <f t="shared" si="35"/>
        <v>BEHOLD</v>
      </c>
      <c r="P749" s="1" t="s">
        <v>5827</v>
      </c>
    </row>
    <row r="750" spans="1:16" ht="15" customHeight="1" x14ac:dyDescent="0.2">
      <c r="A750" s="1" t="s">
        <v>2123</v>
      </c>
      <c r="B750" s="1" t="s">
        <v>2124</v>
      </c>
      <c r="C750" s="1" t="s">
        <v>9</v>
      </c>
      <c r="D750" s="1" t="s">
        <v>3</v>
      </c>
      <c r="E750" s="5">
        <v>37048</v>
      </c>
      <c r="F750" s="5">
        <v>46155</v>
      </c>
      <c r="G750" s="2">
        <v>146.10659999999999</v>
      </c>
      <c r="H750" s="1" t="s">
        <v>10</v>
      </c>
      <c r="I750" s="2">
        <v>2847.4530291999999</v>
      </c>
      <c r="J750" s="1" t="s">
        <v>289</v>
      </c>
      <c r="K750" s="1" t="s">
        <v>2125</v>
      </c>
      <c r="L750" s="2">
        <v>10586.74</v>
      </c>
      <c r="M750">
        <f t="shared" si="33"/>
        <v>1546792.5864839999</v>
      </c>
      <c r="N750">
        <f t="shared" si="34"/>
        <v>136884.29968884954</v>
      </c>
      <c r="O750" t="str">
        <f t="shared" si="35"/>
        <v>BEHOLD</v>
      </c>
      <c r="P750" s="1" t="s">
        <v>5828</v>
      </c>
    </row>
    <row r="751" spans="1:16" ht="15" customHeight="1" x14ac:dyDescent="0.2">
      <c r="A751" s="1" t="s">
        <v>2126</v>
      </c>
      <c r="B751" s="1" t="s">
        <v>2127</v>
      </c>
      <c r="C751" s="1" t="s">
        <v>9</v>
      </c>
      <c r="D751" s="1" t="s">
        <v>3</v>
      </c>
      <c r="E751" s="5">
        <v>38835</v>
      </c>
      <c r="F751" s="5">
        <v>41768</v>
      </c>
      <c r="G751" s="2">
        <v>3.5386090000000001</v>
      </c>
      <c r="H751" s="1" t="s">
        <v>10</v>
      </c>
      <c r="I751" s="2"/>
      <c r="J751" s="1" t="s">
        <v>61</v>
      </c>
      <c r="K751" s="1" t="s">
        <v>2128</v>
      </c>
      <c r="L751" s="2">
        <v>772924.6</v>
      </c>
      <c r="M751">
        <f t="shared" si="33"/>
        <v>2735077.9458813998</v>
      </c>
      <c r="N751">
        <f t="shared" si="34"/>
        <v>242042.29609569907</v>
      </c>
      <c r="O751" t="str">
        <f t="shared" si="35"/>
        <v>BEHOLD</v>
      </c>
      <c r="P751" s="1" t="s">
        <v>5829</v>
      </c>
    </row>
    <row r="752" spans="1:16" ht="15" customHeight="1" x14ac:dyDescent="0.2">
      <c r="A752" s="1" t="s">
        <v>2129</v>
      </c>
      <c r="B752" s="1" t="s">
        <v>2130</v>
      </c>
      <c r="C752" s="1" t="s">
        <v>2</v>
      </c>
      <c r="D752" s="1" t="s">
        <v>3</v>
      </c>
      <c r="E752" s="5">
        <v>32433</v>
      </c>
      <c r="F752" s="5">
        <v>40578</v>
      </c>
      <c r="G752" s="2">
        <v>8.0671769999999992</v>
      </c>
      <c r="H752" s="1" t="s">
        <v>4</v>
      </c>
      <c r="I752" s="2"/>
      <c r="J752" s="1" t="s">
        <v>15</v>
      </c>
      <c r="K752" s="1" t="s">
        <v>2131</v>
      </c>
      <c r="L752" s="2">
        <v>711015.8</v>
      </c>
      <c r="M752">
        <f t="shared" si="33"/>
        <v>5735890.3083966002</v>
      </c>
      <c r="N752">
        <f t="shared" si="34"/>
        <v>769918.16220088594</v>
      </c>
      <c r="O752" t="str">
        <f t="shared" si="35"/>
        <v>BEHOLD</v>
      </c>
      <c r="P752" s="1" t="s">
        <v>5830</v>
      </c>
    </row>
    <row r="753" spans="1:16" ht="15" customHeight="1" x14ac:dyDescent="0.2">
      <c r="A753" s="1" t="s">
        <v>2132</v>
      </c>
      <c r="B753" s="1" t="s">
        <v>2133</v>
      </c>
      <c r="C753" s="1" t="s">
        <v>2</v>
      </c>
      <c r="D753" s="1" t="s">
        <v>3</v>
      </c>
      <c r="E753" s="5">
        <v>32105</v>
      </c>
      <c r="F753" s="5">
        <v>43259</v>
      </c>
      <c r="G753" s="2">
        <v>105.3621</v>
      </c>
      <c r="H753" s="1" t="s">
        <v>4</v>
      </c>
      <c r="I753" s="2"/>
      <c r="J753" s="1" t="s">
        <v>15</v>
      </c>
      <c r="K753" s="1" t="s">
        <v>2134</v>
      </c>
      <c r="L753" s="2">
        <v>5560.0839999999998</v>
      </c>
      <c r="M753">
        <f t="shared" si="33"/>
        <v>585822.12641639996</v>
      </c>
      <c r="N753">
        <f t="shared" si="34"/>
        <v>78633.842471999989</v>
      </c>
      <c r="O753" t="str">
        <f t="shared" si="35"/>
        <v>FJERN</v>
      </c>
      <c r="P753" s="1" t="s">
        <v>5831</v>
      </c>
    </row>
    <row r="754" spans="1:16" ht="15" customHeight="1" x14ac:dyDescent="0.2">
      <c r="A754" s="1" t="s">
        <v>2135</v>
      </c>
      <c r="B754" s="1" t="s">
        <v>2136</v>
      </c>
      <c r="C754" s="1" t="s">
        <v>9</v>
      </c>
      <c r="D754" s="1" t="s">
        <v>3</v>
      </c>
      <c r="E754" s="5">
        <v>35816</v>
      </c>
      <c r="F754" s="5">
        <v>39142</v>
      </c>
      <c r="G754" s="2"/>
      <c r="H754" s="1" t="s">
        <v>10</v>
      </c>
      <c r="I754" s="2"/>
      <c r="J754" s="1" t="s">
        <v>11</v>
      </c>
      <c r="K754" s="1" t="s">
        <v>2137</v>
      </c>
      <c r="L754" s="2"/>
      <c r="M754" t="str">
        <f t="shared" si="33"/>
        <v/>
      </c>
      <c r="N754" t="str">
        <f t="shared" si="34"/>
        <v/>
      </c>
      <c r="O754" t="str">
        <f t="shared" si="35"/>
        <v>FJERN</v>
      </c>
      <c r="P754" s="1" t="s">
        <v>5832</v>
      </c>
    </row>
    <row r="755" spans="1:16" ht="15" customHeight="1" x14ac:dyDescent="0.2">
      <c r="A755" s="1" t="s">
        <v>2138</v>
      </c>
      <c r="B755" s="1" t="s">
        <v>2139</v>
      </c>
      <c r="C755" s="1" t="s">
        <v>9</v>
      </c>
      <c r="D755" s="1" t="s">
        <v>3</v>
      </c>
      <c r="E755" s="5">
        <v>33162</v>
      </c>
      <c r="F755" s="5">
        <v>46155</v>
      </c>
      <c r="G755" s="2">
        <v>190.84289999999999</v>
      </c>
      <c r="H755" s="1" t="s">
        <v>10</v>
      </c>
      <c r="I755" s="2">
        <v>8985.5242120000003</v>
      </c>
      <c r="J755" s="1" t="s">
        <v>61</v>
      </c>
      <c r="K755" s="1" t="s">
        <v>2140</v>
      </c>
      <c r="L755" s="2">
        <v>383128.1</v>
      </c>
      <c r="M755">
        <f t="shared" si="33"/>
        <v>73117277.675489992</v>
      </c>
      <c r="N755">
        <f t="shared" si="34"/>
        <v>6470555.5465035383</v>
      </c>
      <c r="O755" t="str">
        <f t="shared" si="35"/>
        <v>BEHOLD</v>
      </c>
      <c r="P755" s="1" t="s">
        <v>5833</v>
      </c>
    </row>
    <row r="756" spans="1:16" ht="15" customHeight="1" x14ac:dyDescent="0.2">
      <c r="A756" s="1" t="s">
        <v>2141</v>
      </c>
      <c r="B756" s="1" t="s">
        <v>2142</v>
      </c>
      <c r="C756" s="1" t="s">
        <v>2</v>
      </c>
      <c r="D756" s="1" t="s">
        <v>3</v>
      </c>
      <c r="E756" s="5">
        <v>32792</v>
      </c>
      <c r="F756" s="5">
        <v>46155</v>
      </c>
      <c r="G756" s="2">
        <v>4.2329359999999996</v>
      </c>
      <c r="H756" s="1" t="s">
        <v>4</v>
      </c>
      <c r="I756" s="2">
        <v>155.45374036000001</v>
      </c>
      <c r="J756" s="1" t="s">
        <v>61</v>
      </c>
      <c r="K756" s="1" t="s">
        <v>2143</v>
      </c>
      <c r="L756" s="2">
        <v>83809.31</v>
      </c>
      <c r="M756">
        <f t="shared" si="33"/>
        <v>354759.44543415995</v>
      </c>
      <c r="N756">
        <f t="shared" si="34"/>
        <v>47618.717507940928</v>
      </c>
      <c r="O756" t="str">
        <f t="shared" si="35"/>
        <v>FJERN</v>
      </c>
      <c r="P756" s="1" t="s">
        <v>5834</v>
      </c>
    </row>
    <row r="757" spans="1:16" ht="15" customHeight="1" x14ac:dyDescent="0.2">
      <c r="A757" s="1" t="s">
        <v>2144</v>
      </c>
      <c r="B757" s="1" t="s">
        <v>2145</v>
      </c>
      <c r="C757" s="1" t="s">
        <v>9</v>
      </c>
      <c r="D757" s="1" t="s">
        <v>3</v>
      </c>
      <c r="E757" s="5">
        <v>36857</v>
      </c>
      <c r="F757" s="5">
        <v>39080</v>
      </c>
      <c r="G757" s="2"/>
      <c r="H757" s="1" t="s">
        <v>10</v>
      </c>
      <c r="I757" s="2"/>
      <c r="J757" s="1" t="s">
        <v>61</v>
      </c>
      <c r="K757" s="1" t="s">
        <v>2146</v>
      </c>
      <c r="L757" s="2"/>
      <c r="M757" t="str">
        <f t="shared" si="33"/>
        <v/>
      </c>
      <c r="N757" t="str">
        <f t="shared" si="34"/>
        <v/>
      </c>
      <c r="O757" t="str">
        <f t="shared" si="35"/>
        <v>FJERN</v>
      </c>
      <c r="P757" s="1"/>
    </row>
    <row r="758" spans="1:16" ht="15" customHeight="1" x14ac:dyDescent="0.2">
      <c r="A758" s="1" t="s">
        <v>2147</v>
      </c>
      <c r="B758" s="1" t="s">
        <v>2148</v>
      </c>
      <c r="C758" s="1" t="s">
        <v>2</v>
      </c>
      <c r="D758" s="1" t="s">
        <v>3</v>
      </c>
      <c r="E758" s="5">
        <v>33050</v>
      </c>
      <c r="F758" s="5">
        <v>45861</v>
      </c>
      <c r="G758" s="2">
        <v>69.529399999999995</v>
      </c>
      <c r="H758" s="1" t="s">
        <v>4</v>
      </c>
      <c r="I758" s="2"/>
      <c r="J758" s="1" t="s">
        <v>15</v>
      </c>
      <c r="K758" s="1" t="s">
        <v>2149</v>
      </c>
      <c r="L758" s="2">
        <v>103504.2</v>
      </c>
      <c r="M758">
        <f t="shared" si="33"/>
        <v>7196584.9234799994</v>
      </c>
      <c r="N758">
        <f t="shared" si="34"/>
        <v>965984.55348724825</v>
      </c>
      <c r="O758" t="str">
        <f t="shared" si="35"/>
        <v>BEHOLD</v>
      </c>
      <c r="P758" s="1" t="s">
        <v>5835</v>
      </c>
    </row>
    <row r="759" spans="1:16" ht="15" customHeight="1" x14ac:dyDescent="0.2">
      <c r="A759" s="1" t="s">
        <v>2150</v>
      </c>
      <c r="B759" s="1" t="s">
        <v>2151</v>
      </c>
      <c r="C759" s="1" t="s">
        <v>9</v>
      </c>
      <c r="D759" s="1" t="s">
        <v>3</v>
      </c>
      <c r="E759" s="5">
        <v>34263</v>
      </c>
      <c r="F759" s="5">
        <v>46008</v>
      </c>
      <c r="G759" s="2">
        <v>20.059529999999999</v>
      </c>
      <c r="H759" s="1" t="s">
        <v>10</v>
      </c>
      <c r="I759" s="2">
        <v>820.45135949999997</v>
      </c>
      <c r="J759" s="1" t="s">
        <v>38</v>
      </c>
      <c r="K759" s="1" t="s">
        <v>2152</v>
      </c>
      <c r="L759" s="2">
        <v>64906.25</v>
      </c>
      <c r="M759">
        <f t="shared" si="33"/>
        <v>1301988.8690624998</v>
      </c>
      <c r="N759">
        <f t="shared" si="34"/>
        <v>115220.25389933627</v>
      </c>
      <c r="O759" t="str">
        <f t="shared" si="35"/>
        <v>BEHOLD</v>
      </c>
      <c r="P759" s="1" t="s">
        <v>5836</v>
      </c>
    </row>
    <row r="760" spans="1:16" ht="15" customHeight="1" x14ac:dyDescent="0.2">
      <c r="A760" s="1" t="s">
        <v>2153</v>
      </c>
      <c r="B760" s="1" t="s">
        <v>2154</v>
      </c>
      <c r="C760" s="1" t="s">
        <v>9</v>
      </c>
      <c r="D760" s="1" t="s">
        <v>3</v>
      </c>
      <c r="E760" s="5">
        <v>36635</v>
      </c>
      <c r="F760" s="5">
        <v>38961</v>
      </c>
      <c r="G760" s="2"/>
      <c r="H760" s="1" t="s">
        <v>10</v>
      </c>
      <c r="I760" s="2"/>
      <c r="J760" s="1" t="s">
        <v>184</v>
      </c>
      <c r="K760" s="1" t="s">
        <v>2155</v>
      </c>
      <c r="L760" s="2"/>
      <c r="M760" t="str">
        <f t="shared" si="33"/>
        <v/>
      </c>
      <c r="N760" t="str">
        <f t="shared" si="34"/>
        <v/>
      </c>
      <c r="O760" t="str">
        <f t="shared" si="35"/>
        <v>FJERN</v>
      </c>
      <c r="P760" s="1" t="s">
        <v>5837</v>
      </c>
    </row>
    <row r="761" spans="1:16" ht="15" customHeight="1" x14ac:dyDescent="0.2">
      <c r="A761" s="1" t="s">
        <v>2156</v>
      </c>
      <c r="B761" s="1" t="s">
        <v>2157</v>
      </c>
      <c r="C761" s="1" t="s">
        <v>9</v>
      </c>
      <c r="D761" s="1" t="s">
        <v>3</v>
      </c>
      <c r="E761" s="5">
        <v>38875</v>
      </c>
      <c r="F761" s="5">
        <v>43432</v>
      </c>
      <c r="G761" s="2">
        <v>10.063409999999999</v>
      </c>
      <c r="H761" s="1" t="s">
        <v>10</v>
      </c>
      <c r="I761" s="2"/>
      <c r="J761" s="1" t="s">
        <v>83</v>
      </c>
      <c r="K761" s="1" t="s">
        <v>2158</v>
      </c>
      <c r="L761" s="2">
        <v>3243.076</v>
      </c>
      <c r="M761">
        <f t="shared" si="33"/>
        <v>32636.40344916</v>
      </c>
      <c r="N761">
        <f t="shared" si="34"/>
        <v>2888.1772963858407</v>
      </c>
      <c r="O761" t="str">
        <f t="shared" si="35"/>
        <v>FJERN</v>
      </c>
      <c r="P761" s="1" t="s">
        <v>5838</v>
      </c>
    </row>
    <row r="762" spans="1:16" ht="15" customHeight="1" x14ac:dyDescent="0.2">
      <c r="A762" s="1" t="s">
        <v>2159</v>
      </c>
      <c r="B762" s="1" t="s">
        <v>2160</v>
      </c>
      <c r="C762" s="1" t="s">
        <v>9</v>
      </c>
      <c r="D762" s="1" t="s">
        <v>3</v>
      </c>
      <c r="E762" s="5">
        <v>39245</v>
      </c>
      <c r="F762" s="5">
        <v>45497</v>
      </c>
      <c r="G762" s="2">
        <v>6.1400779999999999</v>
      </c>
      <c r="H762" s="1" t="s">
        <v>10</v>
      </c>
      <c r="I762" s="2">
        <v>95.745026519999996</v>
      </c>
      <c r="J762" s="1" t="s">
        <v>201</v>
      </c>
      <c r="K762" s="1" t="s">
        <v>2161</v>
      </c>
      <c r="L762" s="2">
        <v>75015.66</v>
      </c>
      <c r="M762">
        <f t="shared" si="33"/>
        <v>460602.00362148002</v>
      </c>
      <c r="N762">
        <f t="shared" si="34"/>
        <v>40761.239258538051</v>
      </c>
      <c r="O762" t="str">
        <f t="shared" si="35"/>
        <v>FJERN</v>
      </c>
      <c r="P762" s="1"/>
    </row>
    <row r="763" spans="1:16" ht="15" customHeight="1" x14ac:dyDescent="0.2">
      <c r="A763" s="1" t="s">
        <v>2162</v>
      </c>
      <c r="B763" s="1" t="s">
        <v>2163</v>
      </c>
      <c r="C763" s="1" t="s">
        <v>2</v>
      </c>
      <c r="D763" s="1" t="s">
        <v>3</v>
      </c>
      <c r="E763" s="5">
        <v>33214</v>
      </c>
      <c r="F763" s="5">
        <v>40450</v>
      </c>
      <c r="G763" s="2">
        <v>0.1235974</v>
      </c>
      <c r="H763" s="1" t="s">
        <v>4</v>
      </c>
      <c r="I763" s="2"/>
      <c r="J763" s="1" t="s">
        <v>61</v>
      </c>
      <c r="K763" s="1" t="s">
        <v>2164</v>
      </c>
      <c r="L763" s="2">
        <v>172836.9</v>
      </c>
      <c r="M763">
        <f t="shared" si="33"/>
        <v>21362.191464059997</v>
      </c>
      <c r="N763">
        <f t="shared" si="34"/>
        <v>2867.4082502093956</v>
      </c>
      <c r="O763" t="str">
        <f t="shared" si="35"/>
        <v>FJERN</v>
      </c>
      <c r="P763" s="1" t="s">
        <v>5839</v>
      </c>
    </row>
    <row r="764" spans="1:16" ht="15" customHeight="1" x14ac:dyDescent="0.2">
      <c r="A764" s="1" t="s">
        <v>2165</v>
      </c>
      <c r="B764" s="1" t="s">
        <v>2166</v>
      </c>
      <c r="C764" s="1" t="s">
        <v>9</v>
      </c>
      <c r="D764" s="1" t="s">
        <v>3</v>
      </c>
      <c r="E764" s="5">
        <v>34092</v>
      </c>
      <c r="F764" s="5">
        <v>46155</v>
      </c>
      <c r="G764" s="2">
        <v>139.7928</v>
      </c>
      <c r="H764" s="1" t="s">
        <v>10</v>
      </c>
      <c r="I764" s="2">
        <v>9941.6097348404801</v>
      </c>
      <c r="J764" s="1" t="s">
        <v>23</v>
      </c>
      <c r="K764" s="1" t="s">
        <v>2167</v>
      </c>
      <c r="L764" s="2">
        <v>14177.14</v>
      </c>
      <c r="M764">
        <f t="shared" si="33"/>
        <v>1981862.096592</v>
      </c>
      <c r="N764">
        <f t="shared" si="34"/>
        <v>175386.02624707963</v>
      </c>
      <c r="O764" t="str">
        <f t="shared" si="35"/>
        <v>BEHOLD</v>
      </c>
      <c r="P764" s="1" t="s">
        <v>5840</v>
      </c>
    </row>
    <row r="765" spans="1:16" ht="15" customHeight="1" x14ac:dyDescent="0.2">
      <c r="A765" s="1" t="s">
        <v>2168</v>
      </c>
      <c r="B765" s="1" t="s">
        <v>2169</v>
      </c>
      <c r="C765" s="1" t="s">
        <v>9</v>
      </c>
      <c r="D765" s="1" t="s">
        <v>3</v>
      </c>
      <c r="E765" s="5">
        <v>38912</v>
      </c>
      <c r="F765" s="5">
        <v>44309</v>
      </c>
      <c r="G765" s="2">
        <v>9.8124660000000006</v>
      </c>
      <c r="H765" s="1" t="s">
        <v>10</v>
      </c>
      <c r="I765" s="2"/>
      <c r="J765" s="1" t="s">
        <v>167</v>
      </c>
      <c r="K765" s="1" t="s">
        <v>2170</v>
      </c>
      <c r="L765" s="2">
        <v>89008.07</v>
      </c>
      <c r="M765">
        <f t="shared" si="33"/>
        <v>873388.66060062009</v>
      </c>
      <c r="N765">
        <f t="shared" si="34"/>
        <v>77291.031911559301</v>
      </c>
      <c r="O765" t="str">
        <f t="shared" si="35"/>
        <v>FJERN</v>
      </c>
      <c r="P765" s="1" t="s">
        <v>5841</v>
      </c>
    </row>
    <row r="766" spans="1:16" ht="15" customHeight="1" x14ac:dyDescent="0.2">
      <c r="A766" s="1" t="s">
        <v>2171</v>
      </c>
      <c r="B766" s="1" t="s">
        <v>2172</v>
      </c>
      <c r="C766" s="1" t="s">
        <v>2</v>
      </c>
      <c r="D766" s="1" t="s">
        <v>3</v>
      </c>
      <c r="E766" s="5">
        <v>38869</v>
      </c>
      <c r="F766" s="5">
        <v>39927</v>
      </c>
      <c r="G766" s="2">
        <v>4.5307370000000002</v>
      </c>
      <c r="H766" s="1" t="s">
        <v>4</v>
      </c>
      <c r="I766" s="2"/>
      <c r="J766" s="1" t="s">
        <v>366</v>
      </c>
      <c r="K766" s="1" t="s">
        <v>2173</v>
      </c>
      <c r="L766" s="2">
        <v>18296.740000000002</v>
      </c>
      <c r="M766">
        <f t="shared" si="33"/>
        <v>82897.716897380014</v>
      </c>
      <c r="N766">
        <f t="shared" si="34"/>
        <v>11127.210321795976</v>
      </c>
      <c r="O766" t="str">
        <f t="shared" si="35"/>
        <v>FJERN</v>
      </c>
      <c r="P766" s="1" t="s">
        <v>5842</v>
      </c>
    </row>
    <row r="767" spans="1:16" ht="15" customHeight="1" x14ac:dyDescent="0.2">
      <c r="A767" s="1" t="s">
        <v>2174</v>
      </c>
      <c r="B767" s="1" t="s">
        <v>2175</v>
      </c>
      <c r="C767" s="1" t="s">
        <v>2</v>
      </c>
      <c r="D767" s="1" t="s">
        <v>3</v>
      </c>
      <c r="E767" s="5">
        <v>38890</v>
      </c>
      <c r="F767" s="5">
        <v>41715</v>
      </c>
      <c r="G767" s="2">
        <v>0.41668500000000003</v>
      </c>
      <c r="H767" s="1" t="s">
        <v>4</v>
      </c>
      <c r="I767" s="2"/>
      <c r="J767" s="1" t="s">
        <v>55</v>
      </c>
      <c r="K767" s="1" t="s">
        <v>2176</v>
      </c>
      <c r="L767" s="2">
        <v>2177.663</v>
      </c>
      <c r="M767">
        <f t="shared" si="33"/>
        <v>907.39950715500004</v>
      </c>
      <c r="N767">
        <f t="shared" si="34"/>
        <v>121.79859156442953</v>
      </c>
      <c r="O767" t="str">
        <f t="shared" si="35"/>
        <v>FJERN</v>
      </c>
      <c r="P767" s="1" t="s">
        <v>5843</v>
      </c>
    </row>
    <row r="768" spans="1:16" ht="15" customHeight="1" x14ac:dyDescent="0.2">
      <c r="A768" s="1" t="s">
        <v>2177</v>
      </c>
      <c r="B768" s="1" t="s">
        <v>2178</v>
      </c>
      <c r="C768" s="1" t="s">
        <v>2</v>
      </c>
      <c r="D768" s="1" t="s">
        <v>3</v>
      </c>
      <c r="E768" s="5">
        <v>38890</v>
      </c>
      <c r="F768" s="5">
        <v>41704</v>
      </c>
      <c r="G768" s="2">
        <v>3.7198579999999999</v>
      </c>
      <c r="H768" s="1" t="s">
        <v>4</v>
      </c>
      <c r="I768" s="2"/>
      <c r="J768" s="1" t="s">
        <v>55</v>
      </c>
      <c r="K768" s="1" t="s">
        <v>2179</v>
      </c>
      <c r="L768" s="2">
        <v>2719.7959999999998</v>
      </c>
      <c r="M768">
        <f t="shared" si="33"/>
        <v>10117.254908968</v>
      </c>
      <c r="N768">
        <f t="shared" si="34"/>
        <v>1358.020793150067</v>
      </c>
      <c r="O768" t="str">
        <f t="shared" si="35"/>
        <v>FJERN</v>
      </c>
      <c r="P768" s="1" t="s">
        <v>5844</v>
      </c>
    </row>
    <row r="769" spans="1:16" ht="15" customHeight="1" x14ac:dyDescent="0.2">
      <c r="A769" s="1" t="s">
        <v>2180</v>
      </c>
      <c r="B769" s="1" t="s">
        <v>2181</v>
      </c>
      <c r="C769" s="1" t="s">
        <v>9</v>
      </c>
      <c r="D769" s="1" t="s">
        <v>3</v>
      </c>
      <c r="E769" s="5">
        <v>38881</v>
      </c>
      <c r="F769" s="5">
        <v>43941</v>
      </c>
      <c r="G769" s="2">
        <v>24.136769999999999</v>
      </c>
      <c r="H769" s="1" t="s">
        <v>10</v>
      </c>
      <c r="I769" s="2"/>
      <c r="J769" s="1" t="s">
        <v>122</v>
      </c>
      <c r="K769" s="1" t="s">
        <v>2182</v>
      </c>
      <c r="L769" s="2">
        <v>67937.279999999999</v>
      </c>
      <c r="M769">
        <f t="shared" si="33"/>
        <v>1639786.5017855999</v>
      </c>
      <c r="N769">
        <f t="shared" si="34"/>
        <v>145113.84971553981</v>
      </c>
      <c r="O769" t="str">
        <f t="shared" si="35"/>
        <v>BEHOLD</v>
      </c>
      <c r="P769" s="1" t="s">
        <v>5845</v>
      </c>
    </row>
    <row r="770" spans="1:16" ht="15" customHeight="1" x14ac:dyDescent="0.2">
      <c r="A770" s="1" t="s">
        <v>2183</v>
      </c>
      <c r="B770" s="1" t="s">
        <v>2184</v>
      </c>
      <c r="C770" s="1" t="s">
        <v>9</v>
      </c>
      <c r="D770" s="1" t="s">
        <v>3</v>
      </c>
      <c r="E770" s="5">
        <v>34369</v>
      </c>
      <c r="F770" s="5">
        <v>46155</v>
      </c>
      <c r="G770" s="2">
        <v>18.03603</v>
      </c>
      <c r="H770" s="1" t="s">
        <v>10</v>
      </c>
      <c r="I770" s="2">
        <v>176.14142699999999</v>
      </c>
      <c r="J770" s="1" t="s">
        <v>76</v>
      </c>
      <c r="K770" s="1" t="s">
        <v>2185</v>
      </c>
      <c r="L770" s="2">
        <v>7378.3710000000001</v>
      </c>
      <c r="M770">
        <f t="shared" si="33"/>
        <v>133076.52070713</v>
      </c>
      <c r="N770">
        <f t="shared" si="34"/>
        <v>11776.683248418583</v>
      </c>
      <c r="O770" t="str">
        <f t="shared" si="35"/>
        <v>FJERN</v>
      </c>
      <c r="P770" s="1" t="s">
        <v>5846</v>
      </c>
    </row>
    <row r="771" spans="1:16" ht="15" customHeight="1" x14ac:dyDescent="0.2">
      <c r="A771" s="1" t="s">
        <v>2186</v>
      </c>
      <c r="B771" s="1" t="s">
        <v>2187</v>
      </c>
      <c r="C771" s="1" t="s">
        <v>9</v>
      </c>
      <c r="D771" s="1" t="s">
        <v>3</v>
      </c>
      <c r="E771" s="5">
        <v>38904</v>
      </c>
      <c r="F771" s="5">
        <v>40494</v>
      </c>
      <c r="G771" s="2">
        <v>17.123270000000002</v>
      </c>
      <c r="H771" s="1" t="s">
        <v>10</v>
      </c>
      <c r="I771" s="2"/>
      <c r="J771" s="1" t="s">
        <v>167</v>
      </c>
      <c r="K771" s="1" t="s">
        <v>2188</v>
      </c>
      <c r="L771" s="2">
        <v>24475.5</v>
      </c>
      <c r="M771">
        <f t="shared" ref="M771:M834" si="36">IF(OR(G771="",L771=""),"",G771*L771)</f>
        <v>419100.59488500003</v>
      </c>
      <c r="N771">
        <f t="shared" ref="N771:N834" si="37">IF(M771="","",IF(H771="DKK",M771/7.45,IF(H771="SEK",M771/11.3,M771)))</f>
        <v>37088.548219911507</v>
      </c>
      <c r="O771" t="str">
        <f t="shared" ref="O771:O834" si="38">IF(AND(E771&lt;=DATE(2024,12,31),F771&gt;=DATE(2010,1,1),D771="SHARE",N771&gt;=100000),"BEHOLD","FJERN")</f>
        <v>FJERN</v>
      </c>
      <c r="P771" s="1" t="s">
        <v>5847</v>
      </c>
    </row>
    <row r="772" spans="1:16" ht="15" customHeight="1" x14ac:dyDescent="0.2">
      <c r="A772" s="1" t="s">
        <v>2189</v>
      </c>
      <c r="B772" s="1" t="s">
        <v>2190</v>
      </c>
      <c r="C772" s="1" t="s">
        <v>9</v>
      </c>
      <c r="D772" s="1" t="s">
        <v>3</v>
      </c>
      <c r="E772" s="5">
        <v>33016</v>
      </c>
      <c r="F772" s="5">
        <v>46155</v>
      </c>
      <c r="G772" s="2">
        <v>43.957560000000001</v>
      </c>
      <c r="H772" s="1" t="s">
        <v>10</v>
      </c>
      <c r="I772" s="2">
        <v>69424.38668322</v>
      </c>
      <c r="J772" s="1" t="s">
        <v>86</v>
      </c>
      <c r="K772" s="1" t="s">
        <v>2191</v>
      </c>
      <c r="L772" s="2">
        <v>2897419</v>
      </c>
      <c r="M772">
        <f t="shared" si="36"/>
        <v>127363469.53764001</v>
      </c>
      <c r="N772">
        <f t="shared" si="37"/>
        <v>11271103.498906195</v>
      </c>
      <c r="O772" t="str">
        <f t="shared" si="38"/>
        <v>BEHOLD</v>
      </c>
      <c r="P772" s="1" t="s">
        <v>5848</v>
      </c>
    </row>
    <row r="773" spans="1:16" ht="15" customHeight="1" x14ac:dyDescent="0.2">
      <c r="A773" s="1" t="s">
        <v>2192</v>
      </c>
      <c r="B773" s="1" t="s">
        <v>2193</v>
      </c>
      <c r="C773" s="1" t="s">
        <v>2</v>
      </c>
      <c r="D773" s="1" t="s">
        <v>3</v>
      </c>
      <c r="E773" s="5">
        <v>32954</v>
      </c>
      <c r="F773" s="5">
        <v>45636</v>
      </c>
      <c r="G773" s="2">
        <v>25.619599999999998</v>
      </c>
      <c r="H773" s="1" t="s">
        <v>4</v>
      </c>
      <c r="I773" s="2">
        <v>42.976305799999999</v>
      </c>
      <c r="J773" s="1" t="s">
        <v>548</v>
      </c>
      <c r="K773" s="1" t="s">
        <v>2194</v>
      </c>
      <c r="L773" s="2">
        <v>2576.2359999999999</v>
      </c>
      <c r="M773">
        <f t="shared" si="36"/>
        <v>66002.135825599995</v>
      </c>
      <c r="N773">
        <f t="shared" si="37"/>
        <v>8859.3470906845632</v>
      </c>
      <c r="O773" t="str">
        <f t="shared" si="38"/>
        <v>FJERN</v>
      </c>
      <c r="P773" s="1" t="s">
        <v>5849</v>
      </c>
    </row>
    <row r="774" spans="1:16" ht="15" customHeight="1" x14ac:dyDescent="0.2">
      <c r="A774" s="1" t="s">
        <v>2195</v>
      </c>
      <c r="B774" s="1" t="s">
        <v>2196</v>
      </c>
      <c r="C774" s="1" t="s">
        <v>9</v>
      </c>
      <c r="D774" s="1" t="s">
        <v>3</v>
      </c>
      <c r="E774" s="5">
        <v>36061</v>
      </c>
      <c r="F774" s="5">
        <v>46155</v>
      </c>
      <c r="G774" s="2">
        <v>158.23910000000001</v>
      </c>
      <c r="H774" s="1" t="s">
        <v>10</v>
      </c>
      <c r="I774" s="2">
        <v>3741.831291</v>
      </c>
      <c r="J774" s="1" t="s">
        <v>76</v>
      </c>
      <c r="K774" s="1" t="s">
        <v>2197</v>
      </c>
      <c r="L774" s="2">
        <v>1814.5260000000001</v>
      </c>
      <c r="M774">
        <f t="shared" si="36"/>
        <v>287128.9611666</v>
      </c>
      <c r="N774">
        <f t="shared" si="37"/>
        <v>25409.642581115044</v>
      </c>
      <c r="O774" t="str">
        <f t="shared" si="38"/>
        <v>FJERN</v>
      </c>
      <c r="P774" s="1" t="s">
        <v>5850</v>
      </c>
    </row>
    <row r="775" spans="1:16" ht="15" customHeight="1" x14ac:dyDescent="0.2">
      <c r="A775" s="1" t="s">
        <v>2198</v>
      </c>
      <c r="B775" s="1" t="s">
        <v>2199</v>
      </c>
      <c r="C775" s="1" t="s">
        <v>2</v>
      </c>
      <c r="D775" s="1" t="s">
        <v>3</v>
      </c>
      <c r="E775" s="5">
        <v>38898</v>
      </c>
      <c r="F775" s="5">
        <v>46155</v>
      </c>
      <c r="G775" s="2">
        <v>5.5596800000000002</v>
      </c>
      <c r="H775" s="1" t="s">
        <v>4</v>
      </c>
      <c r="I775" s="2">
        <v>37.858661079999997</v>
      </c>
      <c r="J775" s="1" t="s">
        <v>236</v>
      </c>
      <c r="K775" s="1" t="s">
        <v>2200</v>
      </c>
      <c r="L775" s="2">
        <v>5175.1750000000002</v>
      </c>
      <c r="M775">
        <f t="shared" si="36"/>
        <v>28772.316944000002</v>
      </c>
      <c r="N775">
        <f t="shared" si="37"/>
        <v>3862.055965637584</v>
      </c>
      <c r="O775" t="str">
        <f t="shared" si="38"/>
        <v>FJERN</v>
      </c>
      <c r="P775" s="1" t="s">
        <v>5851</v>
      </c>
    </row>
    <row r="776" spans="1:16" ht="15" customHeight="1" x14ac:dyDescent="0.2">
      <c r="A776" s="1" t="s">
        <v>2201</v>
      </c>
      <c r="B776" s="1" t="s">
        <v>2202</v>
      </c>
      <c r="C776" s="1" t="s">
        <v>9</v>
      </c>
      <c r="D776" s="1" t="s">
        <v>3</v>
      </c>
      <c r="E776" s="5">
        <v>38937</v>
      </c>
      <c r="F776" s="5">
        <v>46155</v>
      </c>
      <c r="G776" s="2">
        <v>4.680599</v>
      </c>
      <c r="H776" s="1" t="s">
        <v>10</v>
      </c>
      <c r="I776" s="2">
        <v>165.46600000000001</v>
      </c>
      <c r="J776" s="1" t="s">
        <v>11</v>
      </c>
      <c r="K776" s="1" t="s">
        <v>2203</v>
      </c>
      <c r="L776" s="2">
        <v>35887.42</v>
      </c>
      <c r="M776">
        <f t="shared" si="36"/>
        <v>167974.62216457998</v>
      </c>
      <c r="N776">
        <f t="shared" si="37"/>
        <v>14865.010811024777</v>
      </c>
      <c r="O776" t="str">
        <f t="shared" si="38"/>
        <v>FJERN</v>
      </c>
      <c r="P776" s="1" t="s">
        <v>5852</v>
      </c>
    </row>
    <row r="777" spans="1:16" ht="15" customHeight="1" x14ac:dyDescent="0.2">
      <c r="A777" s="1" t="s">
        <v>2204</v>
      </c>
      <c r="B777" s="1" t="s">
        <v>2205</v>
      </c>
      <c r="C777" s="1" t="s">
        <v>9</v>
      </c>
      <c r="D777" s="1" t="s">
        <v>3</v>
      </c>
      <c r="E777" s="5">
        <v>39245</v>
      </c>
      <c r="F777" s="5">
        <v>41124</v>
      </c>
      <c r="G777" s="2">
        <v>13.266349999999999</v>
      </c>
      <c r="H777" s="1" t="s">
        <v>10</v>
      </c>
      <c r="I777" s="2"/>
      <c r="J777" s="1" t="s">
        <v>391</v>
      </c>
      <c r="K777" s="1" t="s">
        <v>2206</v>
      </c>
      <c r="L777" s="2">
        <v>612.91049999999996</v>
      </c>
      <c r="M777">
        <f t="shared" si="36"/>
        <v>8131.0852116749993</v>
      </c>
      <c r="N777">
        <f t="shared" si="37"/>
        <v>719.56506298008844</v>
      </c>
      <c r="O777" t="str">
        <f t="shared" si="38"/>
        <v>FJERN</v>
      </c>
      <c r="P777" s="1" t="s">
        <v>5853</v>
      </c>
    </row>
    <row r="778" spans="1:16" ht="15" customHeight="1" x14ac:dyDescent="0.2">
      <c r="A778" s="1" t="s">
        <v>2207</v>
      </c>
      <c r="B778" s="1" t="s">
        <v>2208</v>
      </c>
      <c r="C778" s="1" t="s">
        <v>9</v>
      </c>
      <c r="D778" s="1" t="s">
        <v>3</v>
      </c>
      <c r="E778" s="5">
        <v>38975</v>
      </c>
      <c r="F778" s="5">
        <v>46155</v>
      </c>
      <c r="G778" s="2">
        <v>138.63030000000001</v>
      </c>
      <c r="H778" s="1" t="s">
        <v>10</v>
      </c>
      <c r="I778" s="2">
        <v>115035.841560994</v>
      </c>
      <c r="J778" s="1" t="s">
        <v>366</v>
      </c>
      <c r="K778" s="1" t="s">
        <v>2209</v>
      </c>
      <c r="L778" s="2">
        <v>639492.69999999995</v>
      </c>
      <c r="M778">
        <f t="shared" si="36"/>
        <v>88653064.848810002</v>
      </c>
      <c r="N778">
        <f t="shared" si="37"/>
        <v>7845403.9689212386</v>
      </c>
      <c r="O778" t="str">
        <f t="shared" si="38"/>
        <v>BEHOLD</v>
      </c>
      <c r="P778" s="1" t="s">
        <v>5854</v>
      </c>
    </row>
    <row r="779" spans="1:16" ht="15" customHeight="1" x14ac:dyDescent="0.2">
      <c r="A779" s="1" t="s">
        <v>2210</v>
      </c>
      <c r="B779" s="1" t="s">
        <v>2211</v>
      </c>
      <c r="C779" s="1" t="s">
        <v>9</v>
      </c>
      <c r="D779" s="1" t="s">
        <v>3</v>
      </c>
      <c r="E779" s="5">
        <v>38989</v>
      </c>
      <c r="F779" s="5">
        <v>39675</v>
      </c>
      <c r="G779" s="2"/>
      <c r="H779" s="1" t="s">
        <v>10</v>
      </c>
      <c r="I779" s="2"/>
      <c r="J779" s="1" t="s">
        <v>289</v>
      </c>
      <c r="K779" s="1" t="s">
        <v>2212</v>
      </c>
      <c r="L779" s="2"/>
      <c r="M779" t="str">
        <f t="shared" si="36"/>
        <v/>
      </c>
      <c r="N779" t="str">
        <f t="shared" si="37"/>
        <v/>
      </c>
      <c r="O779" t="str">
        <f t="shared" si="38"/>
        <v>FJERN</v>
      </c>
      <c r="P779" s="1" t="s">
        <v>5855</v>
      </c>
    </row>
    <row r="780" spans="1:16" ht="15" customHeight="1" x14ac:dyDescent="0.2">
      <c r="A780" s="1" t="s">
        <v>2213</v>
      </c>
      <c r="B780" s="1" t="s">
        <v>2214</v>
      </c>
      <c r="C780" s="1" t="s">
        <v>9</v>
      </c>
      <c r="D780" s="1" t="s">
        <v>3</v>
      </c>
      <c r="E780" s="5">
        <v>38989</v>
      </c>
      <c r="F780" s="5">
        <v>40828</v>
      </c>
      <c r="G780" s="2">
        <v>13.38191</v>
      </c>
      <c r="H780" s="1" t="s">
        <v>10</v>
      </c>
      <c r="I780" s="2"/>
      <c r="J780" s="1" t="s">
        <v>289</v>
      </c>
      <c r="K780" s="1" t="s">
        <v>2215</v>
      </c>
      <c r="L780" s="2">
        <v>985097.5</v>
      </c>
      <c r="M780">
        <f t="shared" si="36"/>
        <v>13182486.086224999</v>
      </c>
      <c r="N780">
        <f t="shared" si="37"/>
        <v>1166591.68904646</v>
      </c>
      <c r="O780" t="str">
        <f t="shared" si="38"/>
        <v>BEHOLD</v>
      </c>
      <c r="P780" s="1" t="s">
        <v>5856</v>
      </c>
    </row>
    <row r="781" spans="1:16" ht="15" customHeight="1" x14ac:dyDescent="0.2">
      <c r="A781" s="1" t="s">
        <v>2216</v>
      </c>
      <c r="B781" s="1" t="s">
        <v>2217</v>
      </c>
      <c r="C781" s="1" t="s">
        <v>9</v>
      </c>
      <c r="D781" s="1" t="s">
        <v>3</v>
      </c>
      <c r="E781" s="5">
        <v>38965</v>
      </c>
      <c r="F781" s="5">
        <v>43119</v>
      </c>
      <c r="G781" s="2">
        <v>300.99950000000001</v>
      </c>
      <c r="H781" s="1" t="s">
        <v>10</v>
      </c>
      <c r="I781" s="2"/>
      <c r="J781" s="1" t="s">
        <v>76</v>
      </c>
      <c r="K781" s="1" t="s">
        <v>2218</v>
      </c>
      <c r="L781" s="2">
        <v>20056.25</v>
      </c>
      <c r="M781">
        <f t="shared" si="36"/>
        <v>6036921.2218749998</v>
      </c>
      <c r="N781">
        <f t="shared" si="37"/>
        <v>534240.81609513273</v>
      </c>
      <c r="O781" t="str">
        <f t="shared" si="38"/>
        <v>BEHOLD</v>
      </c>
      <c r="P781" s="1" t="s">
        <v>5857</v>
      </c>
    </row>
    <row r="782" spans="1:16" ht="15" customHeight="1" x14ac:dyDescent="0.2">
      <c r="A782" s="1" t="s">
        <v>2219</v>
      </c>
      <c r="B782" s="1" t="s">
        <v>2220</v>
      </c>
      <c r="C782" s="1" t="s">
        <v>2</v>
      </c>
      <c r="D782" s="1" t="s">
        <v>3</v>
      </c>
      <c r="E782" s="5">
        <v>32105</v>
      </c>
      <c r="F782" s="5">
        <v>42593</v>
      </c>
      <c r="G782" s="2">
        <v>153.5325</v>
      </c>
      <c r="H782" s="1" t="s">
        <v>4</v>
      </c>
      <c r="I782" s="2"/>
      <c r="J782" s="1" t="s">
        <v>176</v>
      </c>
      <c r="K782" s="1" t="s">
        <v>2221</v>
      </c>
      <c r="L782" s="2">
        <v>4103.6409999999996</v>
      </c>
      <c r="M782">
        <f t="shared" si="36"/>
        <v>630042.26183249999</v>
      </c>
      <c r="N782">
        <f t="shared" si="37"/>
        <v>84569.43111845637</v>
      </c>
      <c r="O782" t="str">
        <f t="shared" si="38"/>
        <v>FJERN</v>
      </c>
      <c r="P782" s="1" t="s">
        <v>5858</v>
      </c>
    </row>
    <row r="783" spans="1:16" ht="15" customHeight="1" x14ac:dyDescent="0.2">
      <c r="A783" s="1" t="s">
        <v>2222</v>
      </c>
      <c r="B783" s="1" t="s">
        <v>2223</v>
      </c>
      <c r="C783" s="1" t="s">
        <v>2</v>
      </c>
      <c r="D783" s="1" t="s">
        <v>3</v>
      </c>
      <c r="E783" s="5">
        <v>38974</v>
      </c>
      <c r="F783" s="5">
        <v>41704</v>
      </c>
      <c r="G783" s="2">
        <v>1.1593370000000001</v>
      </c>
      <c r="H783" s="1" t="s">
        <v>4</v>
      </c>
      <c r="I783" s="2"/>
      <c r="J783" s="1" t="s">
        <v>55</v>
      </c>
      <c r="K783" s="1" t="s">
        <v>2224</v>
      </c>
      <c r="L783" s="2">
        <v>3889.1170000000002</v>
      </c>
      <c r="M783">
        <f t="shared" si="36"/>
        <v>4508.7972354290005</v>
      </c>
      <c r="N783">
        <f t="shared" si="37"/>
        <v>605.20768260791954</v>
      </c>
      <c r="O783" t="str">
        <f t="shared" si="38"/>
        <v>FJERN</v>
      </c>
      <c r="P783" s="1" t="s">
        <v>5859</v>
      </c>
    </row>
    <row r="784" spans="1:16" ht="15" customHeight="1" x14ac:dyDescent="0.2">
      <c r="A784" s="1" t="s">
        <v>2225</v>
      </c>
      <c r="B784" s="1" t="s">
        <v>2226</v>
      </c>
      <c r="C784" s="1" t="s">
        <v>2</v>
      </c>
      <c r="D784" s="1" t="s">
        <v>3</v>
      </c>
      <c r="E784" s="5">
        <v>39003</v>
      </c>
      <c r="F784" s="5">
        <v>40147</v>
      </c>
      <c r="G784" s="2">
        <v>0.38138260000000002</v>
      </c>
      <c r="H784" s="1" t="s">
        <v>4</v>
      </c>
      <c r="I784" s="2"/>
      <c r="J784" s="1" t="s">
        <v>236</v>
      </c>
      <c r="K784" s="1" t="s">
        <v>2227</v>
      </c>
      <c r="L784" s="2">
        <v>63228.61</v>
      </c>
      <c r="M784">
        <f t="shared" si="36"/>
        <v>24114.291676186</v>
      </c>
      <c r="N784">
        <f t="shared" si="37"/>
        <v>3236.8176746558388</v>
      </c>
      <c r="O784" t="str">
        <f t="shared" si="38"/>
        <v>FJERN</v>
      </c>
      <c r="P784" s="1" t="s">
        <v>5860</v>
      </c>
    </row>
    <row r="785" spans="1:16" ht="15" customHeight="1" x14ac:dyDescent="0.2">
      <c r="A785" s="1" t="s">
        <v>2228</v>
      </c>
      <c r="B785" s="1" t="s">
        <v>2229</v>
      </c>
      <c r="C785" s="1" t="s">
        <v>9</v>
      </c>
      <c r="D785" s="1" t="s">
        <v>3</v>
      </c>
      <c r="E785" s="5">
        <v>39407</v>
      </c>
      <c r="F785" s="5">
        <v>42404</v>
      </c>
      <c r="G785" s="2">
        <v>10.21401</v>
      </c>
      <c r="H785" s="1" t="s">
        <v>10</v>
      </c>
      <c r="I785" s="2"/>
      <c r="J785" s="1" t="s">
        <v>76</v>
      </c>
      <c r="K785" s="1" t="s">
        <v>2230</v>
      </c>
      <c r="L785" s="2">
        <v>195438.2</v>
      </c>
      <c r="M785">
        <f t="shared" si="36"/>
        <v>1996207.729182</v>
      </c>
      <c r="N785">
        <f t="shared" si="37"/>
        <v>176655.55125504424</v>
      </c>
      <c r="O785" t="str">
        <f t="shared" si="38"/>
        <v>BEHOLD</v>
      </c>
      <c r="P785" s="1" t="s">
        <v>5861</v>
      </c>
    </row>
    <row r="786" spans="1:16" ht="15" customHeight="1" x14ac:dyDescent="0.2">
      <c r="A786" s="1" t="s">
        <v>2231</v>
      </c>
      <c r="B786" s="1" t="s">
        <v>2232</v>
      </c>
      <c r="C786" s="1" t="s">
        <v>9</v>
      </c>
      <c r="D786" s="1" t="s">
        <v>3</v>
      </c>
      <c r="E786" s="5">
        <v>39000</v>
      </c>
      <c r="F786" s="5">
        <v>39673</v>
      </c>
      <c r="G786" s="2"/>
      <c r="H786" s="1" t="s">
        <v>10</v>
      </c>
      <c r="I786" s="2"/>
      <c r="J786" s="1" t="s">
        <v>236</v>
      </c>
      <c r="K786" s="1" t="s">
        <v>2233</v>
      </c>
      <c r="L786" s="2"/>
      <c r="M786" t="str">
        <f t="shared" si="36"/>
        <v/>
      </c>
      <c r="N786" t="str">
        <f t="shared" si="37"/>
        <v/>
      </c>
      <c r="O786" t="str">
        <f t="shared" si="38"/>
        <v>FJERN</v>
      </c>
      <c r="P786" s="1" t="s">
        <v>5862</v>
      </c>
    </row>
    <row r="787" spans="1:16" ht="15" customHeight="1" x14ac:dyDescent="0.2">
      <c r="A787" s="1" t="s">
        <v>2234</v>
      </c>
      <c r="B787" s="1" t="s">
        <v>2235</v>
      </c>
      <c r="C787" s="1" t="s">
        <v>2</v>
      </c>
      <c r="D787" s="1" t="s">
        <v>3</v>
      </c>
      <c r="E787" s="5">
        <v>38988</v>
      </c>
      <c r="F787" s="5">
        <v>42473</v>
      </c>
      <c r="G787" s="2">
        <v>1.2811129999999999</v>
      </c>
      <c r="H787" s="1" t="s">
        <v>4</v>
      </c>
      <c r="I787" s="2"/>
      <c r="J787" s="1" t="s">
        <v>184</v>
      </c>
      <c r="K787" s="1" t="s">
        <v>2236</v>
      </c>
      <c r="L787" s="2">
        <v>342096.5</v>
      </c>
      <c r="M787">
        <f t="shared" si="36"/>
        <v>438264.27340449998</v>
      </c>
      <c r="N787">
        <f t="shared" si="37"/>
        <v>58827.41924892617</v>
      </c>
      <c r="O787" t="str">
        <f t="shared" si="38"/>
        <v>FJERN</v>
      </c>
      <c r="P787" s="1" t="s">
        <v>5863</v>
      </c>
    </row>
    <row r="788" spans="1:16" ht="15" customHeight="1" x14ac:dyDescent="0.2">
      <c r="A788" s="1" t="s">
        <v>2237</v>
      </c>
      <c r="B788" s="1" t="s">
        <v>2238</v>
      </c>
      <c r="C788" s="1" t="s">
        <v>9</v>
      </c>
      <c r="D788" s="1" t="s">
        <v>3</v>
      </c>
      <c r="E788" s="5">
        <v>39771</v>
      </c>
      <c r="F788" s="5">
        <v>46155</v>
      </c>
      <c r="G788" s="2">
        <v>131.24090000000001</v>
      </c>
      <c r="H788" s="1" t="s">
        <v>10</v>
      </c>
      <c r="I788" s="2">
        <v>701.65599999999995</v>
      </c>
      <c r="J788" s="1" t="s">
        <v>236</v>
      </c>
      <c r="K788" s="1" t="s">
        <v>2239</v>
      </c>
      <c r="L788" s="2">
        <v>52524.22</v>
      </c>
      <c r="M788">
        <f t="shared" si="36"/>
        <v>6893325.9045980005</v>
      </c>
      <c r="N788">
        <f t="shared" si="37"/>
        <v>610028.84111486725</v>
      </c>
      <c r="O788" t="str">
        <f t="shared" si="38"/>
        <v>BEHOLD</v>
      </c>
      <c r="P788" s="1" t="s">
        <v>5864</v>
      </c>
    </row>
    <row r="789" spans="1:16" ht="15" customHeight="1" x14ac:dyDescent="0.2">
      <c r="A789" s="1" t="s">
        <v>2240</v>
      </c>
      <c r="B789" s="1" t="s">
        <v>2241</v>
      </c>
      <c r="C789" s="1" t="s">
        <v>2</v>
      </c>
      <c r="D789" s="1" t="s">
        <v>3</v>
      </c>
      <c r="E789" s="5">
        <v>39001</v>
      </c>
      <c r="F789" s="5">
        <v>46155</v>
      </c>
      <c r="G789" s="2">
        <v>63.635350000000003</v>
      </c>
      <c r="H789" s="1" t="s">
        <v>4</v>
      </c>
      <c r="I789" s="2">
        <v>8.4680993999999998</v>
      </c>
      <c r="J789" s="1" t="s">
        <v>201</v>
      </c>
      <c r="K789" s="1" t="s">
        <v>2242</v>
      </c>
      <c r="L789" s="2">
        <v>17665.419999999998</v>
      </c>
      <c r="M789">
        <f t="shared" si="36"/>
        <v>1124145.184597</v>
      </c>
      <c r="N789">
        <f t="shared" si="37"/>
        <v>150891.97108684565</v>
      </c>
      <c r="O789" t="str">
        <f t="shared" si="38"/>
        <v>BEHOLD</v>
      </c>
      <c r="P789" s="1" t="s">
        <v>5865</v>
      </c>
    </row>
    <row r="790" spans="1:16" ht="15" customHeight="1" x14ac:dyDescent="0.2">
      <c r="A790" s="1" t="s">
        <v>2243</v>
      </c>
      <c r="B790" s="1" t="s">
        <v>2244</v>
      </c>
      <c r="C790" s="1" t="s">
        <v>9</v>
      </c>
      <c r="D790" s="1" t="s">
        <v>3</v>
      </c>
      <c r="E790" s="5">
        <v>36721</v>
      </c>
      <c r="F790" s="5">
        <v>40085</v>
      </c>
      <c r="G790" s="2">
        <v>24.19397</v>
      </c>
      <c r="H790" s="1" t="s">
        <v>10</v>
      </c>
      <c r="I790" s="2"/>
      <c r="J790" s="1" t="s">
        <v>61</v>
      </c>
      <c r="K790" s="1" t="s">
        <v>2245</v>
      </c>
      <c r="L790" s="2">
        <v>4108.3729999999996</v>
      </c>
      <c r="M790">
        <f t="shared" si="36"/>
        <v>99397.853110809985</v>
      </c>
      <c r="N790">
        <f t="shared" si="37"/>
        <v>8796.2701867973428</v>
      </c>
      <c r="O790" t="str">
        <f t="shared" si="38"/>
        <v>FJERN</v>
      </c>
      <c r="P790" s="1" t="s">
        <v>5866</v>
      </c>
    </row>
    <row r="791" spans="1:16" ht="15" customHeight="1" x14ac:dyDescent="0.2">
      <c r="A791" s="1" t="s">
        <v>2246</v>
      </c>
      <c r="B791" s="1" t="s">
        <v>2247</v>
      </c>
      <c r="C791" s="1" t="s">
        <v>9</v>
      </c>
      <c r="D791" s="1" t="s">
        <v>3</v>
      </c>
      <c r="E791" s="5">
        <v>39058</v>
      </c>
      <c r="F791" s="5">
        <v>41071</v>
      </c>
      <c r="G791" s="2">
        <v>7.6882720000000004</v>
      </c>
      <c r="H791" s="1" t="s">
        <v>10</v>
      </c>
      <c r="I791" s="2"/>
      <c r="J791" s="1" t="s">
        <v>184</v>
      </c>
      <c r="K791" s="1" t="s">
        <v>2248</v>
      </c>
      <c r="L791" s="2">
        <v>1752.01</v>
      </c>
      <c r="M791">
        <f t="shared" si="36"/>
        <v>13469.92942672</v>
      </c>
      <c r="N791">
        <f t="shared" si="37"/>
        <v>1192.0291528070795</v>
      </c>
      <c r="O791" t="str">
        <f t="shared" si="38"/>
        <v>FJERN</v>
      </c>
      <c r="P791" s="1"/>
    </row>
    <row r="792" spans="1:16" ht="15" customHeight="1" x14ac:dyDescent="0.2">
      <c r="A792" s="1" t="s">
        <v>2249</v>
      </c>
      <c r="B792" s="1" t="s">
        <v>2250</v>
      </c>
      <c r="C792" s="1" t="s">
        <v>9</v>
      </c>
      <c r="D792" s="1" t="s">
        <v>3</v>
      </c>
      <c r="E792" s="5">
        <v>39048</v>
      </c>
      <c r="F792" s="5">
        <v>39657</v>
      </c>
      <c r="G792" s="2">
        <v>34</v>
      </c>
      <c r="H792" s="1" t="s">
        <v>10</v>
      </c>
      <c r="I792" s="2"/>
      <c r="J792" s="1" t="s">
        <v>236</v>
      </c>
      <c r="K792" s="1" t="s">
        <v>2251</v>
      </c>
      <c r="L792" s="2">
        <v>0</v>
      </c>
      <c r="M792">
        <f t="shared" si="36"/>
        <v>0</v>
      </c>
      <c r="N792">
        <f t="shared" si="37"/>
        <v>0</v>
      </c>
      <c r="O792" t="str">
        <f t="shared" si="38"/>
        <v>FJERN</v>
      </c>
      <c r="P792" s="1" t="s">
        <v>5867</v>
      </c>
    </row>
    <row r="793" spans="1:16" ht="15" customHeight="1" x14ac:dyDescent="0.2">
      <c r="A793" s="1" t="s">
        <v>2252</v>
      </c>
      <c r="B793" s="1" t="s">
        <v>2253</v>
      </c>
      <c r="C793" s="1" t="s">
        <v>2</v>
      </c>
      <c r="D793" s="1" t="s">
        <v>3</v>
      </c>
      <c r="E793" s="5">
        <v>39052</v>
      </c>
      <c r="F793" s="5">
        <v>44440</v>
      </c>
      <c r="G793" s="2">
        <v>193.70679999999999</v>
      </c>
      <c r="H793" s="1" t="s">
        <v>4</v>
      </c>
      <c r="I793" s="2"/>
      <c r="J793" s="1" t="s">
        <v>15</v>
      </c>
      <c r="K793" s="1" t="s">
        <v>2254</v>
      </c>
      <c r="L793" s="2">
        <v>897.1739</v>
      </c>
      <c r="M793">
        <f t="shared" si="36"/>
        <v>173788.68521251998</v>
      </c>
      <c r="N793">
        <f t="shared" si="37"/>
        <v>23327.340296982547</v>
      </c>
      <c r="O793" t="str">
        <f t="shared" si="38"/>
        <v>FJERN</v>
      </c>
      <c r="P793" s="1" t="s">
        <v>5868</v>
      </c>
    </row>
    <row r="794" spans="1:16" ht="15" customHeight="1" x14ac:dyDescent="0.2">
      <c r="A794" s="1" t="s">
        <v>2255</v>
      </c>
      <c r="B794" s="1" t="s">
        <v>2256</v>
      </c>
      <c r="C794" s="1" t="s">
        <v>2</v>
      </c>
      <c r="D794" s="1" t="s">
        <v>3</v>
      </c>
      <c r="E794" s="5">
        <v>32104</v>
      </c>
      <c r="F794" s="5">
        <v>39812</v>
      </c>
      <c r="G794" s="2">
        <v>0.35000019999999998</v>
      </c>
      <c r="H794" s="1" t="s">
        <v>4</v>
      </c>
      <c r="I794" s="2"/>
      <c r="J794" s="1" t="s">
        <v>15</v>
      </c>
      <c r="K794" s="1" t="s">
        <v>2257</v>
      </c>
      <c r="L794" s="2">
        <v>0</v>
      </c>
      <c r="M794">
        <f t="shared" si="36"/>
        <v>0</v>
      </c>
      <c r="N794">
        <f t="shared" si="37"/>
        <v>0</v>
      </c>
      <c r="O794" t="str">
        <f t="shared" si="38"/>
        <v>FJERN</v>
      </c>
      <c r="P794" s="1" t="s">
        <v>5869</v>
      </c>
    </row>
    <row r="795" spans="1:16" ht="15" customHeight="1" x14ac:dyDescent="0.2">
      <c r="A795" s="1" t="s">
        <v>2258</v>
      </c>
      <c r="B795" s="1" t="s">
        <v>2259</v>
      </c>
      <c r="C795" s="1" t="s">
        <v>2</v>
      </c>
      <c r="D795" s="1" t="s">
        <v>3</v>
      </c>
      <c r="E795" s="5">
        <v>39017</v>
      </c>
      <c r="F795" s="5">
        <v>41715</v>
      </c>
      <c r="G795" s="2">
        <v>4.4986560000000004</v>
      </c>
      <c r="H795" s="1" t="s">
        <v>4</v>
      </c>
      <c r="I795" s="2"/>
      <c r="J795" s="1" t="s">
        <v>55</v>
      </c>
      <c r="K795" s="1" t="s">
        <v>2260</v>
      </c>
      <c r="L795" s="2">
        <v>2048.433</v>
      </c>
      <c r="M795">
        <f t="shared" si="36"/>
        <v>9215.1954060480002</v>
      </c>
      <c r="N795">
        <f t="shared" si="37"/>
        <v>1236.9389806775839</v>
      </c>
      <c r="O795" t="str">
        <f t="shared" si="38"/>
        <v>FJERN</v>
      </c>
      <c r="P795" s="1" t="s">
        <v>5870</v>
      </c>
    </row>
    <row r="796" spans="1:16" ht="15" customHeight="1" x14ac:dyDescent="0.2">
      <c r="A796" s="1" t="s">
        <v>2261</v>
      </c>
      <c r="B796" s="1" t="s">
        <v>2262</v>
      </c>
      <c r="C796" s="1" t="s">
        <v>2</v>
      </c>
      <c r="D796" s="1" t="s">
        <v>3</v>
      </c>
      <c r="E796" s="5">
        <v>39034</v>
      </c>
      <c r="F796" s="5">
        <v>43885</v>
      </c>
      <c r="G796" s="2">
        <v>1.8874109999999999</v>
      </c>
      <c r="H796" s="1" t="s">
        <v>4</v>
      </c>
      <c r="I796" s="2"/>
      <c r="J796" s="1" t="s">
        <v>366</v>
      </c>
      <c r="K796" s="1" t="s">
        <v>2263</v>
      </c>
      <c r="L796" s="2">
        <v>1237341</v>
      </c>
      <c r="M796">
        <f t="shared" si="36"/>
        <v>2335371.014151</v>
      </c>
      <c r="N796">
        <f t="shared" si="37"/>
        <v>313472.61934912752</v>
      </c>
      <c r="O796" t="str">
        <f t="shared" si="38"/>
        <v>BEHOLD</v>
      </c>
      <c r="P796" s="1" t="s">
        <v>5871</v>
      </c>
    </row>
    <row r="797" spans="1:16" ht="15" customHeight="1" x14ac:dyDescent="0.2">
      <c r="A797" s="1" t="s">
        <v>2264</v>
      </c>
      <c r="B797" s="1" t="s">
        <v>2265</v>
      </c>
      <c r="C797" s="1" t="s">
        <v>9</v>
      </c>
      <c r="D797" s="1" t="s">
        <v>3</v>
      </c>
      <c r="E797" s="5">
        <v>39044</v>
      </c>
      <c r="F797" s="5">
        <v>45302</v>
      </c>
      <c r="G797" s="2">
        <v>4.3284019999999996</v>
      </c>
      <c r="H797" s="1" t="s">
        <v>10</v>
      </c>
      <c r="I797" s="2"/>
      <c r="J797" s="1" t="s">
        <v>197</v>
      </c>
      <c r="K797" s="1" t="s">
        <v>2266</v>
      </c>
      <c r="L797" s="2">
        <v>63744.71</v>
      </c>
      <c r="M797">
        <f t="shared" si="36"/>
        <v>275912.73025341996</v>
      </c>
      <c r="N797">
        <f t="shared" si="37"/>
        <v>24417.055774638931</v>
      </c>
      <c r="O797" t="str">
        <f t="shared" si="38"/>
        <v>FJERN</v>
      </c>
      <c r="P797" s="1" t="s">
        <v>5872</v>
      </c>
    </row>
    <row r="798" spans="1:16" ht="15" customHeight="1" x14ac:dyDescent="0.2">
      <c r="A798" s="1" t="s">
        <v>2267</v>
      </c>
      <c r="B798" s="1" t="s">
        <v>2268</v>
      </c>
      <c r="C798" s="1" t="s">
        <v>9</v>
      </c>
      <c r="D798" s="1" t="s">
        <v>3</v>
      </c>
      <c r="E798" s="5">
        <v>38159</v>
      </c>
      <c r="F798" s="5">
        <v>40177</v>
      </c>
      <c r="G798" s="2">
        <v>0.59740079999999995</v>
      </c>
      <c r="H798" s="1" t="s">
        <v>10</v>
      </c>
      <c r="I798" s="2"/>
      <c r="J798" s="1" t="s">
        <v>289</v>
      </c>
      <c r="K798" s="1" t="s">
        <v>2269</v>
      </c>
      <c r="L798" s="2">
        <v>10853.45</v>
      </c>
      <c r="M798">
        <f t="shared" si="36"/>
        <v>6483.8597127599996</v>
      </c>
      <c r="N798">
        <f t="shared" si="37"/>
        <v>573.79289493451324</v>
      </c>
      <c r="O798" t="str">
        <f t="shared" si="38"/>
        <v>FJERN</v>
      </c>
      <c r="P798" s="1" t="s">
        <v>5873</v>
      </c>
    </row>
    <row r="799" spans="1:16" ht="15" customHeight="1" x14ac:dyDescent="0.2">
      <c r="A799" s="1" t="s">
        <v>2270</v>
      </c>
      <c r="B799" s="1" t="s">
        <v>2271</v>
      </c>
      <c r="C799" s="1" t="s">
        <v>9</v>
      </c>
      <c r="D799" s="1" t="s">
        <v>3</v>
      </c>
      <c r="E799" s="5">
        <v>36235</v>
      </c>
      <c r="F799" s="5">
        <v>39941</v>
      </c>
      <c r="G799" s="2">
        <v>59.659399999999998</v>
      </c>
      <c r="H799" s="1" t="s">
        <v>10</v>
      </c>
      <c r="I799" s="2"/>
      <c r="J799" s="1" t="s">
        <v>167</v>
      </c>
      <c r="K799" s="1" t="s">
        <v>2272</v>
      </c>
      <c r="L799" s="2">
        <v>3259.96</v>
      </c>
      <c r="M799">
        <f t="shared" si="36"/>
        <v>194487.25762399999</v>
      </c>
      <c r="N799">
        <f t="shared" si="37"/>
        <v>17211.261736637167</v>
      </c>
      <c r="O799" t="str">
        <f t="shared" si="38"/>
        <v>FJERN</v>
      </c>
      <c r="P799" s="1" t="s">
        <v>5874</v>
      </c>
    </row>
    <row r="800" spans="1:16" ht="15" customHeight="1" x14ac:dyDescent="0.2">
      <c r="A800" s="1" t="s">
        <v>2273</v>
      </c>
      <c r="B800" s="1" t="s">
        <v>2274</v>
      </c>
      <c r="C800" s="1" t="s">
        <v>9</v>
      </c>
      <c r="D800" s="1" t="s">
        <v>3</v>
      </c>
      <c r="E800" s="5">
        <v>39035</v>
      </c>
      <c r="F800" s="5">
        <v>41026</v>
      </c>
      <c r="G800" s="2">
        <v>19.847480000000001</v>
      </c>
      <c r="H800" s="1" t="s">
        <v>10</v>
      </c>
      <c r="I800" s="2"/>
      <c r="J800" s="1" t="s">
        <v>76</v>
      </c>
      <c r="K800" s="1" t="s">
        <v>2275</v>
      </c>
      <c r="L800" s="2">
        <v>6232.8829999999998</v>
      </c>
      <c r="M800">
        <f t="shared" si="36"/>
        <v>123707.02068484</v>
      </c>
      <c r="N800">
        <f t="shared" si="37"/>
        <v>10947.523954410619</v>
      </c>
      <c r="O800" t="str">
        <f t="shared" si="38"/>
        <v>FJERN</v>
      </c>
      <c r="P800" s="1" t="s">
        <v>5875</v>
      </c>
    </row>
    <row r="801" spans="1:16" ht="15" customHeight="1" x14ac:dyDescent="0.2">
      <c r="A801" s="1" t="s">
        <v>2276</v>
      </c>
      <c r="B801" s="1" t="s">
        <v>2277</v>
      </c>
      <c r="C801" s="1" t="s">
        <v>9</v>
      </c>
      <c r="D801" s="1" t="s">
        <v>3</v>
      </c>
      <c r="E801" s="5">
        <v>39093</v>
      </c>
      <c r="F801" s="5">
        <v>40213</v>
      </c>
      <c r="G801" s="2">
        <v>1.500839</v>
      </c>
      <c r="H801" s="1" t="s">
        <v>10</v>
      </c>
      <c r="I801" s="2"/>
      <c r="J801" s="1" t="s">
        <v>256</v>
      </c>
      <c r="K801" s="1" t="s">
        <v>2278</v>
      </c>
      <c r="L801" s="2">
        <v>10519.3</v>
      </c>
      <c r="M801">
        <f t="shared" si="36"/>
        <v>15787.775692699999</v>
      </c>
      <c r="N801">
        <f t="shared" si="37"/>
        <v>1397.1482913893803</v>
      </c>
      <c r="O801" t="str">
        <f t="shared" si="38"/>
        <v>FJERN</v>
      </c>
      <c r="P801" s="1"/>
    </row>
    <row r="802" spans="1:16" ht="15" customHeight="1" x14ac:dyDescent="0.2">
      <c r="A802" s="1" t="s">
        <v>2279</v>
      </c>
      <c r="B802" s="1" t="s">
        <v>2280</v>
      </c>
      <c r="C802" s="1" t="s">
        <v>9</v>
      </c>
      <c r="D802" s="1" t="s">
        <v>3</v>
      </c>
      <c r="E802" s="5">
        <v>39058</v>
      </c>
      <c r="F802" s="5">
        <v>39504</v>
      </c>
      <c r="G802" s="2"/>
      <c r="H802" s="1" t="s">
        <v>10</v>
      </c>
      <c r="I802" s="2"/>
      <c r="J802" s="1" t="s">
        <v>64</v>
      </c>
      <c r="K802" s="1" t="s">
        <v>2281</v>
      </c>
      <c r="L802" s="2"/>
      <c r="M802" t="str">
        <f t="shared" si="36"/>
        <v/>
      </c>
      <c r="N802" t="str">
        <f t="shared" si="37"/>
        <v/>
      </c>
      <c r="O802" t="str">
        <f t="shared" si="38"/>
        <v>FJERN</v>
      </c>
      <c r="P802" s="1" t="s">
        <v>5876</v>
      </c>
    </row>
    <row r="803" spans="1:16" ht="15" customHeight="1" x14ac:dyDescent="0.2">
      <c r="A803" s="1" t="s">
        <v>2282</v>
      </c>
      <c r="B803" s="1" t="s">
        <v>2283</v>
      </c>
      <c r="C803" s="1" t="s">
        <v>2</v>
      </c>
      <c r="D803" s="1" t="s">
        <v>3</v>
      </c>
      <c r="E803" s="5">
        <v>39028</v>
      </c>
      <c r="F803" s="5">
        <v>39975</v>
      </c>
      <c r="G803" s="2">
        <v>1.4409080000000001</v>
      </c>
      <c r="H803" s="1" t="s">
        <v>4</v>
      </c>
      <c r="I803" s="2"/>
      <c r="J803" s="1" t="s">
        <v>122</v>
      </c>
      <c r="K803" s="1" t="s">
        <v>2284</v>
      </c>
      <c r="L803" s="2">
        <v>6409.1729999999998</v>
      </c>
      <c r="M803">
        <f t="shared" si="36"/>
        <v>9235.0286490840008</v>
      </c>
      <c r="N803">
        <f t="shared" si="37"/>
        <v>1239.6011609508726</v>
      </c>
      <c r="O803" t="str">
        <f t="shared" si="38"/>
        <v>FJERN</v>
      </c>
      <c r="P803" s="1" t="s">
        <v>5877</v>
      </c>
    </row>
    <row r="804" spans="1:16" ht="15" customHeight="1" x14ac:dyDescent="0.2">
      <c r="A804" s="1" t="s">
        <v>2285</v>
      </c>
      <c r="B804" s="1" t="s">
        <v>2286</v>
      </c>
      <c r="C804" s="1" t="s">
        <v>2</v>
      </c>
      <c r="D804" s="1" t="s">
        <v>3</v>
      </c>
      <c r="E804" s="5">
        <v>39030</v>
      </c>
      <c r="F804" s="5">
        <v>40662</v>
      </c>
      <c r="G804" s="2">
        <v>319.62700000000001</v>
      </c>
      <c r="H804" s="1" t="s">
        <v>4</v>
      </c>
      <c r="I804" s="2"/>
      <c r="J804" s="1" t="s">
        <v>76</v>
      </c>
      <c r="K804" s="1" t="s">
        <v>2287</v>
      </c>
      <c r="L804" s="2">
        <v>121.0065</v>
      </c>
      <c r="M804">
        <f t="shared" si="36"/>
        <v>38676.944575500005</v>
      </c>
      <c r="N804">
        <f t="shared" si="37"/>
        <v>5191.5361846308733</v>
      </c>
      <c r="O804" t="str">
        <f t="shared" si="38"/>
        <v>FJERN</v>
      </c>
      <c r="P804" s="1" t="s">
        <v>5878</v>
      </c>
    </row>
    <row r="805" spans="1:16" ht="15" customHeight="1" x14ac:dyDescent="0.2">
      <c r="A805" s="1" t="s">
        <v>2288</v>
      </c>
      <c r="B805" s="1" t="s">
        <v>2289</v>
      </c>
      <c r="C805" s="1" t="s">
        <v>2</v>
      </c>
      <c r="D805" s="1" t="s">
        <v>3</v>
      </c>
      <c r="E805" s="5">
        <v>39030</v>
      </c>
      <c r="F805" s="5">
        <v>40182</v>
      </c>
      <c r="G805" s="2">
        <v>0.37513740000000001</v>
      </c>
      <c r="H805" s="1" t="s">
        <v>4</v>
      </c>
      <c r="I805" s="2"/>
      <c r="J805" s="1" t="s">
        <v>51</v>
      </c>
      <c r="K805" s="1" t="s">
        <v>2290</v>
      </c>
      <c r="L805" s="2">
        <v>11685.48</v>
      </c>
      <c r="M805">
        <f t="shared" si="36"/>
        <v>4383.6605849520001</v>
      </c>
      <c r="N805">
        <f t="shared" si="37"/>
        <v>588.41081677208058</v>
      </c>
      <c r="O805" t="str">
        <f t="shared" si="38"/>
        <v>FJERN</v>
      </c>
      <c r="P805" s="1" t="s">
        <v>5879</v>
      </c>
    </row>
    <row r="806" spans="1:16" ht="15" customHeight="1" x14ac:dyDescent="0.2">
      <c r="A806" s="1" t="s">
        <v>2291</v>
      </c>
      <c r="B806" s="1" t="s">
        <v>2292</v>
      </c>
      <c r="C806" s="1" t="s">
        <v>2</v>
      </c>
      <c r="D806" s="1" t="s">
        <v>3</v>
      </c>
      <c r="E806" s="5">
        <v>39052</v>
      </c>
      <c r="F806" s="5">
        <v>43964</v>
      </c>
      <c r="G806" s="2">
        <v>1.1328609999999999</v>
      </c>
      <c r="H806" s="1" t="s">
        <v>4</v>
      </c>
      <c r="I806" s="2"/>
      <c r="J806" s="1" t="s">
        <v>61</v>
      </c>
      <c r="K806" s="1" t="s">
        <v>2293</v>
      </c>
      <c r="L806" s="2">
        <v>104442.7</v>
      </c>
      <c r="M806">
        <f t="shared" si="36"/>
        <v>118319.06156469998</v>
      </c>
      <c r="N806">
        <f t="shared" si="37"/>
        <v>15881.75323016107</v>
      </c>
      <c r="O806" t="str">
        <f t="shared" si="38"/>
        <v>FJERN</v>
      </c>
      <c r="P806" s="1" t="s">
        <v>5880</v>
      </c>
    </row>
    <row r="807" spans="1:16" ht="15" customHeight="1" x14ac:dyDescent="0.2">
      <c r="A807" s="1" t="s">
        <v>2294</v>
      </c>
      <c r="B807" s="1" t="s">
        <v>2295</v>
      </c>
      <c r="C807" s="1" t="s">
        <v>9</v>
      </c>
      <c r="D807" s="1" t="s">
        <v>3</v>
      </c>
      <c r="E807" s="5">
        <v>39049</v>
      </c>
      <c r="F807" s="5">
        <v>43546</v>
      </c>
      <c r="G807" s="2">
        <v>30.238099999999999</v>
      </c>
      <c r="H807" s="1" t="s">
        <v>10</v>
      </c>
      <c r="I807" s="2"/>
      <c r="J807" s="1" t="s">
        <v>167</v>
      </c>
      <c r="K807" s="1" t="s">
        <v>2296</v>
      </c>
      <c r="L807" s="2">
        <v>198385.1</v>
      </c>
      <c r="M807">
        <f t="shared" si="36"/>
        <v>5998788.4923099997</v>
      </c>
      <c r="N807">
        <f t="shared" si="37"/>
        <v>530866.23825752211</v>
      </c>
      <c r="O807" t="str">
        <f t="shared" si="38"/>
        <v>BEHOLD</v>
      </c>
      <c r="P807" s="1" t="s">
        <v>5881</v>
      </c>
    </row>
    <row r="808" spans="1:16" ht="15" customHeight="1" x14ac:dyDescent="0.2">
      <c r="A808" s="1" t="s">
        <v>2297</v>
      </c>
      <c r="B808" s="1" t="s">
        <v>2298</v>
      </c>
      <c r="C808" s="1" t="s">
        <v>2</v>
      </c>
      <c r="D808" s="1" t="s">
        <v>3</v>
      </c>
      <c r="E808" s="5">
        <v>39063</v>
      </c>
      <c r="F808" s="5">
        <v>46155</v>
      </c>
      <c r="G808" s="2">
        <v>58.731409999999997</v>
      </c>
      <c r="H808" s="1" t="s">
        <v>4</v>
      </c>
      <c r="I808" s="2">
        <v>907.58843000000002</v>
      </c>
      <c r="J808" s="1" t="s">
        <v>5</v>
      </c>
      <c r="K808" s="1" t="s">
        <v>2299</v>
      </c>
      <c r="L808" s="2">
        <v>3484.9520000000002</v>
      </c>
      <c r="M808">
        <f t="shared" si="36"/>
        <v>204676.14474232</v>
      </c>
      <c r="N808">
        <f t="shared" si="37"/>
        <v>27473.308019103355</v>
      </c>
      <c r="O808" t="str">
        <f t="shared" si="38"/>
        <v>FJERN</v>
      </c>
      <c r="P808" s="1" t="s">
        <v>5882</v>
      </c>
    </row>
    <row r="809" spans="1:16" ht="15" customHeight="1" x14ac:dyDescent="0.2">
      <c r="A809" s="1" t="s">
        <v>2300</v>
      </c>
      <c r="B809" s="1" t="s">
        <v>2301</v>
      </c>
      <c r="C809" s="1" t="s">
        <v>2</v>
      </c>
      <c r="D809" s="1" t="s">
        <v>3</v>
      </c>
      <c r="E809" s="5">
        <v>39035</v>
      </c>
      <c r="F809" s="5">
        <v>40133</v>
      </c>
      <c r="G809" s="2">
        <v>5.6148309999999997</v>
      </c>
      <c r="H809" s="1" t="s">
        <v>4</v>
      </c>
      <c r="I809" s="2"/>
      <c r="J809" s="1" t="s">
        <v>38</v>
      </c>
      <c r="K809" s="1" t="s">
        <v>2302</v>
      </c>
      <c r="L809" s="2">
        <v>10388.65</v>
      </c>
      <c r="M809">
        <f t="shared" si="36"/>
        <v>58330.514068149998</v>
      </c>
      <c r="N809">
        <f t="shared" si="37"/>
        <v>7829.5992037785227</v>
      </c>
      <c r="O809" t="str">
        <f t="shared" si="38"/>
        <v>FJERN</v>
      </c>
      <c r="P809" s="1" t="s">
        <v>5883</v>
      </c>
    </row>
    <row r="810" spans="1:16" ht="15" customHeight="1" x14ac:dyDescent="0.2">
      <c r="A810" s="1" t="s">
        <v>2303</v>
      </c>
      <c r="B810" s="1" t="s">
        <v>2304</v>
      </c>
      <c r="C810" s="1" t="s">
        <v>9</v>
      </c>
      <c r="D810" s="1" t="s">
        <v>3</v>
      </c>
      <c r="E810" s="5">
        <v>39052</v>
      </c>
      <c r="F810" s="5">
        <v>46155</v>
      </c>
      <c r="G810" s="2">
        <v>112.7081</v>
      </c>
      <c r="H810" s="1" t="s">
        <v>10</v>
      </c>
      <c r="I810" s="2">
        <v>16054.2874584407</v>
      </c>
      <c r="J810" s="1" t="s">
        <v>23</v>
      </c>
      <c r="K810" s="1" t="s">
        <v>2305</v>
      </c>
      <c r="L810" s="2">
        <v>165230.79999999999</v>
      </c>
      <c r="M810">
        <f t="shared" si="36"/>
        <v>18622849.529479999</v>
      </c>
      <c r="N810">
        <f t="shared" si="37"/>
        <v>1648039.7813699113</v>
      </c>
      <c r="O810" t="str">
        <f t="shared" si="38"/>
        <v>BEHOLD</v>
      </c>
      <c r="P810" s="1" t="s">
        <v>5884</v>
      </c>
    </row>
    <row r="811" spans="1:16" ht="15" customHeight="1" x14ac:dyDescent="0.2">
      <c r="A811" s="1" t="s">
        <v>2306</v>
      </c>
      <c r="B811" s="1" t="s">
        <v>2307</v>
      </c>
      <c r="C811" s="1" t="s">
        <v>2</v>
      </c>
      <c r="D811" s="1" t="s">
        <v>3</v>
      </c>
      <c r="E811" s="5">
        <v>39069</v>
      </c>
      <c r="F811" s="5">
        <v>46155</v>
      </c>
      <c r="G811" s="2">
        <v>216.6104</v>
      </c>
      <c r="H811" s="1" t="s">
        <v>4</v>
      </c>
      <c r="I811" s="2">
        <v>10171.748975500001</v>
      </c>
      <c r="J811" s="1" t="s">
        <v>64</v>
      </c>
      <c r="K811" s="1" t="s">
        <v>2308</v>
      </c>
      <c r="L811" s="2">
        <v>41626.879999999997</v>
      </c>
      <c r="M811">
        <f t="shared" si="36"/>
        <v>9016815.1275519989</v>
      </c>
      <c r="N811">
        <f t="shared" si="37"/>
        <v>1210310.7553761073</v>
      </c>
      <c r="O811" t="str">
        <f t="shared" si="38"/>
        <v>BEHOLD</v>
      </c>
      <c r="P811" s="1" t="s">
        <v>5885</v>
      </c>
    </row>
    <row r="812" spans="1:16" ht="15" customHeight="1" x14ac:dyDescent="0.2">
      <c r="A812" s="1" t="s">
        <v>2309</v>
      </c>
      <c r="B812" s="1" t="s">
        <v>2310</v>
      </c>
      <c r="C812" s="1" t="s">
        <v>2</v>
      </c>
      <c r="D812" s="1" t="s">
        <v>3</v>
      </c>
      <c r="E812" s="5">
        <v>39051</v>
      </c>
      <c r="F812" s="5">
        <v>40541</v>
      </c>
      <c r="G812" s="2">
        <v>1.0002470000000001</v>
      </c>
      <c r="H812" s="1" t="s">
        <v>4</v>
      </c>
      <c r="I812" s="2"/>
      <c r="J812" s="1" t="s">
        <v>64</v>
      </c>
      <c r="K812" s="1" t="s">
        <v>2311</v>
      </c>
      <c r="L812" s="2">
        <v>7941.0389999999998</v>
      </c>
      <c r="M812">
        <f t="shared" si="36"/>
        <v>7943.0004366330004</v>
      </c>
      <c r="N812">
        <f t="shared" si="37"/>
        <v>1066.1745552527518</v>
      </c>
      <c r="O812" t="str">
        <f t="shared" si="38"/>
        <v>FJERN</v>
      </c>
      <c r="P812" s="1" t="s">
        <v>5886</v>
      </c>
    </row>
    <row r="813" spans="1:16" ht="15" customHeight="1" x14ac:dyDescent="0.2">
      <c r="A813" s="1" t="s">
        <v>2312</v>
      </c>
      <c r="B813" s="1" t="s">
        <v>2313</v>
      </c>
      <c r="C813" s="1" t="s">
        <v>2</v>
      </c>
      <c r="D813" s="1" t="s">
        <v>3</v>
      </c>
      <c r="E813" s="5">
        <v>39071</v>
      </c>
      <c r="F813" s="5">
        <v>43028</v>
      </c>
      <c r="G813" s="2">
        <v>0.15782689999999999</v>
      </c>
      <c r="H813" s="1" t="s">
        <v>4</v>
      </c>
      <c r="I813" s="2"/>
      <c r="J813" s="1" t="s">
        <v>236</v>
      </c>
      <c r="K813" s="1" t="s">
        <v>2314</v>
      </c>
      <c r="L813" s="2">
        <v>95819.97</v>
      </c>
      <c r="M813">
        <f t="shared" si="36"/>
        <v>15122.968823192999</v>
      </c>
      <c r="N813">
        <f t="shared" si="37"/>
        <v>2029.9287010997314</v>
      </c>
      <c r="O813" t="str">
        <f t="shared" si="38"/>
        <v>FJERN</v>
      </c>
      <c r="P813" s="1" t="s">
        <v>5887</v>
      </c>
    </row>
    <row r="814" spans="1:16" ht="15" customHeight="1" x14ac:dyDescent="0.2">
      <c r="A814" s="1" t="s">
        <v>2315</v>
      </c>
      <c r="B814" s="1" t="s">
        <v>2316</v>
      </c>
      <c r="C814" s="1" t="s">
        <v>9</v>
      </c>
      <c r="D814" s="1" t="s">
        <v>3</v>
      </c>
      <c r="E814" s="5">
        <v>39066</v>
      </c>
      <c r="F814" s="5">
        <v>46155</v>
      </c>
      <c r="G814" s="2">
        <v>12.78828</v>
      </c>
      <c r="H814" s="1" t="s">
        <v>10</v>
      </c>
      <c r="I814" s="2">
        <v>263.29905000000002</v>
      </c>
      <c r="J814" s="1" t="s">
        <v>167</v>
      </c>
      <c r="K814" s="1" t="s">
        <v>2317</v>
      </c>
      <c r="L814" s="2">
        <v>9973.4159999999993</v>
      </c>
      <c r="M814">
        <f t="shared" si="36"/>
        <v>127542.83636448</v>
      </c>
      <c r="N814">
        <f t="shared" si="37"/>
        <v>11286.976669423007</v>
      </c>
      <c r="O814" t="str">
        <f t="shared" si="38"/>
        <v>FJERN</v>
      </c>
      <c r="P814" s="1" t="s">
        <v>5888</v>
      </c>
    </row>
    <row r="815" spans="1:16" ht="15" customHeight="1" x14ac:dyDescent="0.2">
      <c r="A815" s="1" t="s">
        <v>2318</v>
      </c>
      <c r="B815" s="1" t="s">
        <v>2319</v>
      </c>
      <c r="C815" s="1" t="s">
        <v>9</v>
      </c>
      <c r="D815" s="1" t="s">
        <v>3</v>
      </c>
      <c r="E815" s="5">
        <v>39108</v>
      </c>
      <c r="F815" s="5">
        <v>39437</v>
      </c>
      <c r="G815" s="2"/>
      <c r="H815" s="1" t="s">
        <v>10</v>
      </c>
      <c r="I815" s="2"/>
      <c r="J815" s="1" t="s">
        <v>76</v>
      </c>
      <c r="K815" s="1" t="s">
        <v>2320</v>
      </c>
      <c r="L815" s="2"/>
      <c r="M815" t="str">
        <f t="shared" si="36"/>
        <v/>
      </c>
      <c r="N815" t="str">
        <f t="shared" si="37"/>
        <v/>
      </c>
      <c r="O815" t="str">
        <f t="shared" si="38"/>
        <v>FJERN</v>
      </c>
      <c r="P815" s="1" t="s">
        <v>5889</v>
      </c>
    </row>
    <row r="816" spans="1:16" ht="15" customHeight="1" x14ac:dyDescent="0.2">
      <c r="A816" s="1" t="s">
        <v>2321</v>
      </c>
      <c r="B816" s="1" t="s">
        <v>2322</v>
      </c>
      <c r="C816" s="1" t="s">
        <v>2</v>
      </c>
      <c r="D816" s="1" t="s">
        <v>3</v>
      </c>
      <c r="E816" s="5">
        <v>39064</v>
      </c>
      <c r="F816" s="5">
        <v>40142</v>
      </c>
      <c r="G816" s="2">
        <v>8.7756670000000003</v>
      </c>
      <c r="H816" s="1" t="s">
        <v>4</v>
      </c>
      <c r="I816" s="2"/>
      <c r="J816" s="1" t="s">
        <v>5</v>
      </c>
      <c r="K816" s="1" t="s">
        <v>2323</v>
      </c>
      <c r="L816" s="2">
        <v>2158.1999999999998</v>
      </c>
      <c r="M816">
        <f t="shared" si="36"/>
        <v>18939.644519400001</v>
      </c>
      <c r="N816">
        <f t="shared" si="37"/>
        <v>2542.2341636778524</v>
      </c>
      <c r="O816" t="str">
        <f t="shared" si="38"/>
        <v>FJERN</v>
      </c>
      <c r="P816" s="1" t="s">
        <v>5890</v>
      </c>
    </row>
    <row r="817" spans="1:16" ht="15" customHeight="1" x14ac:dyDescent="0.2">
      <c r="A817" s="1" t="s">
        <v>2324</v>
      </c>
      <c r="B817" s="1" t="s">
        <v>2325</v>
      </c>
      <c r="C817" s="1" t="s">
        <v>9</v>
      </c>
      <c r="D817" s="1" t="s">
        <v>3</v>
      </c>
      <c r="E817" s="5">
        <v>39070</v>
      </c>
      <c r="F817" s="5">
        <v>40841</v>
      </c>
      <c r="G817" s="2">
        <v>5.7639760000000004</v>
      </c>
      <c r="H817" s="1" t="s">
        <v>10</v>
      </c>
      <c r="I817" s="2"/>
      <c r="J817" s="1" t="s">
        <v>30</v>
      </c>
      <c r="K817" s="1" t="s">
        <v>2326</v>
      </c>
      <c r="L817" s="2">
        <v>42607.02</v>
      </c>
      <c r="M817">
        <f t="shared" si="36"/>
        <v>245585.84071152</v>
      </c>
      <c r="N817">
        <f t="shared" si="37"/>
        <v>21733.260239957519</v>
      </c>
      <c r="O817" t="str">
        <f t="shared" si="38"/>
        <v>FJERN</v>
      </c>
      <c r="P817" s="1" t="s">
        <v>5891</v>
      </c>
    </row>
    <row r="818" spans="1:16" ht="15" customHeight="1" x14ac:dyDescent="0.2">
      <c r="A818" s="1" t="s">
        <v>2327</v>
      </c>
      <c r="B818" s="1" t="s">
        <v>2328</v>
      </c>
      <c r="C818" s="1" t="s">
        <v>9</v>
      </c>
      <c r="D818" s="1" t="s">
        <v>3</v>
      </c>
      <c r="E818" s="5">
        <v>39069</v>
      </c>
      <c r="F818" s="5">
        <v>40793</v>
      </c>
      <c r="G818" s="2">
        <v>2.0223710000000001</v>
      </c>
      <c r="H818" s="1" t="s">
        <v>10</v>
      </c>
      <c r="I818" s="2"/>
      <c r="J818" s="1" t="s">
        <v>61</v>
      </c>
      <c r="K818" s="1" t="s">
        <v>2329</v>
      </c>
      <c r="L818" s="2">
        <v>24386.720000000001</v>
      </c>
      <c r="M818">
        <f t="shared" si="36"/>
        <v>49318.995313120009</v>
      </c>
      <c r="N818">
        <f t="shared" si="37"/>
        <v>4364.5128595681417</v>
      </c>
      <c r="O818" t="str">
        <f t="shared" si="38"/>
        <v>FJERN</v>
      </c>
      <c r="P818" s="1" t="s">
        <v>5892</v>
      </c>
    </row>
    <row r="819" spans="1:16" ht="15" customHeight="1" x14ac:dyDescent="0.2">
      <c r="A819" s="1" t="s">
        <v>2330</v>
      </c>
      <c r="B819" s="1" t="s">
        <v>2331</v>
      </c>
      <c r="C819" s="1" t="s">
        <v>2</v>
      </c>
      <c r="D819" s="1" t="s">
        <v>3</v>
      </c>
      <c r="E819" s="5">
        <v>39125</v>
      </c>
      <c r="F819" s="5">
        <v>43880</v>
      </c>
      <c r="G819" s="2">
        <v>1688.319</v>
      </c>
      <c r="H819" s="1" t="s">
        <v>4</v>
      </c>
      <c r="I819" s="2"/>
      <c r="J819" s="1" t="s">
        <v>76</v>
      </c>
      <c r="K819" s="1" t="s">
        <v>2332</v>
      </c>
      <c r="L819" s="2">
        <v>35.70478</v>
      </c>
      <c r="M819">
        <f t="shared" si="36"/>
        <v>60281.058464819995</v>
      </c>
      <c r="N819">
        <f t="shared" si="37"/>
        <v>8091.417243599999</v>
      </c>
      <c r="O819" t="str">
        <f t="shared" si="38"/>
        <v>FJERN</v>
      </c>
      <c r="P819" s="1" t="s">
        <v>5893</v>
      </c>
    </row>
    <row r="820" spans="1:16" ht="15" customHeight="1" x14ac:dyDescent="0.2">
      <c r="A820" s="1" t="s">
        <v>2333</v>
      </c>
      <c r="B820" s="1" t="s">
        <v>2334</v>
      </c>
      <c r="C820" s="1" t="s">
        <v>9</v>
      </c>
      <c r="D820" s="1" t="s">
        <v>3</v>
      </c>
      <c r="E820" s="1"/>
      <c r="F820" s="1"/>
      <c r="G820" s="2"/>
      <c r="H820" s="1" t="s">
        <v>10</v>
      </c>
      <c r="I820" s="2"/>
      <c r="J820" s="1" t="s">
        <v>167</v>
      </c>
      <c r="K820" s="1" t="s">
        <v>2335</v>
      </c>
      <c r="L820" s="2"/>
      <c r="M820" t="str">
        <f t="shared" si="36"/>
        <v/>
      </c>
      <c r="N820" t="str">
        <f t="shared" si="37"/>
        <v/>
      </c>
      <c r="O820" t="str">
        <f t="shared" si="38"/>
        <v>FJERN</v>
      </c>
      <c r="P820" s="1"/>
    </row>
    <row r="821" spans="1:16" ht="15" customHeight="1" x14ac:dyDescent="0.2">
      <c r="A821" s="1" t="s">
        <v>2336</v>
      </c>
      <c r="B821" s="1" t="s">
        <v>2337</v>
      </c>
      <c r="C821" s="1" t="s">
        <v>9</v>
      </c>
      <c r="D821" s="1" t="s">
        <v>3</v>
      </c>
      <c r="E821" s="5">
        <v>39105</v>
      </c>
      <c r="F821" s="5">
        <v>46155</v>
      </c>
      <c r="G821" s="2">
        <v>30.520990000000001</v>
      </c>
      <c r="H821" s="1" t="s">
        <v>10</v>
      </c>
      <c r="I821" s="2">
        <v>143.72864000000001</v>
      </c>
      <c r="J821" s="1" t="s">
        <v>64</v>
      </c>
      <c r="K821" s="1" t="s">
        <v>2338</v>
      </c>
      <c r="L821" s="2">
        <v>3247.6390000000001</v>
      </c>
      <c r="M821">
        <f t="shared" si="36"/>
        <v>99121.157442610012</v>
      </c>
      <c r="N821">
        <f t="shared" si="37"/>
        <v>8771.7838444787612</v>
      </c>
      <c r="O821" t="str">
        <f t="shared" si="38"/>
        <v>FJERN</v>
      </c>
      <c r="P821" s="1" t="s">
        <v>5894</v>
      </c>
    </row>
    <row r="822" spans="1:16" ht="15" customHeight="1" x14ac:dyDescent="0.2">
      <c r="A822" s="1" t="s">
        <v>2339</v>
      </c>
      <c r="B822" s="1" t="s">
        <v>2340</v>
      </c>
      <c r="C822" s="1" t="s">
        <v>2341</v>
      </c>
      <c r="D822" s="1" t="s">
        <v>3</v>
      </c>
      <c r="E822" s="1"/>
      <c r="F822" s="1"/>
      <c r="G822" s="2"/>
      <c r="H822" s="1" t="s">
        <v>10</v>
      </c>
      <c r="I822" s="2"/>
      <c r="J822" s="1"/>
      <c r="K822" s="1" t="s">
        <v>2342</v>
      </c>
      <c r="L822" s="2"/>
      <c r="M822" t="str">
        <f t="shared" si="36"/>
        <v/>
      </c>
      <c r="N822" t="str">
        <f t="shared" si="37"/>
        <v/>
      </c>
      <c r="O822" t="str">
        <f t="shared" si="38"/>
        <v>FJERN</v>
      </c>
      <c r="P822" s="1"/>
    </row>
    <row r="823" spans="1:16" ht="15" customHeight="1" x14ac:dyDescent="0.2">
      <c r="A823" s="1" t="s">
        <v>2343</v>
      </c>
      <c r="B823" s="1" t="s">
        <v>2344</v>
      </c>
      <c r="C823" s="1" t="s">
        <v>9</v>
      </c>
      <c r="D823" s="1" t="s">
        <v>3</v>
      </c>
      <c r="E823" s="5">
        <v>31267</v>
      </c>
      <c r="F823" s="5">
        <v>46155</v>
      </c>
      <c r="G823" s="2">
        <v>172.7576</v>
      </c>
      <c r="H823" s="1" t="s">
        <v>10</v>
      </c>
      <c r="I823" s="2">
        <v>111925.2925144</v>
      </c>
      <c r="J823" s="1" t="s">
        <v>86</v>
      </c>
      <c r="K823" s="1" t="s">
        <v>2345</v>
      </c>
      <c r="L823" s="2">
        <v>2207828</v>
      </c>
      <c r="M823">
        <f t="shared" si="36"/>
        <v>381419066.4928</v>
      </c>
      <c r="N823">
        <f t="shared" si="37"/>
        <v>33753899.689628318</v>
      </c>
      <c r="O823" t="str">
        <f t="shared" si="38"/>
        <v>BEHOLD</v>
      </c>
      <c r="P823" s="1" t="s">
        <v>5895</v>
      </c>
    </row>
    <row r="824" spans="1:16" ht="15" customHeight="1" x14ac:dyDescent="0.2">
      <c r="A824" s="1" t="s">
        <v>2346</v>
      </c>
      <c r="B824" s="1" t="s">
        <v>2347</v>
      </c>
      <c r="C824" s="1" t="s">
        <v>9</v>
      </c>
      <c r="D824" s="1" t="s">
        <v>3</v>
      </c>
      <c r="E824" s="5">
        <v>31049</v>
      </c>
      <c r="F824" s="5">
        <v>46155</v>
      </c>
      <c r="G824" s="2">
        <v>147.18979999999999</v>
      </c>
      <c r="H824" s="1" t="s">
        <v>10</v>
      </c>
      <c r="I824" s="2">
        <v>601698.47165560001</v>
      </c>
      <c r="J824" s="1" t="s">
        <v>23</v>
      </c>
      <c r="K824" s="1" t="s">
        <v>2348</v>
      </c>
      <c r="L824" s="2">
        <v>6224648</v>
      </c>
      <c r="M824">
        <f t="shared" si="36"/>
        <v>916204694.19039989</v>
      </c>
      <c r="N824">
        <f t="shared" si="37"/>
        <v>81080061.432778746</v>
      </c>
      <c r="O824" t="str">
        <f t="shared" si="38"/>
        <v>BEHOLD</v>
      </c>
      <c r="P824" s="1" t="s">
        <v>5896</v>
      </c>
    </row>
    <row r="825" spans="1:16" ht="15" customHeight="1" x14ac:dyDescent="0.2">
      <c r="A825" s="1" t="s">
        <v>2349</v>
      </c>
      <c r="B825" s="1" t="s">
        <v>2350</v>
      </c>
      <c r="C825" s="1" t="s">
        <v>2</v>
      </c>
      <c r="D825" s="1" t="s">
        <v>3</v>
      </c>
      <c r="E825" s="5">
        <v>39028</v>
      </c>
      <c r="F825" s="5">
        <v>41831</v>
      </c>
      <c r="G825" s="2">
        <v>0.1526517</v>
      </c>
      <c r="H825" s="1" t="s">
        <v>4</v>
      </c>
      <c r="I825" s="2"/>
      <c r="J825" s="1" t="s">
        <v>289</v>
      </c>
      <c r="K825" s="1" t="s">
        <v>2351</v>
      </c>
      <c r="L825" s="2">
        <v>128072.8</v>
      </c>
      <c r="M825">
        <f t="shared" si="36"/>
        <v>19550.530643760001</v>
      </c>
      <c r="N825">
        <f t="shared" si="37"/>
        <v>2624.232301175839</v>
      </c>
      <c r="O825" t="str">
        <f t="shared" si="38"/>
        <v>FJERN</v>
      </c>
      <c r="P825" s="1" t="s">
        <v>5897</v>
      </c>
    </row>
    <row r="826" spans="1:16" ht="15" customHeight="1" x14ac:dyDescent="0.2">
      <c r="A826" s="1" t="s">
        <v>2352</v>
      </c>
      <c r="B826" s="1" t="s">
        <v>2353</v>
      </c>
      <c r="C826" s="1" t="s">
        <v>2</v>
      </c>
      <c r="D826" s="1" t="s">
        <v>3</v>
      </c>
      <c r="E826" s="5">
        <v>39122</v>
      </c>
      <c r="F826" s="5">
        <v>41127</v>
      </c>
      <c r="G826" s="2">
        <v>0.51992490000000002</v>
      </c>
      <c r="H826" s="1" t="s">
        <v>4</v>
      </c>
      <c r="I826" s="2"/>
      <c r="J826" s="1" t="s">
        <v>76</v>
      </c>
      <c r="K826" s="1" t="s">
        <v>2354</v>
      </c>
      <c r="L826" s="2">
        <v>1052.9770000000001</v>
      </c>
      <c r="M826">
        <f t="shared" si="36"/>
        <v>547.46896142730009</v>
      </c>
      <c r="N826">
        <f t="shared" si="37"/>
        <v>73.48576663453693</v>
      </c>
      <c r="O826" t="str">
        <f t="shared" si="38"/>
        <v>FJERN</v>
      </c>
      <c r="P826" s="1" t="s">
        <v>5898</v>
      </c>
    </row>
    <row r="827" spans="1:16" ht="15" customHeight="1" x14ac:dyDescent="0.2">
      <c r="A827" s="1" t="s">
        <v>2355</v>
      </c>
      <c r="B827" s="1" t="s">
        <v>2356</v>
      </c>
      <c r="C827" s="1" t="s">
        <v>9</v>
      </c>
      <c r="D827" s="1" t="s">
        <v>3</v>
      </c>
      <c r="E827" s="5">
        <v>39156</v>
      </c>
      <c r="F827" s="5">
        <v>40963</v>
      </c>
      <c r="G827" s="2">
        <v>4.8790710000000001E-2</v>
      </c>
      <c r="H827" s="1" t="s">
        <v>10</v>
      </c>
      <c r="I827" s="2"/>
      <c r="J827" s="1" t="s">
        <v>76</v>
      </c>
      <c r="K827" s="1" t="s">
        <v>2357</v>
      </c>
      <c r="L827" s="2">
        <v>188743.6</v>
      </c>
      <c r="M827">
        <f t="shared" si="36"/>
        <v>9208.9342519559996</v>
      </c>
      <c r="N827">
        <f t="shared" si="37"/>
        <v>814.9499338014158</v>
      </c>
      <c r="O827" t="str">
        <f t="shared" si="38"/>
        <v>FJERN</v>
      </c>
      <c r="P827" s="1"/>
    </row>
    <row r="828" spans="1:16" ht="15" customHeight="1" x14ac:dyDescent="0.2">
      <c r="A828" s="1" t="s">
        <v>2358</v>
      </c>
      <c r="B828" s="1" t="s">
        <v>2359</v>
      </c>
      <c r="C828" s="1" t="s">
        <v>9</v>
      </c>
      <c r="D828" s="1" t="s">
        <v>3</v>
      </c>
      <c r="E828" s="5">
        <v>35157</v>
      </c>
      <c r="F828" s="5">
        <v>41795</v>
      </c>
      <c r="G828" s="2">
        <v>124.9057</v>
      </c>
      <c r="H828" s="1" t="s">
        <v>10</v>
      </c>
      <c r="I828" s="2"/>
      <c r="J828" s="1" t="s">
        <v>23</v>
      </c>
      <c r="K828" s="1" t="s">
        <v>2360</v>
      </c>
      <c r="L828" s="2">
        <v>1412055</v>
      </c>
      <c r="M828">
        <f t="shared" si="36"/>
        <v>176373718.21349999</v>
      </c>
      <c r="N828">
        <f t="shared" si="37"/>
        <v>15608293.647212388</v>
      </c>
      <c r="O828" t="str">
        <f t="shared" si="38"/>
        <v>BEHOLD</v>
      </c>
      <c r="P828" s="1" t="s">
        <v>5899</v>
      </c>
    </row>
    <row r="829" spans="1:16" ht="15" customHeight="1" x14ac:dyDescent="0.2">
      <c r="A829" s="1" t="s">
        <v>2361</v>
      </c>
      <c r="B829" s="1" t="s">
        <v>2362</v>
      </c>
      <c r="C829" s="1" t="s">
        <v>2</v>
      </c>
      <c r="D829" s="1" t="s">
        <v>3</v>
      </c>
      <c r="E829" s="5">
        <v>39126</v>
      </c>
      <c r="F829" s="5">
        <v>45120</v>
      </c>
      <c r="G829" s="2">
        <v>4.3681739999999998</v>
      </c>
      <c r="H829" s="1" t="s">
        <v>4</v>
      </c>
      <c r="I829" s="2"/>
      <c r="J829" s="1" t="s">
        <v>236</v>
      </c>
      <c r="K829" s="1" t="s">
        <v>2363</v>
      </c>
      <c r="L829" s="2">
        <v>1114.979</v>
      </c>
      <c r="M829">
        <f t="shared" si="36"/>
        <v>4870.422278346</v>
      </c>
      <c r="N829">
        <f t="shared" si="37"/>
        <v>653.74795682496642</v>
      </c>
      <c r="O829" t="str">
        <f t="shared" si="38"/>
        <v>FJERN</v>
      </c>
      <c r="P829" s="1" t="s">
        <v>5900</v>
      </c>
    </row>
    <row r="830" spans="1:16" ht="15" customHeight="1" x14ac:dyDescent="0.2">
      <c r="A830" s="1" t="s">
        <v>2364</v>
      </c>
      <c r="B830" s="1" t="s">
        <v>2365</v>
      </c>
      <c r="C830" s="1" t="s">
        <v>9</v>
      </c>
      <c r="D830" s="1" t="s">
        <v>3</v>
      </c>
      <c r="E830" s="5">
        <v>35724</v>
      </c>
      <c r="F830" s="5">
        <v>40535</v>
      </c>
      <c r="G830" s="2">
        <v>50.796880000000002</v>
      </c>
      <c r="H830" s="1" t="s">
        <v>10</v>
      </c>
      <c r="I830" s="2"/>
      <c r="J830" s="1" t="s">
        <v>23</v>
      </c>
      <c r="K830" s="1" t="s">
        <v>2366</v>
      </c>
      <c r="L830" s="2">
        <v>176382.6</v>
      </c>
      <c r="M830">
        <f t="shared" si="36"/>
        <v>8959685.7662880011</v>
      </c>
      <c r="N830">
        <f t="shared" si="37"/>
        <v>792892.54568920354</v>
      </c>
      <c r="O830" t="str">
        <f t="shared" si="38"/>
        <v>BEHOLD</v>
      </c>
      <c r="P830" s="1" t="s">
        <v>5901</v>
      </c>
    </row>
    <row r="831" spans="1:16" ht="15" customHeight="1" x14ac:dyDescent="0.2">
      <c r="A831" s="1" t="s">
        <v>2367</v>
      </c>
      <c r="B831" s="1" t="s">
        <v>2368</v>
      </c>
      <c r="C831" s="1" t="s">
        <v>2</v>
      </c>
      <c r="D831" s="1" t="s">
        <v>3</v>
      </c>
      <c r="E831" s="5">
        <v>32107</v>
      </c>
      <c r="F831" s="5">
        <v>41653</v>
      </c>
      <c r="G831" s="2">
        <v>55.14667</v>
      </c>
      <c r="H831" s="1" t="s">
        <v>4</v>
      </c>
      <c r="I831" s="2"/>
      <c r="J831" s="1" t="s">
        <v>15</v>
      </c>
      <c r="K831" s="1" t="s">
        <v>2369</v>
      </c>
      <c r="L831" s="2">
        <v>5257.4750000000004</v>
      </c>
      <c r="M831">
        <f t="shared" si="36"/>
        <v>289932.23885825003</v>
      </c>
      <c r="N831">
        <f t="shared" si="37"/>
        <v>38917.079041375844</v>
      </c>
      <c r="O831" t="str">
        <f t="shared" si="38"/>
        <v>FJERN</v>
      </c>
      <c r="P831" s="1" t="s">
        <v>5902</v>
      </c>
    </row>
    <row r="832" spans="1:16" ht="15" customHeight="1" x14ac:dyDescent="0.2">
      <c r="A832" s="1" t="s">
        <v>2370</v>
      </c>
      <c r="B832" s="1" t="s">
        <v>2371</v>
      </c>
      <c r="C832" s="1" t="s">
        <v>9</v>
      </c>
      <c r="D832" s="1" t="s">
        <v>3</v>
      </c>
      <c r="E832" s="5">
        <v>39142</v>
      </c>
      <c r="F832" s="5">
        <v>44183</v>
      </c>
      <c r="G832" s="2">
        <v>17.788450000000001</v>
      </c>
      <c r="H832" s="1" t="s">
        <v>10</v>
      </c>
      <c r="I832" s="2"/>
      <c r="J832" s="1" t="s">
        <v>391</v>
      </c>
      <c r="K832" s="1" t="s">
        <v>2372</v>
      </c>
      <c r="L832" s="2">
        <v>14666.69</v>
      </c>
      <c r="M832">
        <f t="shared" si="36"/>
        <v>260897.68173050001</v>
      </c>
      <c r="N832">
        <f t="shared" si="37"/>
        <v>23088.290418628319</v>
      </c>
      <c r="O832" t="str">
        <f t="shared" si="38"/>
        <v>FJERN</v>
      </c>
      <c r="P832" s="1" t="s">
        <v>5903</v>
      </c>
    </row>
    <row r="833" spans="1:16" ht="15" customHeight="1" x14ac:dyDescent="0.2">
      <c r="A833" s="1" t="s">
        <v>2373</v>
      </c>
      <c r="B833" s="1" t="s">
        <v>2374</v>
      </c>
      <c r="C833" s="1" t="s">
        <v>2</v>
      </c>
      <c r="D833" s="1" t="s">
        <v>3</v>
      </c>
      <c r="E833" s="5">
        <v>40487</v>
      </c>
      <c r="F833" s="5">
        <v>40718</v>
      </c>
      <c r="G833" s="2">
        <v>43.913499999999999</v>
      </c>
      <c r="H833" s="1" t="s">
        <v>4</v>
      </c>
      <c r="I833" s="2"/>
      <c r="J833" s="1" t="s">
        <v>76</v>
      </c>
      <c r="K833" s="1" t="s">
        <v>2375</v>
      </c>
      <c r="L833" s="2">
        <v>989.57529999999997</v>
      </c>
      <c r="M833">
        <f t="shared" si="36"/>
        <v>43455.714936550001</v>
      </c>
      <c r="N833">
        <f t="shared" si="37"/>
        <v>5832.9818706778524</v>
      </c>
      <c r="O833" t="str">
        <f t="shared" si="38"/>
        <v>FJERN</v>
      </c>
      <c r="P833" s="1" t="s">
        <v>5904</v>
      </c>
    </row>
    <row r="834" spans="1:16" ht="15" customHeight="1" x14ac:dyDescent="0.2">
      <c r="A834" s="1" t="s">
        <v>2376</v>
      </c>
      <c r="B834" s="1" t="s">
        <v>2377</v>
      </c>
      <c r="C834" s="1" t="s">
        <v>9</v>
      </c>
      <c r="D834" s="1" t="s">
        <v>3</v>
      </c>
      <c r="E834" s="5">
        <v>39216</v>
      </c>
      <c r="F834" s="5">
        <v>40246</v>
      </c>
      <c r="G834" s="2">
        <v>0.2634784</v>
      </c>
      <c r="H834" s="1" t="s">
        <v>10</v>
      </c>
      <c r="I834" s="2"/>
      <c r="J834" s="1" t="s">
        <v>184</v>
      </c>
      <c r="K834" s="1" t="s">
        <v>2378</v>
      </c>
      <c r="L834" s="2">
        <v>64002.74</v>
      </c>
      <c r="M834">
        <f t="shared" si="36"/>
        <v>16863.339530816</v>
      </c>
      <c r="N834">
        <f t="shared" si="37"/>
        <v>1492.3309319306193</v>
      </c>
      <c r="O834" t="str">
        <f t="shared" si="38"/>
        <v>FJERN</v>
      </c>
      <c r="P834" s="1"/>
    </row>
    <row r="835" spans="1:16" ht="15" customHeight="1" x14ac:dyDescent="0.2">
      <c r="A835" s="1" t="s">
        <v>2379</v>
      </c>
      <c r="B835" s="1" t="s">
        <v>2380</v>
      </c>
      <c r="C835" s="1" t="s">
        <v>2</v>
      </c>
      <c r="D835" s="1" t="s">
        <v>3</v>
      </c>
      <c r="E835" s="5">
        <v>32106</v>
      </c>
      <c r="F835" s="5">
        <v>39752</v>
      </c>
      <c r="G835" s="2">
        <v>104</v>
      </c>
      <c r="H835" s="1" t="s">
        <v>4</v>
      </c>
      <c r="I835" s="2"/>
      <c r="J835" s="1" t="s">
        <v>15</v>
      </c>
      <c r="K835" s="1" t="s">
        <v>2381</v>
      </c>
      <c r="L835" s="2">
        <v>0</v>
      </c>
      <c r="M835">
        <f t="shared" ref="M835:M898" si="39">IF(OR(G835="",L835=""),"",G835*L835)</f>
        <v>0</v>
      </c>
      <c r="N835">
        <f t="shared" ref="N835:N898" si="40">IF(M835="","",IF(H835="DKK",M835/7.45,IF(H835="SEK",M835/11.3,M835)))</f>
        <v>0</v>
      </c>
      <c r="O835" t="str">
        <f t="shared" ref="O835:O898" si="41">IF(AND(E835&lt;=DATE(2024,12,31),F835&gt;=DATE(2010,1,1),D835="SHARE",N835&gt;=100000),"BEHOLD","FJERN")</f>
        <v>FJERN</v>
      </c>
      <c r="P835" s="1" t="s">
        <v>5905</v>
      </c>
    </row>
    <row r="836" spans="1:16" ht="15" customHeight="1" x14ac:dyDescent="0.2">
      <c r="A836" s="1" t="s">
        <v>2382</v>
      </c>
      <c r="B836" s="1" t="s">
        <v>2383</v>
      </c>
      <c r="C836" s="1" t="s">
        <v>2</v>
      </c>
      <c r="D836" s="1" t="s">
        <v>3</v>
      </c>
      <c r="E836" s="5">
        <v>39188</v>
      </c>
      <c r="F836" s="5">
        <v>40254</v>
      </c>
      <c r="G836" s="2">
        <v>1.4241090000000001</v>
      </c>
      <c r="H836" s="1" t="s">
        <v>4</v>
      </c>
      <c r="I836" s="2"/>
      <c r="J836" s="1" t="s">
        <v>236</v>
      </c>
      <c r="K836" s="1" t="s">
        <v>2384</v>
      </c>
      <c r="L836" s="2">
        <v>21.78997</v>
      </c>
      <c r="M836">
        <f t="shared" si="39"/>
        <v>31.031292386730001</v>
      </c>
      <c r="N836">
        <f t="shared" si="40"/>
        <v>4.165274145869799</v>
      </c>
      <c r="O836" t="str">
        <f t="shared" si="41"/>
        <v>FJERN</v>
      </c>
      <c r="P836" s="1" t="s">
        <v>5906</v>
      </c>
    </row>
    <row r="837" spans="1:16" ht="15" customHeight="1" x14ac:dyDescent="0.2">
      <c r="A837" s="1" t="s">
        <v>2385</v>
      </c>
      <c r="B837" s="1" t="s">
        <v>2386</v>
      </c>
      <c r="C837" s="1" t="s">
        <v>2</v>
      </c>
      <c r="D837" s="1" t="s">
        <v>3</v>
      </c>
      <c r="E837" s="5">
        <v>39182</v>
      </c>
      <c r="F837" s="5">
        <v>42458</v>
      </c>
      <c r="G837" s="2">
        <v>4.1195329999999997</v>
      </c>
      <c r="H837" s="1" t="s">
        <v>4</v>
      </c>
      <c r="I837" s="2"/>
      <c r="J837" s="1" t="s">
        <v>11</v>
      </c>
      <c r="K837" s="1" t="s">
        <v>2387</v>
      </c>
      <c r="L837" s="2">
        <v>2796.982</v>
      </c>
      <c r="M837">
        <f t="shared" si="39"/>
        <v>11522.259649405998</v>
      </c>
      <c r="N837">
        <f t="shared" si="40"/>
        <v>1546.6120334773152</v>
      </c>
      <c r="O837" t="str">
        <f t="shared" si="41"/>
        <v>FJERN</v>
      </c>
      <c r="P837" s="1" t="s">
        <v>5907</v>
      </c>
    </row>
    <row r="838" spans="1:16" ht="15" customHeight="1" x14ac:dyDescent="0.2">
      <c r="A838" s="1" t="s">
        <v>2388</v>
      </c>
      <c r="B838" s="1" t="s">
        <v>2389</v>
      </c>
      <c r="C838" s="1" t="s">
        <v>2</v>
      </c>
      <c r="D838" s="1" t="s">
        <v>3</v>
      </c>
      <c r="E838" s="5">
        <v>39171</v>
      </c>
      <c r="F838" s="5">
        <v>44123</v>
      </c>
      <c r="G838" s="2">
        <v>14.417920000000001</v>
      </c>
      <c r="H838" s="1" t="s">
        <v>4</v>
      </c>
      <c r="I838" s="2"/>
      <c r="J838" s="1" t="s">
        <v>2390</v>
      </c>
      <c r="K838" s="1" t="s">
        <v>2391</v>
      </c>
      <c r="L838" s="2">
        <v>1232.18</v>
      </c>
      <c r="M838">
        <f t="shared" si="39"/>
        <v>17765.472665600002</v>
      </c>
      <c r="N838">
        <f t="shared" si="40"/>
        <v>2384.6272034362419</v>
      </c>
      <c r="O838" t="str">
        <f t="shared" si="41"/>
        <v>FJERN</v>
      </c>
      <c r="P838" s="1" t="s">
        <v>5908</v>
      </c>
    </row>
    <row r="839" spans="1:16" ht="15" customHeight="1" x14ac:dyDescent="0.2">
      <c r="A839" s="1" t="s">
        <v>2392</v>
      </c>
      <c r="B839" s="1" t="s">
        <v>2393</v>
      </c>
      <c r="C839" s="1" t="s">
        <v>9</v>
      </c>
      <c r="D839" s="1" t="s">
        <v>3</v>
      </c>
      <c r="E839" s="5">
        <v>39216</v>
      </c>
      <c r="F839" s="5">
        <v>46155</v>
      </c>
      <c r="G839" s="2">
        <v>35.877409999999998</v>
      </c>
      <c r="H839" s="1" t="s">
        <v>10</v>
      </c>
      <c r="I839" s="2">
        <v>413.6368875</v>
      </c>
      <c r="J839" s="1" t="s">
        <v>76</v>
      </c>
      <c r="K839" s="1" t="s">
        <v>2394</v>
      </c>
      <c r="L839" s="2">
        <v>7078.567</v>
      </c>
      <c r="M839">
        <f t="shared" si="39"/>
        <v>253960.65047146997</v>
      </c>
      <c r="N839">
        <f t="shared" si="40"/>
        <v>22474.393847032738</v>
      </c>
      <c r="O839" t="str">
        <f t="shared" si="41"/>
        <v>FJERN</v>
      </c>
      <c r="P839" s="1" t="s">
        <v>5909</v>
      </c>
    </row>
    <row r="840" spans="1:16" ht="15" customHeight="1" x14ac:dyDescent="0.2">
      <c r="A840" s="1" t="s">
        <v>2395</v>
      </c>
      <c r="B840" s="1" t="s">
        <v>2396</v>
      </c>
      <c r="C840" s="1" t="s">
        <v>9</v>
      </c>
      <c r="D840" s="1" t="s">
        <v>3</v>
      </c>
      <c r="E840" s="5">
        <v>36707</v>
      </c>
      <c r="F840" s="5">
        <v>45859</v>
      </c>
      <c r="G840" s="2">
        <v>77.712779999999995</v>
      </c>
      <c r="H840" s="1" t="s">
        <v>10</v>
      </c>
      <c r="I840" s="2">
        <v>12871.9229376</v>
      </c>
      <c r="J840" s="1" t="s">
        <v>64</v>
      </c>
      <c r="K840" s="1" t="s">
        <v>2397</v>
      </c>
      <c r="L840" s="2">
        <v>126616.3</v>
      </c>
      <c r="M840">
        <f t="shared" si="39"/>
        <v>9839704.6663140003</v>
      </c>
      <c r="N840">
        <f t="shared" si="40"/>
        <v>870770.32445256633</v>
      </c>
      <c r="O840" t="str">
        <f t="shared" si="41"/>
        <v>BEHOLD</v>
      </c>
      <c r="P840" s="1" t="s">
        <v>5910</v>
      </c>
    </row>
    <row r="841" spans="1:16" ht="15" customHeight="1" x14ac:dyDescent="0.2">
      <c r="A841" s="1" t="s">
        <v>2398</v>
      </c>
      <c r="B841" s="1" t="s">
        <v>2399</v>
      </c>
      <c r="C841" s="1" t="s">
        <v>9</v>
      </c>
      <c r="D841" s="1" t="s">
        <v>3</v>
      </c>
      <c r="E841" s="5">
        <v>32002</v>
      </c>
      <c r="F841" s="5">
        <v>46155</v>
      </c>
      <c r="G841" s="2">
        <v>141.58500000000001</v>
      </c>
      <c r="H841" s="1" t="s">
        <v>10</v>
      </c>
      <c r="I841" s="2">
        <v>377068.42099765898</v>
      </c>
      <c r="J841" s="1" t="s">
        <v>23</v>
      </c>
      <c r="K841" s="1" t="s">
        <v>2400</v>
      </c>
      <c r="L841" s="2">
        <v>4097386</v>
      </c>
      <c r="M841">
        <f t="shared" si="39"/>
        <v>580128396.81000006</v>
      </c>
      <c r="N841">
        <f t="shared" si="40"/>
        <v>51338796.177876107</v>
      </c>
      <c r="O841" t="str">
        <f t="shared" si="41"/>
        <v>BEHOLD</v>
      </c>
      <c r="P841" s="1" t="s">
        <v>5911</v>
      </c>
    </row>
    <row r="842" spans="1:16" ht="15" customHeight="1" x14ac:dyDescent="0.2">
      <c r="A842" s="1" t="s">
        <v>2401</v>
      </c>
      <c r="B842" s="1" t="s">
        <v>2402</v>
      </c>
      <c r="C842" s="1" t="s">
        <v>9</v>
      </c>
      <c r="D842" s="1" t="s">
        <v>3</v>
      </c>
      <c r="E842" s="5">
        <v>31049</v>
      </c>
      <c r="F842" s="5">
        <v>46155</v>
      </c>
      <c r="G842" s="2">
        <v>204.4915</v>
      </c>
      <c r="H842" s="1" t="s">
        <v>10</v>
      </c>
      <c r="I842" s="2">
        <v>179410.88514420899</v>
      </c>
      <c r="J842" s="1" t="s">
        <v>76</v>
      </c>
      <c r="K842" s="1" t="s">
        <v>2403</v>
      </c>
      <c r="L842" s="2">
        <v>213995.7</v>
      </c>
      <c r="M842">
        <f t="shared" si="39"/>
        <v>43760301.686550006</v>
      </c>
      <c r="N842">
        <f t="shared" si="40"/>
        <v>3872593.0696061952</v>
      </c>
      <c r="O842" t="str">
        <f t="shared" si="41"/>
        <v>BEHOLD</v>
      </c>
      <c r="P842" s="1" t="s">
        <v>5912</v>
      </c>
    </row>
    <row r="843" spans="1:16" ht="15" customHeight="1" x14ac:dyDescent="0.2">
      <c r="A843" s="1" t="s">
        <v>2404</v>
      </c>
      <c r="B843" s="1" t="s">
        <v>2405</v>
      </c>
      <c r="C843" s="1" t="s">
        <v>9</v>
      </c>
      <c r="D843" s="1" t="s">
        <v>3</v>
      </c>
      <c r="E843" s="5">
        <v>31049</v>
      </c>
      <c r="F843" s="5">
        <v>46155</v>
      </c>
      <c r="G843" s="2">
        <v>78.879429999999999</v>
      </c>
      <c r="H843" s="1" t="s">
        <v>10</v>
      </c>
      <c r="I843" s="2">
        <v>86107.189151400002</v>
      </c>
      <c r="J843" s="1" t="s">
        <v>19</v>
      </c>
      <c r="K843" s="1" t="s">
        <v>2406</v>
      </c>
      <c r="L843" s="2">
        <v>2053733</v>
      </c>
      <c r="M843">
        <f t="shared" si="39"/>
        <v>161997288.41218999</v>
      </c>
      <c r="N843">
        <f t="shared" si="40"/>
        <v>14336043.222317697</v>
      </c>
      <c r="O843" t="str">
        <f t="shared" si="41"/>
        <v>BEHOLD</v>
      </c>
      <c r="P843" s="1" t="s">
        <v>5913</v>
      </c>
    </row>
    <row r="844" spans="1:16" ht="15" customHeight="1" x14ac:dyDescent="0.2">
      <c r="A844" s="1" t="s">
        <v>2407</v>
      </c>
      <c r="B844" s="1" t="s">
        <v>2408</v>
      </c>
      <c r="C844" s="1" t="s">
        <v>9</v>
      </c>
      <c r="D844" s="1" t="s">
        <v>3</v>
      </c>
      <c r="E844" s="5">
        <v>38730</v>
      </c>
      <c r="F844" s="5">
        <v>41305</v>
      </c>
      <c r="G844" s="2">
        <v>1.2656860000000001</v>
      </c>
      <c r="H844" s="1" t="s">
        <v>10</v>
      </c>
      <c r="I844" s="2"/>
      <c r="J844" s="1" t="s">
        <v>30</v>
      </c>
      <c r="K844" s="1" t="s">
        <v>2409</v>
      </c>
      <c r="L844" s="2">
        <v>113955.1</v>
      </c>
      <c r="M844">
        <f t="shared" si="39"/>
        <v>144231.3746986</v>
      </c>
      <c r="N844">
        <f t="shared" si="40"/>
        <v>12763.838468902655</v>
      </c>
      <c r="O844" t="str">
        <f t="shared" si="41"/>
        <v>FJERN</v>
      </c>
      <c r="P844" s="1" t="s">
        <v>5914</v>
      </c>
    </row>
    <row r="845" spans="1:16" ht="15" customHeight="1" x14ac:dyDescent="0.2">
      <c r="A845" s="1" t="s">
        <v>2410</v>
      </c>
      <c r="B845" s="1" t="s">
        <v>2411</v>
      </c>
      <c r="C845" s="1" t="s">
        <v>9</v>
      </c>
      <c r="D845" s="1" t="s">
        <v>3</v>
      </c>
      <c r="E845" s="5">
        <v>36062</v>
      </c>
      <c r="F845" s="5">
        <v>40081</v>
      </c>
      <c r="G845" s="2">
        <v>10.435180000000001</v>
      </c>
      <c r="H845" s="1" t="s">
        <v>10</v>
      </c>
      <c r="I845" s="2"/>
      <c r="J845" s="1" t="s">
        <v>236</v>
      </c>
      <c r="K845" s="1" t="s">
        <v>2412</v>
      </c>
      <c r="L845" s="2">
        <v>4752.866</v>
      </c>
      <c r="M845">
        <f t="shared" si="39"/>
        <v>49597.012225880004</v>
      </c>
      <c r="N845">
        <f t="shared" si="40"/>
        <v>4389.1161261840707</v>
      </c>
      <c r="O845" t="str">
        <f t="shared" si="41"/>
        <v>FJERN</v>
      </c>
      <c r="P845" s="1" t="s">
        <v>5915</v>
      </c>
    </row>
    <row r="846" spans="1:16" ht="15" customHeight="1" x14ac:dyDescent="0.2">
      <c r="A846" s="1" t="s">
        <v>2413</v>
      </c>
      <c r="B846" s="1" t="s">
        <v>2414</v>
      </c>
      <c r="C846" s="1" t="s">
        <v>9</v>
      </c>
      <c r="D846" s="1" t="s">
        <v>3</v>
      </c>
      <c r="E846" s="5">
        <v>34877</v>
      </c>
      <c r="F846" s="5">
        <v>42605</v>
      </c>
      <c r="G846" s="2">
        <v>82.695949999999996</v>
      </c>
      <c r="H846" s="1" t="s">
        <v>10</v>
      </c>
      <c r="I846" s="2"/>
      <c r="J846" s="1" t="s">
        <v>366</v>
      </c>
      <c r="K846" s="1" t="s">
        <v>2415</v>
      </c>
      <c r="L846" s="2">
        <v>1129436</v>
      </c>
      <c r="M846">
        <f t="shared" si="39"/>
        <v>93399782.984200001</v>
      </c>
      <c r="N846">
        <f t="shared" si="40"/>
        <v>8265467.5207256628</v>
      </c>
      <c r="O846" t="str">
        <f t="shared" si="41"/>
        <v>BEHOLD</v>
      </c>
      <c r="P846" s="1" t="s">
        <v>5916</v>
      </c>
    </row>
    <row r="847" spans="1:16" ht="15" customHeight="1" x14ac:dyDescent="0.2">
      <c r="A847" s="1" t="s">
        <v>2416</v>
      </c>
      <c r="B847" s="1" t="s">
        <v>2417</v>
      </c>
      <c r="C847" s="1" t="s">
        <v>2</v>
      </c>
      <c r="D847" s="1" t="s">
        <v>3</v>
      </c>
      <c r="E847" s="5">
        <v>33149</v>
      </c>
      <c r="F847" s="5">
        <v>45169</v>
      </c>
      <c r="G847" s="2">
        <v>72.342280000000002</v>
      </c>
      <c r="H847" s="1" t="s">
        <v>4</v>
      </c>
      <c r="I847" s="2"/>
      <c r="J847" s="1" t="s">
        <v>15</v>
      </c>
      <c r="K847" s="1" t="s">
        <v>2418</v>
      </c>
      <c r="L847" s="2">
        <v>1740.318</v>
      </c>
      <c r="M847">
        <f t="shared" si="39"/>
        <v>125898.57204504</v>
      </c>
      <c r="N847">
        <f t="shared" si="40"/>
        <v>16899.137187253691</v>
      </c>
      <c r="O847" t="str">
        <f t="shared" si="41"/>
        <v>FJERN</v>
      </c>
      <c r="P847" s="1" t="s">
        <v>5917</v>
      </c>
    </row>
    <row r="848" spans="1:16" ht="15" customHeight="1" x14ac:dyDescent="0.2">
      <c r="A848" s="1" t="s">
        <v>2419</v>
      </c>
      <c r="B848" s="1" t="s">
        <v>2420</v>
      </c>
      <c r="C848" s="1" t="s">
        <v>9</v>
      </c>
      <c r="D848" s="1" t="s">
        <v>3</v>
      </c>
      <c r="E848" s="5">
        <v>36682</v>
      </c>
      <c r="F848" s="5">
        <v>41068</v>
      </c>
      <c r="G848" s="2">
        <v>53.486379999999997</v>
      </c>
      <c r="H848" s="1" t="s">
        <v>10</v>
      </c>
      <c r="I848" s="2"/>
      <c r="J848" s="1" t="s">
        <v>61</v>
      </c>
      <c r="K848" s="1" t="s">
        <v>2421</v>
      </c>
      <c r="L848" s="2">
        <v>7778.9129999999996</v>
      </c>
      <c r="M848">
        <f t="shared" si="39"/>
        <v>416065.89670493995</v>
      </c>
      <c r="N848">
        <f t="shared" si="40"/>
        <v>36819.990858844241</v>
      </c>
      <c r="O848" t="str">
        <f t="shared" si="41"/>
        <v>FJERN</v>
      </c>
      <c r="P848" s="1" t="s">
        <v>5918</v>
      </c>
    </row>
    <row r="849" spans="1:16" ht="15" customHeight="1" x14ac:dyDescent="0.2">
      <c r="A849" s="1" t="s">
        <v>2422</v>
      </c>
      <c r="B849" s="1" t="s">
        <v>2423</v>
      </c>
      <c r="C849" s="1" t="s">
        <v>9</v>
      </c>
      <c r="D849" s="1" t="s">
        <v>3</v>
      </c>
      <c r="E849" s="5">
        <v>39227</v>
      </c>
      <c r="F849" s="5">
        <v>42080</v>
      </c>
      <c r="G849" s="2">
        <v>25.99071</v>
      </c>
      <c r="H849" s="1" t="s">
        <v>10</v>
      </c>
      <c r="I849" s="2"/>
      <c r="J849" s="1" t="s">
        <v>86</v>
      </c>
      <c r="K849" s="1" t="s">
        <v>2424</v>
      </c>
      <c r="L849" s="2">
        <v>84222.16</v>
      </c>
      <c r="M849">
        <f t="shared" si="39"/>
        <v>2188993.7361336001</v>
      </c>
      <c r="N849">
        <f t="shared" si="40"/>
        <v>193716.25983483184</v>
      </c>
      <c r="O849" t="str">
        <f t="shared" si="41"/>
        <v>BEHOLD</v>
      </c>
      <c r="P849" s="1" t="s">
        <v>5919</v>
      </c>
    </row>
    <row r="850" spans="1:16" ht="15" customHeight="1" x14ac:dyDescent="0.2">
      <c r="A850" s="1" t="s">
        <v>2425</v>
      </c>
      <c r="B850" s="1" t="s">
        <v>2426</v>
      </c>
      <c r="C850" s="1" t="s">
        <v>2</v>
      </c>
      <c r="D850" s="1" t="s">
        <v>3</v>
      </c>
      <c r="E850" s="5">
        <v>39224</v>
      </c>
      <c r="F850" s="5">
        <v>39381</v>
      </c>
      <c r="G850" s="2"/>
      <c r="H850" s="1" t="s">
        <v>4</v>
      </c>
      <c r="I850" s="2"/>
      <c r="J850" s="1" t="s">
        <v>61</v>
      </c>
      <c r="K850" s="1" t="s">
        <v>2427</v>
      </c>
      <c r="L850" s="2"/>
      <c r="M850" t="str">
        <f t="shared" si="39"/>
        <v/>
      </c>
      <c r="N850" t="str">
        <f t="shared" si="40"/>
        <v/>
      </c>
      <c r="O850" t="str">
        <f t="shared" si="41"/>
        <v>FJERN</v>
      </c>
      <c r="P850" s="1"/>
    </row>
    <row r="851" spans="1:16" ht="15" customHeight="1" x14ac:dyDescent="0.2">
      <c r="A851" s="1" t="s">
        <v>2428</v>
      </c>
      <c r="B851" s="1" t="s">
        <v>2429</v>
      </c>
      <c r="C851" s="1" t="s">
        <v>2</v>
      </c>
      <c r="D851" s="1" t="s">
        <v>3</v>
      </c>
      <c r="E851" s="5">
        <v>32231</v>
      </c>
      <c r="F851" s="5">
        <v>46155</v>
      </c>
      <c r="G851" s="2">
        <v>169.3655</v>
      </c>
      <c r="H851" s="1" t="s">
        <v>4</v>
      </c>
      <c r="I851" s="2">
        <v>7216.9022519999999</v>
      </c>
      <c r="J851" s="1" t="s">
        <v>11</v>
      </c>
      <c r="K851" s="1" t="s">
        <v>2430</v>
      </c>
      <c r="L851" s="2">
        <v>151075</v>
      </c>
      <c r="M851">
        <f t="shared" si="39"/>
        <v>25586892.912499998</v>
      </c>
      <c r="N851">
        <f t="shared" si="40"/>
        <v>3434482.2701342278</v>
      </c>
      <c r="O851" t="str">
        <f t="shared" si="41"/>
        <v>BEHOLD</v>
      </c>
      <c r="P851" s="1" t="s">
        <v>5920</v>
      </c>
    </row>
    <row r="852" spans="1:16" ht="15" customHeight="1" x14ac:dyDescent="0.2">
      <c r="A852" s="1" t="s">
        <v>2431</v>
      </c>
      <c r="B852" s="1" t="s">
        <v>2432</v>
      </c>
      <c r="C852" s="1" t="s">
        <v>9</v>
      </c>
      <c r="D852" s="1" t="s">
        <v>3</v>
      </c>
      <c r="E852" s="5">
        <v>36235</v>
      </c>
      <c r="F852" s="5">
        <v>46155</v>
      </c>
      <c r="G852" s="2">
        <v>70.991470000000007</v>
      </c>
      <c r="H852" s="1" t="s">
        <v>10</v>
      </c>
      <c r="I852" s="2">
        <v>240</v>
      </c>
      <c r="J852" s="1" t="s">
        <v>11</v>
      </c>
      <c r="K852" s="1" t="s">
        <v>2433</v>
      </c>
      <c r="L852" s="2">
        <v>4449.41</v>
      </c>
      <c r="M852">
        <f t="shared" si="39"/>
        <v>315870.1565327</v>
      </c>
      <c r="N852">
        <f t="shared" si="40"/>
        <v>27953.111197584069</v>
      </c>
      <c r="O852" t="str">
        <f t="shared" si="41"/>
        <v>FJERN</v>
      </c>
      <c r="P852" s="1" t="s">
        <v>5921</v>
      </c>
    </row>
    <row r="853" spans="1:16" ht="15" customHeight="1" x14ac:dyDescent="0.2">
      <c r="A853" s="1" t="s">
        <v>2434</v>
      </c>
      <c r="B853" s="1" t="s">
        <v>2435</v>
      </c>
      <c r="C853" s="1" t="s">
        <v>2</v>
      </c>
      <c r="D853" s="1" t="s">
        <v>3</v>
      </c>
      <c r="E853" s="5">
        <v>39239</v>
      </c>
      <c r="F853" s="5">
        <v>41535</v>
      </c>
      <c r="G853" s="2">
        <v>66.230159999999998</v>
      </c>
      <c r="H853" s="1" t="s">
        <v>4</v>
      </c>
      <c r="I853" s="2"/>
      <c r="J853" s="1" t="s">
        <v>55</v>
      </c>
      <c r="K853" s="1" t="s">
        <v>2436</v>
      </c>
      <c r="L853" s="2">
        <v>864.13189999999997</v>
      </c>
      <c r="M853">
        <f t="shared" si="39"/>
        <v>57231.593998103999</v>
      </c>
      <c r="N853">
        <f t="shared" si="40"/>
        <v>7682.093154107919</v>
      </c>
      <c r="O853" t="str">
        <f t="shared" si="41"/>
        <v>FJERN</v>
      </c>
      <c r="P853" s="1" t="s">
        <v>5922</v>
      </c>
    </row>
    <row r="854" spans="1:16" ht="15" customHeight="1" x14ac:dyDescent="0.2">
      <c r="A854" s="1" t="s">
        <v>2437</v>
      </c>
      <c r="B854" s="1" t="s">
        <v>2438</v>
      </c>
      <c r="C854" s="1" t="s">
        <v>9</v>
      </c>
      <c r="D854" s="1" t="s">
        <v>3</v>
      </c>
      <c r="E854" s="5">
        <v>37459</v>
      </c>
      <c r="F854" s="5">
        <v>41969</v>
      </c>
      <c r="G854" s="2">
        <v>26.688659999999999</v>
      </c>
      <c r="H854" s="1" t="s">
        <v>10</v>
      </c>
      <c r="I854" s="2"/>
      <c r="J854" s="1" t="s">
        <v>76</v>
      </c>
      <c r="K854" s="1" t="s">
        <v>2439</v>
      </c>
      <c r="L854" s="2">
        <v>7286.0720000000001</v>
      </c>
      <c r="M854">
        <f t="shared" si="39"/>
        <v>194455.49834351998</v>
      </c>
      <c r="N854">
        <f t="shared" si="40"/>
        <v>17208.451180842476</v>
      </c>
      <c r="O854" t="str">
        <f t="shared" si="41"/>
        <v>FJERN</v>
      </c>
      <c r="P854" s="1" t="s">
        <v>5923</v>
      </c>
    </row>
    <row r="855" spans="1:16" ht="15" customHeight="1" x14ac:dyDescent="0.2">
      <c r="A855" s="1" t="s">
        <v>2440</v>
      </c>
      <c r="B855" s="1" t="s">
        <v>2441</v>
      </c>
      <c r="C855" s="1" t="s">
        <v>2</v>
      </c>
      <c r="D855" s="1" t="s">
        <v>3</v>
      </c>
      <c r="E855" s="5">
        <v>39240</v>
      </c>
      <c r="F855" s="5">
        <v>39475</v>
      </c>
      <c r="G855" s="2">
        <v>64.5</v>
      </c>
      <c r="H855" s="1" t="s">
        <v>4</v>
      </c>
      <c r="I855" s="2"/>
      <c r="J855" s="1" t="s">
        <v>15</v>
      </c>
      <c r="K855" s="1" t="s">
        <v>2442</v>
      </c>
      <c r="L855" s="2">
        <v>0</v>
      </c>
      <c r="M855">
        <f t="shared" si="39"/>
        <v>0</v>
      </c>
      <c r="N855">
        <f t="shared" si="40"/>
        <v>0</v>
      </c>
      <c r="O855" t="str">
        <f t="shared" si="41"/>
        <v>FJERN</v>
      </c>
      <c r="P855" s="1" t="s">
        <v>5924</v>
      </c>
    </row>
    <row r="856" spans="1:16" ht="15" customHeight="1" x14ac:dyDescent="0.2">
      <c r="A856" s="1" t="s">
        <v>2443</v>
      </c>
      <c r="B856" s="1" t="s">
        <v>2444</v>
      </c>
      <c r="C856" s="1" t="s">
        <v>2</v>
      </c>
      <c r="D856" s="1" t="s">
        <v>3</v>
      </c>
      <c r="E856" s="5">
        <v>33107</v>
      </c>
      <c r="F856" s="5">
        <v>46155</v>
      </c>
      <c r="G856" s="2">
        <v>616.70050000000003</v>
      </c>
      <c r="H856" s="1" t="s">
        <v>4</v>
      </c>
      <c r="I856" s="2">
        <v>382342.404645</v>
      </c>
      <c r="J856" s="1" t="s">
        <v>11</v>
      </c>
      <c r="K856" s="1" t="s">
        <v>2445</v>
      </c>
      <c r="L856" s="2">
        <v>533015.5</v>
      </c>
      <c r="M856">
        <f t="shared" si="39"/>
        <v>328710925.35775</v>
      </c>
      <c r="N856">
        <f t="shared" si="40"/>
        <v>44122271.860100672</v>
      </c>
      <c r="O856" t="str">
        <f t="shared" si="41"/>
        <v>BEHOLD</v>
      </c>
      <c r="P856" s="1" t="s">
        <v>5925</v>
      </c>
    </row>
    <row r="857" spans="1:16" ht="15" customHeight="1" x14ac:dyDescent="0.2">
      <c r="A857" s="1" t="s">
        <v>2446</v>
      </c>
      <c r="B857" s="1" t="s">
        <v>2447</v>
      </c>
      <c r="C857" s="1" t="s">
        <v>9</v>
      </c>
      <c r="D857" s="1" t="s">
        <v>3</v>
      </c>
      <c r="E857" s="5">
        <v>39269</v>
      </c>
      <c r="F857" s="5">
        <v>40067</v>
      </c>
      <c r="G857" s="2">
        <v>34.722410000000004</v>
      </c>
      <c r="H857" s="1" t="s">
        <v>10</v>
      </c>
      <c r="I857" s="2"/>
      <c r="J857" s="1" t="s">
        <v>11</v>
      </c>
      <c r="K857" s="1" t="s">
        <v>2448</v>
      </c>
      <c r="L857" s="2">
        <v>217.37459999999999</v>
      </c>
      <c r="M857">
        <f t="shared" si="39"/>
        <v>7547.7699847860004</v>
      </c>
      <c r="N857">
        <f t="shared" si="40"/>
        <v>667.94424644123887</v>
      </c>
      <c r="O857" t="str">
        <f t="shared" si="41"/>
        <v>FJERN</v>
      </c>
      <c r="P857" s="1"/>
    </row>
    <row r="858" spans="1:16" ht="15" customHeight="1" x14ac:dyDescent="0.2">
      <c r="A858" s="1" t="s">
        <v>2449</v>
      </c>
      <c r="B858" s="1" t="s">
        <v>2450</v>
      </c>
      <c r="C858" s="1" t="s">
        <v>9</v>
      </c>
      <c r="D858" s="1" t="s">
        <v>3</v>
      </c>
      <c r="E858" s="5">
        <v>32659</v>
      </c>
      <c r="F858" s="5">
        <v>42262</v>
      </c>
      <c r="G858" s="2">
        <v>10.15962</v>
      </c>
      <c r="H858" s="1" t="s">
        <v>10</v>
      </c>
      <c r="I858" s="2"/>
      <c r="J858" s="1" t="s">
        <v>51</v>
      </c>
      <c r="K858" s="1" t="s">
        <v>2451</v>
      </c>
      <c r="L858" s="2">
        <v>25118.21</v>
      </c>
      <c r="M858">
        <f t="shared" si="39"/>
        <v>255191.46868019999</v>
      </c>
      <c r="N858">
        <f t="shared" si="40"/>
        <v>22583.315812407076</v>
      </c>
      <c r="O858" t="str">
        <f t="shared" si="41"/>
        <v>FJERN</v>
      </c>
      <c r="P858" s="1" t="s">
        <v>5926</v>
      </c>
    </row>
    <row r="859" spans="1:16" ht="15" customHeight="1" x14ac:dyDescent="0.2">
      <c r="A859" s="1" t="s">
        <v>2452</v>
      </c>
      <c r="B859" s="1" t="s">
        <v>2453</v>
      </c>
      <c r="C859" s="1" t="s">
        <v>9</v>
      </c>
      <c r="D859" s="1" t="s">
        <v>3</v>
      </c>
      <c r="E859" s="5">
        <v>34859</v>
      </c>
      <c r="F859" s="5">
        <v>43599</v>
      </c>
      <c r="G859" s="2">
        <v>18.342359999999999</v>
      </c>
      <c r="H859" s="1" t="s">
        <v>10</v>
      </c>
      <c r="I859" s="2"/>
      <c r="J859" s="1" t="s">
        <v>236</v>
      </c>
      <c r="K859" s="1" t="s">
        <v>2454</v>
      </c>
      <c r="L859" s="2">
        <v>149937.5</v>
      </c>
      <c r="M859">
        <f t="shared" si="39"/>
        <v>2750207.6025</v>
      </c>
      <c r="N859">
        <f t="shared" si="40"/>
        <v>243381.20376106194</v>
      </c>
      <c r="O859" t="str">
        <f t="shared" si="41"/>
        <v>BEHOLD</v>
      </c>
      <c r="P859" s="1" t="s">
        <v>5927</v>
      </c>
    </row>
    <row r="860" spans="1:16" ht="15" customHeight="1" x14ac:dyDescent="0.2">
      <c r="A860" s="1" t="s">
        <v>2455</v>
      </c>
      <c r="B860" s="1" t="s">
        <v>2456</v>
      </c>
      <c r="C860" s="1" t="s">
        <v>9</v>
      </c>
      <c r="D860" s="1" t="s">
        <v>3</v>
      </c>
      <c r="E860" s="5">
        <v>39261</v>
      </c>
      <c r="F860" s="5">
        <v>40960</v>
      </c>
      <c r="G860" s="2">
        <v>47.320909999999998</v>
      </c>
      <c r="H860" s="1" t="s">
        <v>10</v>
      </c>
      <c r="I860" s="2"/>
      <c r="J860" s="1" t="s">
        <v>391</v>
      </c>
      <c r="K860" s="1" t="s">
        <v>2457</v>
      </c>
      <c r="L860" s="2">
        <v>1504.2660000000001</v>
      </c>
      <c r="M860">
        <f t="shared" si="39"/>
        <v>71183.236002060003</v>
      </c>
      <c r="N860">
        <f t="shared" si="40"/>
        <v>6299.4014161115047</v>
      </c>
      <c r="O860" t="str">
        <f t="shared" si="41"/>
        <v>FJERN</v>
      </c>
      <c r="P860" s="1"/>
    </row>
    <row r="861" spans="1:16" ht="15" customHeight="1" x14ac:dyDescent="0.2">
      <c r="A861" s="1" t="s">
        <v>2458</v>
      </c>
      <c r="B861" s="1" t="s">
        <v>2459</v>
      </c>
      <c r="C861" s="1" t="s">
        <v>2</v>
      </c>
      <c r="D861" s="1" t="s">
        <v>3</v>
      </c>
      <c r="E861" s="5">
        <v>39231</v>
      </c>
      <c r="F861" s="5">
        <v>42585</v>
      </c>
      <c r="G861" s="2">
        <v>10.603630000000001</v>
      </c>
      <c r="H861" s="1" t="s">
        <v>4</v>
      </c>
      <c r="I861" s="2"/>
      <c r="J861" s="1" t="s">
        <v>64</v>
      </c>
      <c r="K861" s="1" t="s">
        <v>2460</v>
      </c>
      <c r="L861" s="2">
        <v>52500.68</v>
      </c>
      <c r="M861">
        <f t="shared" si="39"/>
        <v>556697.78546839999</v>
      </c>
      <c r="N861">
        <f t="shared" si="40"/>
        <v>74724.534962201345</v>
      </c>
      <c r="O861" t="str">
        <f t="shared" si="41"/>
        <v>FJERN</v>
      </c>
      <c r="P861" s="1" t="s">
        <v>5928</v>
      </c>
    </row>
    <row r="862" spans="1:16" ht="15" customHeight="1" x14ac:dyDescent="0.2">
      <c r="A862" s="1" t="s">
        <v>2461</v>
      </c>
      <c r="B862" s="1" t="s">
        <v>2462</v>
      </c>
      <c r="C862" s="1" t="s">
        <v>9</v>
      </c>
      <c r="D862" s="1" t="s">
        <v>3</v>
      </c>
      <c r="E862" s="5">
        <v>39797</v>
      </c>
      <c r="F862" s="5">
        <v>40511</v>
      </c>
      <c r="G862" s="2">
        <v>0.21310000000000001</v>
      </c>
      <c r="H862" s="1" t="s">
        <v>10</v>
      </c>
      <c r="I862" s="2"/>
      <c r="J862" s="1" t="s">
        <v>11</v>
      </c>
      <c r="K862" s="1" t="s">
        <v>2463</v>
      </c>
      <c r="L862" s="2">
        <v>231843</v>
      </c>
      <c r="M862">
        <f t="shared" si="39"/>
        <v>49405.743300000002</v>
      </c>
      <c r="N862">
        <f t="shared" si="40"/>
        <v>4372.1896725663719</v>
      </c>
      <c r="O862" t="str">
        <f t="shared" si="41"/>
        <v>FJERN</v>
      </c>
      <c r="P862" s="1"/>
    </row>
    <row r="863" spans="1:16" ht="15" customHeight="1" x14ac:dyDescent="0.2">
      <c r="A863" s="1" t="s">
        <v>2464</v>
      </c>
      <c r="B863" s="1" t="s">
        <v>2465</v>
      </c>
      <c r="C863" s="1" t="s">
        <v>9</v>
      </c>
      <c r="D863" s="1" t="s">
        <v>3</v>
      </c>
      <c r="E863" s="5">
        <v>39286</v>
      </c>
      <c r="F863" s="5">
        <v>46155</v>
      </c>
      <c r="G863" s="2">
        <v>26.314910000000001</v>
      </c>
      <c r="H863" s="1" t="s">
        <v>10</v>
      </c>
      <c r="I863" s="2">
        <v>1078.85357325</v>
      </c>
      <c r="J863" s="1" t="s">
        <v>34</v>
      </c>
      <c r="K863" s="1" t="s">
        <v>2466</v>
      </c>
      <c r="L863" s="2">
        <v>57266.53</v>
      </c>
      <c r="M863">
        <f t="shared" si="39"/>
        <v>1506963.5829622999</v>
      </c>
      <c r="N863">
        <f t="shared" si="40"/>
        <v>133359.60911170795</v>
      </c>
      <c r="O863" t="str">
        <f t="shared" si="41"/>
        <v>BEHOLD</v>
      </c>
      <c r="P863" s="1" t="s">
        <v>5929</v>
      </c>
    </row>
    <row r="864" spans="1:16" ht="15" customHeight="1" x14ac:dyDescent="0.2">
      <c r="A864" s="1" t="s">
        <v>2467</v>
      </c>
      <c r="B864" s="1" t="s">
        <v>2468</v>
      </c>
      <c r="C864" s="1" t="s">
        <v>2</v>
      </c>
      <c r="D864" s="1" t="s">
        <v>3</v>
      </c>
      <c r="E864" s="5">
        <v>39252</v>
      </c>
      <c r="F864" s="5">
        <v>41530</v>
      </c>
      <c r="G864" s="2">
        <v>76.520679999999999</v>
      </c>
      <c r="H864" s="1" t="s">
        <v>4</v>
      </c>
      <c r="I864" s="2"/>
      <c r="J864" s="1" t="s">
        <v>55</v>
      </c>
      <c r="K864" s="1" t="s">
        <v>2469</v>
      </c>
      <c r="L864" s="2">
        <v>457.59160000000003</v>
      </c>
      <c r="M864">
        <f t="shared" si="39"/>
        <v>35015.220394288001</v>
      </c>
      <c r="N864">
        <f t="shared" si="40"/>
        <v>4700.0295831259064</v>
      </c>
      <c r="O864" t="str">
        <f t="shared" si="41"/>
        <v>FJERN</v>
      </c>
      <c r="P864" s="1"/>
    </row>
    <row r="865" spans="1:16" ht="15" customHeight="1" x14ac:dyDescent="0.2">
      <c r="A865" s="1" t="s">
        <v>2470</v>
      </c>
      <c r="B865" s="1" t="s">
        <v>2471</v>
      </c>
      <c r="C865" s="1" t="s">
        <v>2</v>
      </c>
      <c r="D865" s="1" t="s">
        <v>3</v>
      </c>
      <c r="E865" s="5">
        <v>39220</v>
      </c>
      <c r="F865" s="5">
        <v>43448</v>
      </c>
      <c r="G865" s="2">
        <v>27.88475</v>
      </c>
      <c r="H865" s="1" t="s">
        <v>4</v>
      </c>
      <c r="I865" s="2"/>
      <c r="J865" s="1" t="s">
        <v>55</v>
      </c>
      <c r="K865" s="1" t="s">
        <v>2472</v>
      </c>
      <c r="L865" s="2">
        <v>1692.65</v>
      </c>
      <c r="M865">
        <f t="shared" si="39"/>
        <v>47199.1220875</v>
      </c>
      <c r="N865">
        <f t="shared" si="40"/>
        <v>6335.4526291946304</v>
      </c>
      <c r="O865" t="str">
        <f t="shared" si="41"/>
        <v>FJERN</v>
      </c>
      <c r="P865" s="1"/>
    </row>
    <row r="866" spans="1:16" ht="15" customHeight="1" x14ac:dyDescent="0.2">
      <c r="A866" s="1" t="s">
        <v>2473</v>
      </c>
      <c r="B866" s="1" t="s">
        <v>2474</v>
      </c>
      <c r="C866" s="1" t="s">
        <v>2</v>
      </c>
      <c r="D866" s="1" t="s">
        <v>3</v>
      </c>
      <c r="E866" s="5">
        <v>39231</v>
      </c>
      <c r="F866" s="5">
        <v>42368</v>
      </c>
      <c r="G866" s="2">
        <v>8.600657</v>
      </c>
      <c r="H866" s="1" t="s">
        <v>4</v>
      </c>
      <c r="I866" s="2"/>
      <c r="J866" s="1" t="s">
        <v>236</v>
      </c>
      <c r="K866" s="1" t="s">
        <v>2475</v>
      </c>
      <c r="L866" s="2">
        <v>1783.105</v>
      </c>
      <c r="M866">
        <f t="shared" si="39"/>
        <v>15335.874499985001</v>
      </c>
      <c r="N866">
        <f t="shared" si="40"/>
        <v>2058.5066442932884</v>
      </c>
      <c r="O866" t="str">
        <f t="shared" si="41"/>
        <v>FJERN</v>
      </c>
      <c r="P866" s="1"/>
    </row>
    <row r="867" spans="1:16" ht="15" customHeight="1" x14ac:dyDescent="0.2">
      <c r="A867" s="1" t="s">
        <v>2476</v>
      </c>
      <c r="B867" s="1" t="s">
        <v>2477</v>
      </c>
      <c r="C867" s="1" t="s">
        <v>9</v>
      </c>
      <c r="D867" s="1" t="s">
        <v>3</v>
      </c>
      <c r="E867" s="5">
        <v>36069</v>
      </c>
      <c r="F867" s="5">
        <v>39871</v>
      </c>
      <c r="G867" s="2">
        <v>56.724600000000002</v>
      </c>
      <c r="H867" s="1" t="s">
        <v>10</v>
      </c>
      <c r="I867" s="2"/>
      <c r="J867" s="1" t="s">
        <v>11</v>
      </c>
      <c r="K867" s="1" t="s">
        <v>2478</v>
      </c>
      <c r="L867" s="2">
        <v>6634.6890000000003</v>
      </c>
      <c r="M867">
        <f t="shared" si="39"/>
        <v>376350.07964940002</v>
      </c>
      <c r="N867">
        <f t="shared" si="40"/>
        <v>33305.316783132745</v>
      </c>
      <c r="O867" t="str">
        <f t="shared" si="41"/>
        <v>FJERN</v>
      </c>
      <c r="P867" s="1" t="s">
        <v>5930</v>
      </c>
    </row>
    <row r="868" spans="1:16" ht="15" customHeight="1" x14ac:dyDescent="0.2">
      <c r="A868" s="1" t="s">
        <v>2479</v>
      </c>
      <c r="B868" s="1" t="s">
        <v>2480</v>
      </c>
      <c r="C868" s="1" t="s">
        <v>2</v>
      </c>
      <c r="D868" s="1" t="s">
        <v>3</v>
      </c>
      <c r="E868" s="5">
        <v>39245</v>
      </c>
      <c r="F868" s="5">
        <v>45287</v>
      </c>
      <c r="G868" s="2">
        <v>2.86727</v>
      </c>
      <c r="H868" s="1" t="s">
        <v>4</v>
      </c>
      <c r="I868" s="2"/>
      <c r="J868" s="1" t="s">
        <v>11</v>
      </c>
      <c r="K868" s="1" t="s">
        <v>2481</v>
      </c>
      <c r="L868" s="2">
        <v>79642.28</v>
      </c>
      <c r="M868">
        <f t="shared" si="39"/>
        <v>228355.92017559998</v>
      </c>
      <c r="N868">
        <f t="shared" si="40"/>
        <v>30651.801365852345</v>
      </c>
      <c r="O868" t="str">
        <f t="shared" si="41"/>
        <v>FJERN</v>
      </c>
      <c r="P868" s="1" t="s">
        <v>5931</v>
      </c>
    </row>
    <row r="869" spans="1:16" ht="15" customHeight="1" x14ac:dyDescent="0.2">
      <c r="A869" s="1" t="s">
        <v>2482</v>
      </c>
      <c r="B869" s="1" t="s">
        <v>2483</v>
      </c>
      <c r="C869" s="1" t="s">
        <v>2</v>
      </c>
      <c r="D869" s="1" t="s">
        <v>3</v>
      </c>
      <c r="E869" s="5">
        <v>39247</v>
      </c>
      <c r="F869" s="5">
        <v>44519</v>
      </c>
      <c r="G869" s="2">
        <v>10.86702</v>
      </c>
      <c r="H869" s="1" t="s">
        <v>4</v>
      </c>
      <c r="I869" s="2"/>
      <c r="J869" s="1" t="s">
        <v>236</v>
      </c>
      <c r="K869" s="1" t="s">
        <v>2484</v>
      </c>
      <c r="L869" s="2">
        <v>4768.2259999999997</v>
      </c>
      <c r="M869">
        <f t="shared" si="39"/>
        <v>51816.407306519999</v>
      </c>
      <c r="N869">
        <f t="shared" si="40"/>
        <v>6955.2224572510067</v>
      </c>
      <c r="O869" t="str">
        <f t="shared" si="41"/>
        <v>FJERN</v>
      </c>
      <c r="P869" s="1" t="s">
        <v>5932</v>
      </c>
    </row>
    <row r="870" spans="1:16" ht="15" customHeight="1" x14ac:dyDescent="0.2">
      <c r="A870" s="1" t="s">
        <v>2485</v>
      </c>
      <c r="B870" s="1" t="s">
        <v>2486</v>
      </c>
      <c r="C870" s="1" t="s">
        <v>9</v>
      </c>
      <c r="D870" s="1" t="s">
        <v>3</v>
      </c>
      <c r="E870" s="5">
        <v>39248</v>
      </c>
      <c r="F870" s="5">
        <v>42198</v>
      </c>
      <c r="G870" s="2">
        <v>3.5604469999999999</v>
      </c>
      <c r="H870" s="1" t="s">
        <v>10</v>
      </c>
      <c r="I870" s="2"/>
      <c r="J870" s="1" t="s">
        <v>34</v>
      </c>
      <c r="K870" s="1" t="s">
        <v>2487</v>
      </c>
      <c r="L870" s="2">
        <v>1110611</v>
      </c>
      <c r="M870">
        <f t="shared" si="39"/>
        <v>3954271.6031169998</v>
      </c>
      <c r="N870">
        <f t="shared" si="40"/>
        <v>349935.54009884951</v>
      </c>
      <c r="O870" t="str">
        <f t="shared" si="41"/>
        <v>BEHOLD</v>
      </c>
      <c r="P870" s="1" t="s">
        <v>5933</v>
      </c>
    </row>
    <row r="871" spans="1:16" ht="15" customHeight="1" x14ac:dyDescent="0.2">
      <c r="A871" s="1" t="s">
        <v>2488</v>
      </c>
      <c r="B871" s="1" t="s">
        <v>2489</v>
      </c>
      <c r="C871" s="1" t="s">
        <v>9</v>
      </c>
      <c r="D871" s="1" t="s">
        <v>3</v>
      </c>
      <c r="E871" s="5">
        <v>39240</v>
      </c>
      <c r="F871" s="5">
        <v>41033</v>
      </c>
      <c r="G871" s="2">
        <v>2.7789869999999999</v>
      </c>
      <c r="H871" s="1" t="s">
        <v>10</v>
      </c>
      <c r="I871" s="2"/>
      <c r="J871" s="1" t="s">
        <v>289</v>
      </c>
      <c r="K871" s="1" t="s">
        <v>2490</v>
      </c>
      <c r="L871" s="2">
        <v>9970.1039999999994</v>
      </c>
      <c r="M871">
        <f t="shared" si="39"/>
        <v>27706.789404647996</v>
      </c>
      <c r="N871">
        <f t="shared" si="40"/>
        <v>2451.9282658980528</v>
      </c>
      <c r="O871" t="str">
        <f t="shared" si="41"/>
        <v>FJERN</v>
      </c>
      <c r="P871" s="1"/>
    </row>
    <row r="872" spans="1:16" ht="15" customHeight="1" x14ac:dyDescent="0.2">
      <c r="A872" s="1" t="s">
        <v>2491</v>
      </c>
      <c r="B872" s="1" t="s">
        <v>2492</v>
      </c>
      <c r="C872" s="1" t="s">
        <v>9</v>
      </c>
      <c r="D872" s="1" t="s">
        <v>3</v>
      </c>
      <c r="E872" s="5">
        <v>39244</v>
      </c>
      <c r="F872" s="5">
        <v>40631</v>
      </c>
      <c r="G872" s="2">
        <v>6.6804959999999998</v>
      </c>
      <c r="H872" s="1" t="s">
        <v>10</v>
      </c>
      <c r="I872" s="2"/>
      <c r="J872" s="1" t="s">
        <v>236</v>
      </c>
      <c r="K872" s="1" t="s">
        <v>2493</v>
      </c>
      <c r="L872" s="2">
        <v>2772.252</v>
      </c>
      <c r="M872">
        <f t="shared" si="39"/>
        <v>18520.018396992</v>
      </c>
      <c r="N872">
        <f t="shared" si="40"/>
        <v>1638.9396811497345</v>
      </c>
      <c r="O872" t="str">
        <f t="shared" si="41"/>
        <v>FJERN</v>
      </c>
      <c r="P872" s="1"/>
    </row>
    <row r="873" spans="1:16" ht="15" customHeight="1" x14ac:dyDescent="0.2">
      <c r="A873" s="1" t="s">
        <v>2494</v>
      </c>
      <c r="B873" s="1" t="s">
        <v>2495</v>
      </c>
      <c r="C873" s="1" t="s">
        <v>9</v>
      </c>
      <c r="D873" s="1" t="s">
        <v>3</v>
      </c>
      <c r="E873" s="5">
        <v>39262</v>
      </c>
      <c r="F873" s="5">
        <v>40661</v>
      </c>
      <c r="G873" s="2">
        <v>1.5907370000000001</v>
      </c>
      <c r="H873" s="1" t="s">
        <v>10</v>
      </c>
      <c r="I873" s="2"/>
      <c r="J873" s="1" t="s">
        <v>391</v>
      </c>
      <c r="K873" s="1" t="s">
        <v>2496</v>
      </c>
      <c r="L873" s="2">
        <v>1149.5540000000001</v>
      </c>
      <c r="M873">
        <f t="shared" si="39"/>
        <v>1828.6380812980003</v>
      </c>
      <c r="N873">
        <f t="shared" si="40"/>
        <v>161.82637887592921</v>
      </c>
      <c r="O873" t="str">
        <f t="shared" si="41"/>
        <v>FJERN</v>
      </c>
      <c r="P873" s="1"/>
    </row>
    <row r="874" spans="1:16" ht="15" customHeight="1" x14ac:dyDescent="0.2">
      <c r="A874" s="1" t="s">
        <v>2497</v>
      </c>
      <c r="B874" s="1" t="s">
        <v>2498</v>
      </c>
      <c r="C874" s="1" t="s">
        <v>2</v>
      </c>
      <c r="D874" s="1" t="s">
        <v>3</v>
      </c>
      <c r="E874" s="5">
        <v>39254</v>
      </c>
      <c r="F874" s="5">
        <v>46155</v>
      </c>
      <c r="G874" s="2">
        <v>91.913529999999994</v>
      </c>
      <c r="H874" s="1" t="s">
        <v>4</v>
      </c>
      <c r="I874" s="2">
        <v>2738.1640000000002</v>
      </c>
      <c r="J874" s="1" t="s">
        <v>15</v>
      </c>
      <c r="K874" s="1" t="s">
        <v>2499</v>
      </c>
      <c r="L874" s="2">
        <v>5940.4589999999998</v>
      </c>
      <c r="M874">
        <f t="shared" si="39"/>
        <v>546008.55651026999</v>
      </c>
      <c r="N874">
        <f t="shared" si="40"/>
        <v>73289.739128895293</v>
      </c>
      <c r="O874" t="str">
        <f t="shared" si="41"/>
        <v>FJERN</v>
      </c>
      <c r="P874" s="1" t="s">
        <v>5934</v>
      </c>
    </row>
    <row r="875" spans="1:16" ht="15" customHeight="1" x14ac:dyDescent="0.2">
      <c r="A875" s="1" t="s">
        <v>2500</v>
      </c>
      <c r="B875" s="1" t="s">
        <v>2501</v>
      </c>
      <c r="C875" s="1" t="s">
        <v>9</v>
      </c>
      <c r="D875" s="1" t="s">
        <v>3</v>
      </c>
      <c r="E875" s="5">
        <v>39301</v>
      </c>
      <c r="F875" s="5">
        <v>40591</v>
      </c>
      <c r="G875" s="2">
        <v>0.3705985</v>
      </c>
      <c r="H875" s="1" t="s">
        <v>10</v>
      </c>
      <c r="I875" s="2"/>
      <c r="J875" s="1" t="s">
        <v>167</v>
      </c>
      <c r="K875" s="1" t="s">
        <v>2502</v>
      </c>
      <c r="L875" s="2">
        <v>5053.1419999999998</v>
      </c>
      <c r="M875">
        <f t="shared" si="39"/>
        <v>1872.686845487</v>
      </c>
      <c r="N875">
        <f t="shared" si="40"/>
        <v>165.72449960061945</v>
      </c>
      <c r="O875" t="str">
        <f t="shared" si="41"/>
        <v>FJERN</v>
      </c>
      <c r="P875" s="1"/>
    </row>
    <row r="876" spans="1:16" ht="15" customHeight="1" x14ac:dyDescent="0.2">
      <c r="A876" s="1" t="s">
        <v>2503</v>
      </c>
      <c r="B876" s="1" t="s">
        <v>2504</v>
      </c>
      <c r="C876" s="1" t="s">
        <v>2</v>
      </c>
      <c r="D876" s="1" t="s">
        <v>3</v>
      </c>
      <c r="E876" s="5">
        <v>32106</v>
      </c>
      <c r="F876" s="5">
        <v>40998</v>
      </c>
      <c r="G876" s="2">
        <v>37.854080000000003</v>
      </c>
      <c r="H876" s="1" t="s">
        <v>4</v>
      </c>
      <c r="I876" s="2"/>
      <c r="J876" s="1" t="s">
        <v>15</v>
      </c>
      <c r="K876" s="1" t="s">
        <v>2505</v>
      </c>
      <c r="L876" s="2">
        <v>3171.8690000000001</v>
      </c>
      <c r="M876">
        <f t="shared" si="39"/>
        <v>120068.18287552001</v>
      </c>
      <c r="N876">
        <f t="shared" si="40"/>
        <v>16116.53461416376</v>
      </c>
      <c r="O876" t="str">
        <f t="shared" si="41"/>
        <v>FJERN</v>
      </c>
      <c r="P876" s="1" t="s">
        <v>5935</v>
      </c>
    </row>
    <row r="877" spans="1:16" ht="15" customHeight="1" x14ac:dyDescent="0.2">
      <c r="A877" s="1" t="s">
        <v>2506</v>
      </c>
      <c r="B877" s="1" t="s">
        <v>2507</v>
      </c>
      <c r="C877" s="1" t="s">
        <v>9</v>
      </c>
      <c r="D877" s="1" t="s">
        <v>3</v>
      </c>
      <c r="E877" s="5">
        <v>39252</v>
      </c>
      <c r="F877" s="5">
        <v>43448</v>
      </c>
      <c r="G877" s="2">
        <v>2.8578929999999998</v>
      </c>
      <c r="H877" s="1" t="s">
        <v>10</v>
      </c>
      <c r="I877" s="2"/>
      <c r="J877" s="1" t="s">
        <v>391</v>
      </c>
      <c r="K877" s="1" t="s">
        <v>2508</v>
      </c>
      <c r="L877" s="2">
        <v>30093.47</v>
      </c>
      <c r="M877">
        <f t="shared" si="39"/>
        <v>86003.917258710004</v>
      </c>
      <c r="N877">
        <f t="shared" si="40"/>
        <v>7610.96612908938</v>
      </c>
      <c r="O877" t="str">
        <f t="shared" si="41"/>
        <v>FJERN</v>
      </c>
      <c r="P877" s="1" t="s">
        <v>5936</v>
      </c>
    </row>
    <row r="878" spans="1:16" ht="15" customHeight="1" x14ac:dyDescent="0.2">
      <c r="A878" s="1" t="s">
        <v>2509</v>
      </c>
      <c r="B878" s="1" t="s">
        <v>2510</v>
      </c>
      <c r="C878" s="1" t="s">
        <v>2</v>
      </c>
      <c r="D878" s="1" t="s">
        <v>3</v>
      </c>
      <c r="E878" s="5">
        <v>39262</v>
      </c>
      <c r="F878" s="5">
        <v>45107</v>
      </c>
      <c r="G878" s="2">
        <v>952.17039999999997</v>
      </c>
      <c r="H878" s="1" t="s">
        <v>4</v>
      </c>
      <c r="I878" s="2"/>
      <c r="J878" s="1" t="s">
        <v>236</v>
      </c>
      <c r="K878" s="1" t="s">
        <v>2511</v>
      </c>
      <c r="L878" s="2">
        <v>56.099939999999997</v>
      </c>
      <c r="M878">
        <f t="shared" si="39"/>
        <v>53416.702309775996</v>
      </c>
      <c r="N878">
        <f t="shared" si="40"/>
        <v>7170.0271556746302</v>
      </c>
      <c r="O878" t="str">
        <f t="shared" si="41"/>
        <v>FJERN</v>
      </c>
      <c r="P878" s="1"/>
    </row>
    <row r="879" spans="1:16" ht="15" customHeight="1" x14ac:dyDescent="0.2">
      <c r="A879" s="1" t="s">
        <v>2512</v>
      </c>
      <c r="B879" s="1" t="s">
        <v>2513</v>
      </c>
      <c r="C879" s="1" t="s">
        <v>9</v>
      </c>
      <c r="D879" s="1" t="s">
        <v>3</v>
      </c>
      <c r="E879" s="5">
        <v>39356</v>
      </c>
      <c r="F879" s="5">
        <v>39843</v>
      </c>
      <c r="G879" s="2">
        <v>33.271599999999999</v>
      </c>
      <c r="H879" s="1" t="s">
        <v>10</v>
      </c>
      <c r="I879" s="2"/>
      <c r="J879" s="1" t="s">
        <v>11</v>
      </c>
      <c r="K879" s="1" t="s">
        <v>2514</v>
      </c>
      <c r="L879" s="2">
        <v>1239.134</v>
      </c>
      <c r="M879">
        <f t="shared" si="39"/>
        <v>41227.970794399997</v>
      </c>
      <c r="N879">
        <f t="shared" si="40"/>
        <v>3648.4929906548668</v>
      </c>
      <c r="O879" t="str">
        <f t="shared" si="41"/>
        <v>FJERN</v>
      </c>
      <c r="P879" s="1" t="s">
        <v>5937</v>
      </c>
    </row>
    <row r="880" spans="1:16" ht="15" customHeight="1" x14ac:dyDescent="0.2">
      <c r="A880" s="1" t="s">
        <v>2515</v>
      </c>
      <c r="B880" s="1" t="s">
        <v>2516</v>
      </c>
      <c r="C880" s="1" t="s">
        <v>2</v>
      </c>
      <c r="D880" s="1" t="s">
        <v>3</v>
      </c>
      <c r="E880" s="5">
        <v>39272</v>
      </c>
      <c r="F880" s="5">
        <v>42418</v>
      </c>
      <c r="G880" s="2">
        <v>1.5414639999999999</v>
      </c>
      <c r="H880" s="1" t="s">
        <v>4</v>
      </c>
      <c r="I880" s="2"/>
      <c r="J880" s="1" t="s">
        <v>61</v>
      </c>
      <c r="K880" s="1" t="s">
        <v>2517</v>
      </c>
      <c r="L880" s="2">
        <v>331205</v>
      </c>
      <c r="M880">
        <f t="shared" si="39"/>
        <v>510540.58411999996</v>
      </c>
      <c r="N880">
        <f t="shared" si="40"/>
        <v>68528.9374657718</v>
      </c>
      <c r="O880" t="str">
        <f t="shared" si="41"/>
        <v>FJERN</v>
      </c>
      <c r="P880" s="1" t="s">
        <v>5938</v>
      </c>
    </row>
    <row r="881" spans="1:16" ht="15" customHeight="1" x14ac:dyDescent="0.2">
      <c r="A881" s="1" t="s">
        <v>2518</v>
      </c>
      <c r="B881" s="1" t="s">
        <v>2519</v>
      </c>
      <c r="C881" s="1" t="s">
        <v>2</v>
      </c>
      <c r="D881" s="1" t="s">
        <v>3</v>
      </c>
      <c r="E881" s="5">
        <v>39269</v>
      </c>
      <c r="F881" s="5">
        <v>40554</v>
      </c>
      <c r="G881" s="2">
        <v>1.7406470000000001</v>
      </c>
      <c r="H881" s="1" t="s">
        <v>4</v>
      </c>
      <c r="I881" s="2"/>
      <c r="J881" s="1" t="s">
        <v>289</v>
      </c>
      <c r="K881" s="1" t="s">
        <v>2520</v>
      </c>
      <c r="L881" s="2">
        <v>2115.2939999999999</v>
      </c>
      <c r="M881">
        <f t="shared" si="39"/>
        <v>3681.9801552179997</v>
      </c>
      <c r="N881">
        <f t="shared" si="40"/>
        <v>494.22552419033553</v>
      </c>
      <c r="O881" t="str">
        <f t="shared" si="41"/>
        <v>FJERN</v>
      </c>
      <c r="P881" s="1"/>
    </row>
    <row r="882" spans="1:16" ht="15" customHeight="1" x14ac:dyDescent="0.2">
      <c r="A882" s="1" t="s">
        <v>2521</v>
      </c>
      <c r="B882" s="1" t="s">
        <v>2522</v>
      </c>
      <c r="C882" s="1" t="s">
        <v>2</v>
      </c>
      <c r="D882" s="1" t="s">
        <v>3</v>
      </c>
      <c r="E882" s="5">
        <v>39274</v>
      </c>
      <c r="F882" s="5">
        <v>40451</v>
      </c>
      <c r="G882" s="2">
        <v>74.248500000000007</v>
      </c>
      <c r="H882" s="1" t="s">
        <v>4</v>
      </c>
      <c r="I882" s="2"/>
      <c r="J882" s="1" t="s">
        <v>15</v>
      </c>
      <c r="K882" s="1" t="s">
        <v>2523</v>
      </c>
      <c r="L882" s="2">
        <v>2148.8690000000001</v>
      </c>
      <c r="M882">
        <f t="shared" si="39"/>
        <v>159550.29994650002</v>
      </c>
      <c r="N882">
        <f t="shared" si="40"/>
        <v>21416.147643825505</v>
      </c>
      <c r="O882" t="str">
        <f t="shared" si="41"/>
        <v>FJERN</v>
      </c>
      <c r="P882" s="1" t="s">
        <v>5939</v>
      </c>
    </row>
    <row r="883" spans="1:16" ht="15" customHeight="1" x14ac:dyDescent="0.2">
      <c r="A883" s="1" t="s">
        <v>2524</v>
      </c>
      <c r="B883" s="1" t="s">
        <v>2525</v>
      </c>
      <c r="C883" s="1" t="s">
        <v>2</v>
      </c>
      <c r="D883" s="1" t="s">
        <v>3</v>
      </c>
      <c r="E883" s="5">
        <v>39293</v>
      </c>
      <c r="F883" s="5">
        <v>40164</v>
      </c>
      <c r="G883" s="2">
        <v>1.2387300000000001</v>
      </c>
      <c r="H883" s="1" t="s">
        <v>4</v>
      </c>
      <c r="I883" s="2"/>
      <c r="J883" s="1" t="s">
        <v>222</v>
      </c>
      <c r="K883" s="1" t="s">
        <v>2526</v>
      </c>
      <c r="L883" s="2">
        <v>205.00299999999999</v>
      </c>
      <c r="M883">
        <f t="shared" si="39"/>
        <v>253.94336619000001</v>
      </c>
      <c r="N883">
        <f t="shared" si="40"/>
        <v>34.08635787785235</v>
      </c>
      <c r="O883" t="str">
        <f t="shared" si="41"/>
        <v>FJERN</v>
      </c>
      <c r="P883" s="1"/>
    </row>
    <row r="884" spans="1:16" ht="15" customHeight="1" x14ac:dyDescent="0.2">
      <c r="A884" s="1" t="s">
        <v>2527</v>
      </c>
      <c r="B884" s="1" t="s">
        <v>2528</v>
      </c>
      <c r="C884" s="1" t="s">
        <v>9</v>
      </c>
      <c r="D884" s="1" t="s">
        <v>3</v>
      </c>
      <c r="E884" s="5">
        <v>36677</v>
      </c>
      <c r="F884" s="5">
        <v>46155</v>
      </c>
      <c r="G884" s="2">
        <v>129.90649999999999</v>
      </c>
      <c r="H884" s="1" t="s">
        <v>10</v>
      </c>
      <c r="I884" s="2">
        <v>4056.0656769000002</v>
      </c>
      <c r="J884" s="1" t="s">
        <v>197</v>
      </c>
      <c r="K884" s="1" t="s">
        <v>2529</v>
      </c>
      <c r="L884" s="2">
        <v>114208.4</v>
      </c>
      <c r="M884">
        <f t="shared" si="39"/>
        <v>14836413.514599999</v>
      </c>
      <c r="N884">
        <f t="shared" si="40"/>
        <v>1312956.94819469</v>
      </c>
      <c r="O884" t="str">
        <f t="shared" si="41"/>
        <v>BEHOLD</v>
      </c>
      <c r="P884" s="1" t="s">
        <v>5940</v>
      </c>
    </row>
    <row r="885" spans="1:16" ht="15" customHeight="1" x14ac:dyDescent="0.2">
      <c r="A885" s="1" t="s">
        <v>2530</v>
      </c>
      <c r="B885" s="1" t="s">
        <v>2531</v>
      </c>
      <c r="C885" s="1" t="s">
        <v>2</v>
      </c>
      <c r="D885" s="1" t="s">
        <v>3</v>
      </c>
      <c r="E885" s="5">
        <v>39346</v>
      </c>
      <c r="F885" s="5">
        <v>46154</v>
      </c>
      <c r="G885" s="2">
        <v>88.547970000000007</v>
      </c>
      <c r="H885" s="1" t="s">
        <v>4</v>
      </c>
      <c r="I885" s="2">
        <v>221.09476950000001</v>
      </c>
      <c r="J885" s="1" t="s">
        <v>61</v>
      </c>
      <c r="K885" s="1" t="s">
        <v>2532</v>
      </c>
      <c r="L885" s="2">
        <v>842.6123</v>
      </c>
      <c r="M885">
        <f t="shared" si="39"/>
        <v>74611.608662031009</v>
      </c>
      <c r="N885">
        <f t="shared" si="40"/>
        <v>10014.981028460537</v>
      </c>
      <c r="O885" t="str">
        <f t="shared" si="41"/>
        <v>FJERN</v>
      </c>
      <c r="P885" s="1" t="s">
        <v>5941</v>
      </c>
    </row>
    <row r="886" spans="1:16" ht="15" customHeight="1" x14ac:dyDescent="0.2">
      <c r="A886" s="1" t="s">
        <v>2533</v>
      </c>
      <c r="B886" s="1" t="s">
        <v>2534</v>
      </c>
      <c r="C886" s="1" t="s">
        <v>2</v>
      </c>
      <c r="D886" s="1" t="s">
        <v>3</v>
      </c>
      <c r="E886" s="5">
        <v>39353</v>
      </c>
      <c r="F886" s="5">
        <v>42444</v>
      </c>
      <c r="G886" s="2">
        <v>50.805590000000002</v>
      </c>
      <c r="H886" s="1" t="s">
        <v>4</v>
      </c>
      <c r="I886" s="2"/>
      <c r="J886" s="1" t="s">
        <v>76</v>
      </c>
      <c r="K886" s="1" t="s">
        <v>2535</v>
      </c>
      <c r="L886" s="2">
        <v>956.82230000000004</v>
      </c>
      <c r="M886">
        <f t="shared" si="39"/>
        <v>48611.921476657008</v>
      </c>
      <c r="N886">
        <f t="shared" si="40"/>
        <v>6525.0901310949002</v>
      </c>
      <c r="O886" t="str">
        <f t="shared" si="41"/>
        <v>FJERN</v>
      </c>
      <c r="P886" s="1" t="s">
        <v>5942</v>
      </c>
    </row>
    <row r="887" spans="1:16" ht="15" customHeight="1" x14ac:dyDescent="0.2">
      <c r="A887" s="1" t="s">
        <v>2536</v>
      </c>
      <c r="B887" s="1" t="s">
        <v>2537</v>
      </c>
      <c r="C887" s="1" t="s">
        <v>2</v>
      </c>
      <c r="D887" s="1" t="s">
        <v>3</v>
      </c>
      <c r="E887" s="5">
        <v>39370</v>
      </c>
      <c r="F887" s="5">
        <v>41299</v>
      </c>
      <c r="G887" s="2">
        <v>88.888189999999994</v>
      </c>
      <c r="H887" s="1" t="s">
        <v>4</v>
      </c>
      <c r="I887" s="2"/>
      <c r="J887" s="1" t="s">
        <v>15</v>
      </c>
      <c r="K887" s="1" t="s">
        <v>2538</v>
      </c>
      <c r="L887" s="2">
        <v>2043.22</v>
      </c>
      <c r="M887">
        <f t="shared" si="39"/>
        <v>181618.1275718</v>
      </c>
      <c r="N887">
        <f t="shared" si="40"/>
        <v>24378.272157288589</v>
      </c>
      <c r="O887" t="str">
        <f t="shared" si="41"/>
        <v>FJERN</v>
      </c>
      <c r="P887" s="1" t="s">
        <v>5943</v>
      </c>
    </row>
    <row r="888" spans="1:16" ht="15" customHeight="1" x14ac:dyDescent="0.2">
      <c r="A888" s="1" t="s">
        <v>2539</v>
      </c>
      <c r="B888" s="1" t="s">
        <v>2540</v>
      </c>
      <c r="C888" s="1" t="s">
        <v>9</v>
      </c>
      <c r="D888" s="1" t="s">
        <v>3</v>
      </c>
      <c r="E888" s="5">
        <v>39372</v>
      </c>
      <c r="F888" s="5">
        <v>46155</v>
      </c>
      <c r="G888" s="2">
        <v>70.984660000000005</v>
      </c>
      <c r="H888" s="1" t="s">
        <v>10</v>
      </c>
      <c r="I888" s="2">
        <v>3426.8586250799999</v>
      </c>
      <c r="J888" s="1" t="s">
        <v>366</v>
      </c>
      <c r="K888" s="1" t="s">
        <v>2541</v>
      </c>
      <c r="L888" s="2">
        <v>154299.29999999999</v>
      </c>
      <c r="M888">
        <f t="shared" si="39"/>
        <v>10952883.348738</v>
      </c>
      <c r="N888">
        <f t="shared" si="40"/>
        <v>969281.71227769903</v>
      </c>
      <c r="O888" t="str">
        <f t="shared" si="41"/>
        <v>BEHOLD</v>
      </c>
      <c r="P888" s="1" t="s">
        <v>5944</v>
      </c>
    </row>
    <row r="889" spans="1:16" ht="15" customHeight="1" x14ac:dyDescent="0.2">
      <c r="A889" s="1" t="s">
        <v>2542</v>
      </c>
      <c r="B889" s="1" t="s">
        <v>2543</v>
      </c>
      <c r="C889" s="1" t="s">
        <v>2</v>
      </c>
      <c r="D889" s="1" t="s">
        <v>3</v>
      </c>
      <c r="E889" s="5">
        <v>39385</v>
      </c>
      <c r="F889" s="5">
        <v>46155</v>
      </c>
      <c r="G889" s="2">
        <v>5.3932229999999999</v>
      </c>
      <c r="H889" s="1" t="s">
        <v>4</v>
      </c>
      <c r="I889" s="2">
        <v>324.78008814999998</v>
      </c>
      <c r="J889" s="1" t="s">
        <v>61</v>
      </c>
      <c r="K889" s="1" t="s">
        <v>2544</v>
      </c>
      <c r="L889" s="2">
        <v>11403.73</v>
      </c>
      <c r="M889">
        <f t="shared" si="39"/>
        <v>61502.858921789993</v>
      </c>
      <c r="N889">
        <f t="shared" si="40"/>
        <v>8255.4173049382534</v>
      </c>
      <c r="O889" t="str">
        <f t="shared" si="41"/>
        <v>FJERN</v>
      </c>
      <c r="P889" s="1" t="s">
        <v>5945</v>
      </c>
    </row>
    <row r="890" spans="1:16" ht="15" customHeight="1" x14ac:dyDescent="0.2">
      <c r="A890" s="1" t="s">
        <v>2545</v>
      </c>
      <c r="B890" s="1" t="s">
        <v>2546</v>
      </c>
      <c r="C890" s="1" t="s">
        <v>9</v>
      </c>
      <c r="D890" s="1" t="s">
        <v>3</v>
      </c>
      <c r="E890" s="5">
        <v>39381</v>
      </c>
      <c r="F890" s="5">
        <v>46155</v>
      </c>
      <c r="G890" s="2">
        <v>3.1896239999999998</v>
      </c>
      <c r="H890" s="1" t="s">
        <v>10</v>
      </c>
      <c r="I890" s="2">
        <v>132.099188</v>
      </c>
      <c r="J890" s="1" t="s">
        <v>38</v>
      </c>
      <c r="K890" s="1" t="s">
        <v>2547</v>
      </c>
      <c r="L890" s="2">
        <v>35002.1</v>
      </c>
      <c r="M890">
        <f t="shared" si="39"/>
        <v>111643.53821039999</v>
      </c>
      <c r="N890">
        <f t="shared" si="40"/>
        <v>9879.959133663715</v>
      </c>
      <c r="O890" t="str">
        <f t="shared" si="41"/>
        <v>FJERN</v>
      </c>
      <c r="P890" s="1" t="s">
        <v>5946</v>
      </c>
    </row>
    <row r="891" spans="1:16" ht="15" customHeight="1" x14ac:dyDescent="0.2">
      <c r="A891" s="1" t="s">
        <v>2548</v>
      </c>
      <c r="B891" s="1" t="s">
        <v>2549</v>
      </c>
      <c r="C891" s="1" t="s">
        <v>9</v>
      </c>
      <c r="D891" s="1" t="s">
        <v>3</v>
      </c>
      <c r="E891" s="5">
        <v>39387</v>
      </c>
      <c r="F891" s="5">
        <v>43102</v>
      </c>
      <c r="G891" s="2">
        <v>22.331569999999999</v>
      </c>
      <c r="H891" s="1" t="s">
        <v>10</v>
      </c>
      <c r="I891" s="2"/>
      <c r="J891" s="1" t="s">
        <v>236</v>
      </c>
      <c r="K891" s="1" t="s">
        <v>2550</v>
      </c>
      <c r="L891" s="2">
        <v>19380.91</v>
      </c>
      <c r="M891">
        <f t="shared" si="39"/>
        <v>432806.14832869999</v>
      </c>
      <c r="N891">
        <f t="shared" si="40"/>
        <v>38301.429055637163</v>
      </c>
      <c r="O891" t="str">
        <f t="shared" si="41"/>
        <v>FJERN</v>
      </c>
      <c r="P891" s="1" t="s">
        <v>5947</v>
      </c>
    </row>
    <row r="892" spans="1:16" ht="15" customHeight="1" x14ac:dyDescent="0.2">
      <c r="A892" s="1" t="s">
        <v>2551</v>
      </c>
      <c r="B892" s="1" t="s">
        <v>2552</v>
      </c>
      <c r="C892" s="1" t="s">
        <v>9</v>
      </c>
      <c r="D892" s="1" t="s">
        <v>3</v>
      </c>
      <c r="E892" s="5">
        <v>39423</v>
      </c>
      <c r="F892" s="5">
        <v>42489</v>
      </c>
      <c r="G892" s="2">
        <v>0.94667900000000005</v>
      </c>
      <c r="H892" s="1" t="s">
        <v>10</v>
      </c>
      <c r="I892" s="2"/>
      <c r="J892" s="1" t="s">
        <v>38</v>
      </c>
      <c r="K892" s="1" t="s">
        <v>2553</v>
      </c>
      <c r="L892" s="2">
        <v>19291.919999999998</v>
      </c>
      <c r="M892">
        <f t="shared" si="39"/>
        <v>18263.25553368</v>
      </c>
      <c r="N892">
        <f t="shared" si="40"/>
        <v>1616.2173038654867</v>
      </c>
      <c r="O892" t="str">
        <f t="shared" si="41"/>
        <v>FJERN</v>
      </c>
      <c r="P892" s="1" t="s">
        <v>5948</v>
      </c>
    </row>
    <row r="893" spans="1:16" ht="15" customHeight="1" x14ac:dyDescent="0.2">
      <c r="A893" s="1" t="s">
        <v>2554</v>
      </c>
      <c r="B893" s="1" t="s">
        <v>2555</v>
      </c>
      <c r="C893" s="1" t="s">
        <v>9</v>
      </c>
      <c r="D893" s="1" t="s">
        <v>3</v>
      </c>
      <c r="E893" s="5">
        <v>39405</v>
      </c>
      <c r="F893" s="5">
        <v>40792</v>
      </c>
      <c r="G893" s="2">
        <v>0.3090966</v>
      </c>
      <c r="H893" s="1" t="s">
        <v>10</v>
      </c>
      <c r="I893" s="2"/>
      <c r="J893" s="1" t="s">
        <v>76</v>
      </c>
      <c r="K893" s="1" t="s">
        <v>2556</v>
      </c>
      <c r="L893" s="2">
        <v>17370.240000000002</v>
      </c>
      <c r="M893">
        <f t="shared" si="39"/>
        <v>5369.0821251840007</v>
      </c>
      <c r="N893">
        <f t="shared" si="40"/>
        <v>475.14001107823015</v>
      </c>
      <c r="O893" t="str">
        <f t="shared" si="41"/>
        <v>FJERN</v>
      </c>
      <c r="P893" s="1"/>
    </row>
    <row r="894" spans="1:16" ht="15" customHeight="1" x14ac:dyDescent="0.2">
      <c r="A894" s="1" t="s">
        <v>2557</v>
      </c>
      <c r="B894" s="1" t="s">
        <v>2558</v>
      </c>
      <c r="C894" s="1" t="s">
        <v>2</v>
      </c>
      <c r="D894" s="1" t="s">
        <v>3</v>
      </c>
      <c r="E894" s="5">
        <v>39409</v>
      </c>
      <c r="F894" s="5">
        <v>41219</v>
      </c>
      <c r="G894" s="2">
        <v>117.566</v>
      </c>
      <c r="H894" s="1" t="s">
        <v>4</v>
      </c>
      <c r="I894" s="2"/>
      <c r="J894" s="1" t="s">
        <v>15</v>
      </c>
      <c r="K894" s="1" t="s">
        <v>2559</v>
      </c>
      <c r="L894" s="2">
        <v>95.459239999999994</v>
      </c>
      <c r="M894">
        <f t="shared" si="39"/>
        <v>11222.76100984</v>
      </c>
      <c r="N894">
        <f t="shared" si="40"/>
        <v>1506.4108738040268</v>
      </c>
      <c r="O894" t="str">
        <f t="shared" si="41"/>
        <v>FJERN</v>
      </c>
      <c r="P894" s="1" t="s">
        <v>5949</v>
      </c>
    </row>
    <row r="895" spans="1:16" ht="15" customHeight="1" x14ac:dyDescent="0.2">
      <c r="A895" s="1" t="s">
        <v>2560</v>
      </c>
      <c r="B895" s="1" t="s">
        <v>2561</v>
      </c>
      <c r="C895" s="1" t="s">
        <v>2</v>
      </c>
      <c r="D895" s="1" t="s">
        <v>3</v>
      </c>
      <c r="E895" s="5">
        <v>39395</v>
      </c>
      <c r="F895" s="5">
        <v>42194</v>
      </c>
      <c r="G895" s="2">
        <v>17.411850000000001</v>
      </c>
      <c r="H895" s="1" t="s">
        <v>4</v>
      </c>
      <c r="I895" s="2"/>
      <c r="J895" s="1" t="s">
        <v>167</v>
      </c>
      <c r="K895" s="1" t="s">
        <v>2562</v>
      </c>
      <c r="L895" s="2">
        <v>72.099810000000005</v>
      </c>
      <c r="M895">
        <f t="shared" si="39"/>
        <v>1255.3910767485002</v>
      </c>
      <c r="N895">
        <f t="shared" si="40"/>
        <v>168.5088693622148</v>
      </c>
      <c r="O895" t="str">
        <f t="shared" si="41"/>
        <v>FJERN</v>
      </c>
      <c r="P895" s="1"/>
    </row>
    <row r="896" spans="1:16" ht="15" customHeight="1" x14ac:dyDescent="0.2">
      <c r="A896" s="1" t="s">
        <v>2563</v>
      </c>
      <c r="B896" s="1" t="s">
        <v>2564</v>
      </c>
      <c r="C896" s="1" t="s">
        <v>9</v>
      </c>
      <c r="D896" s="1" t="s">
        <v>3</v>
      </c>
      <c r="E896" s="5">
        <v>39511</v>
      </c>
      <c r="F896" s="5">
        <v>40359</v>
      </c>
      <c r="G896" s="2">
        <v>94.946190000000001</v>
      </c>
      <c r="H896" s="1" t="s">
        <v>10</v>
      </c>
      <c r="I896" s="2"/>
      <c r="J896" s="1" t="s">
        <v>184</v>
      </c>
      <c r="K896" s="1" t="s">
        <v>2565</v>
      </c>
      <c r="L896" s="2">
        <v>43.810040000000001</v>
      </c>
      <c r="M896">
        <f t="shared" si="39"/>
        <v>4159.5963817476004</v>
      </c>
      <c r="N896">
        <f t="shared" si="40"/>
        <v>368.10587449093805</v>
      </c>
      <c r="O896" t="str">
        <f t="shared" si="41"/>
        <v>FJERN</v>
      </c>
      <c r="P896" s="1"/>
    </row>
    <row r="897" spans="1:16" ht="15" customHeight="1" x14ac:dyDescent="0.2">
      <c r="A897" s="1" t="s">
        <v>2566</v>
      </c>
      <c r="B897" s="1" t="s">
        <v>2567</v>
      </c>
      <c r="C897" s="1" t="s">
        <v>9</v>
      </c>
      <c r="D897" s="1" t="s">
        <v>3</v>
      </c>
      <c r="E897" s="5">
        <v>39400</v>
      </c>
      <c r="F897" s="5">
        <v>43634</v>
      </c>
      <c r="G897" s="2">
        <v>12.04252</v>
      </c>
      <c r="H897" s="1" t="s">
        <v>10</v>
      </c>
      <c r="I897" s="2"/>
      <c r="J897" s="1" t="s">
        <v>61</v>
      </c>
      <c r="K897" s="1" t="s">
        <v>2568</v>
      </c>
      <c r="L897" s="2">
        <v>44138.39</v>
      </c>
      <c r="M897">
        <f t="shared" si="39"/>
        <v>531537.44434279995</v>
      </c>
      <c r="N897">
        <f t="shared" si="40"/>
        <v>47038.711888743353</v>
      </c>
      <c r="O897" t="str">
        <f t="shared" si="41"/>
        <v>FJERN</v>
      </c>
      <c r="P897" s="1" t="s">
        <v>5950</v>
      </c>
    </row>
    <row r="898" spans="1:16" ht="15" customHeight="1" x14ac:dyDescent="0.2">
      <c r="A898" s="1" t="s">
        <v>2569</v>
      </c>
      <c r="B898" s="1" t="s">
        <v>2570</v>
      </c>
      <c r="C898" s="1" t="s">
        <v>2</v>
      </c>
      <c r="D898" s="1" t="s">
        <v>3</v>
      </c>
      <c r="E898" s="5">
        <v>39394</v>
      </c>
      <c r="F898" s="5">
        <v>46155</v>
      </c>
      <c r="G898" s="2">
        <v>11.33746</v>
      </c>
      <c r="H898" s="1" t="s">
        <v>4</v>
      </c>
      <c r="I898" s="2">
        <v>48.413900480000002</v>
      </c>
      <c r="J898" s="1" t="s">
        <v>11</v>
      </c>
      <c r="K898" s="1" t="s">
        <v>2571</v>
      </c>
      <c r="L898" s="2">
        <v>6862.93</v>
      </c>
      <c r="M898">
        <f t="shared" si="39"/>
        <v>77808.194357800006</v>
      </c>
      <c r="N898">
        <f t="shared" si="40"/>
        <v>10444.052933932886</v>
      </c>
      <c r="O898" t="str">
        <f t="shared" si="41"/>
        <v>FJERN</v>
      </c>
      <c r="P898" s="1" t="s">
        <v>5951</v>
      </c>
    </row>
    <row r="899" spans="1:16" ht="15" customHeight="1" x14ac:dyDescent="0.2">
      <c r="A899" s="1" t="s">
        <v>2572</v>
      </c>
      <c r="B899" s="1" t="s">
        <v>2573</v>
      </c>
      <c r="C899" s="1" t="s">
        <v>2</v>
      </c>
      <c r="D899" s="1" t="s">
        <v>3</v>
      </c>
      <c r="E899" s="5">
        <v>39458</v>
      </c>
      <c r="F899" s="5">
        <v>42187</v>
      </c>
      <c r="G899" s="2">
        <v>7.412477</v>
      </c>
      <c r="H899" s="1" t="s">
        <v>4</v>
      </c>
      <c r="I899" s="2"/>
      <c r="J899" s="1" t="s">
        <v>167</v>
      </c>
      <c r="K899" s="1" t="s">
        <v>2574</v>
      </c>
      <c r="L899" s="2">
        <v>106.59829999999999</v>
      </c>
      <c r="M899">
        <f t="shared" ref="M899:M962" si="42">IF(OR(G899="",L899=""),"",G899*L899)</f>
        <v>790.15744698909998</v>
      </c>
      <c r="N899">
        <f t="shared" ref="N899:N962" si="43">IF(M899="","",IF(H899="DKK",M899/7.45,IF(H899="SEK",M899/11.3,M899)))</f>
        <v>106.0614022804161</v>
      </c>
      <c r="O899" t="str">
        <f t="shared" ref="O899:O962" si="44">IF(AND(E899&lt;=DATE(2024,12,31),F899&gt;=DATE(2010,1,1),D899="SHARE",N899&gt;=100000),"BEHOLD","FJERN")</f>
        <v>FJERN</v>
      </c>
      <c r="P899" s="1" t="s">
        <v>5952</v>
      </c>
    </row>
    <row r="900" spans="1:16" ht="15" customHeight="1" x14ac:dyDescent="0.2">
      <c r="A900" s="1" t="s">
        <v>2575</v>
      </c>
      <c r="B900" s="1" t="s">
        <v>2576</v>
      </c>
      <c r="C900" s="1" t="s">
        <v>2</v>
      </c>
      <c r="D900" s="1" t="s">
        <v>3</v>
      </c>
      <c r="E900" s="5">
        <v>39458</v>
      </c>
      <c r="F900" s="5">
        <v>40347</v>
      </c>
      <c r="G900" s="2">
        <v>2.8021929999999999</v>
      </c>
      <c r="H900" s="1" t="s">
        <v>4</v>
      </c>
      <c r="I900" s="2"/>
      <c r="J900" s="1" t="s">
        <v>19</v>
      </c>
      <c r="K900" s="1" t="s">
        <v>2577</v>
      </c>
      <c r="L900" s="2">
        <v>481.14249999999998</v>
      </c>
      <c r="M900">
        <f t="shared" si="42"/>
        <v>1348.2541455025</v>
      </c>
      <c r="N900">
        <f t="shared" si="43"/>
        <v>180.97371080570468</v>
      </c>
      <c r="O900" t="str">
        <f t="shared" si="44"/>
        <v>FJERN</v>
      </c>
      <c r="P900" s="1"/>
    </row>
    <row r="901" spans="1:16" ht="15" customHeight="1" x14ac:dyDescent="0.2">
      <c r="A901" s="1" t="s">
        <v>2578</v>
      </c>
      <c r="B901" s="1" t="s">
        <v>2579</v>
      </c>
      <c r="C901" s="1" t="s">
        <v>2</v>
      </c>
      <c r="D901" s="1" t="s">
        <v>3</v>
      </c>
      <c r="E901" s="5">
        <v>39436</v>
      </c>
      <c r="F901" s="5">
        <v>41724</v>
      </c>
      <c r="G901" s="2">
        <v>11.063789999999999</v>
      </c>
      <c r="H901" s="1" t="s">
        <v>4</v>
      </c>
      <c r="I901" s="2"/>
      <c r="J901" s="1" t="s">
        <v>236</v>
      </c>
      <c r="K901" s="1" t="s">
        <v>2580</v>
      </c>
      <c r="L901" s="2">
        <v>6429.4939999999997</v>
      </c>
      <c r="M901">
        <f t="shared" si="42"/>
        <v>71134.571422259993</v>
      </c>
      <c r="N901">
        <f t="shared" si="43"/>
        <v>9548.2646204375833</v>
      </c>
      <c r="O901" t="str">
        <f t="shared" si="44"/>
        <v>FJERN</v>
      </c>
      <c r="P901" s="1" t="s">
        <v>5953</v>
      </c>
    </row>
    <row r="902" spans="1:16" ht="15" customHeight="1" x14ac:dyDescent="0.2">
      <c r="A902" s="1" t="s">
        <v>2581</v>
      </c>
      <c r="B902" s="1" t="s">
        <v>2582</v>
      </c>
      <c r="C902" s="1" t="s">
        <v>9</v>
      </c>
      <c r="D902" s="1" t="s">
        <v>3</v>
      </c>
      <c r="E902" s="5">
        <v>39506</v>
      </c>
      <c r="F902" s="5">
        <v>41110</v>
      </c>
      <c r="G902" s="2">
        <v>11.373089999999999</v>
      </c>
      <c r="H902" s="1" t="s">
        <v>10</v>
      </c>
      <c r="I902" s="2"/>
      <c r="J902" s="1" t="s">
        <v>236</v>
      </c>
      <c r="K902" s="1" t="s">
        <v>2583</v>
      </c>
      <c r="L902" s="2">
        <v>386.36279999999999</v>
      </c>
      <c r="M902">
        <f t="shared" si="42"/>
        <v>4394.1388970519993</v>
      </c>
      <c r="N902">
        <f t="shared" si="43"/>
        <v>388.8618492966371</v>
      </c>
      <c r="O902" t="str">
        <f t="shared" si="44"/>
        <v>FJERN</v>
      </c>
      <c r="P902" s="1"/>
    </row>
    <row r="903" spans="1:16" ht="15" customHeight="1" x14ac:dyDescent="0.2">
      <c r="A903" s="1" t="s">
        <v>2584</v>
      </c>
      <c r="B903" s="1" t="s">
        <v>2585</v>
      </c>
      <c r="C903" s="1" t="s">
        <v>9</v>
      </c>
      <c r="D903" s="1" t="s">
        <v>3</v>
      </c>
      <c r="E903" s="5">
        <v>39533</v>
      </c>
      <c r="F903" s="5">
        <v>40420</v>
      </c>
      <c r="G903" s="2">
        <v>0.53437699999999999</v>
      </c>
      <c r="H903" s="1" t="s">
        <v>10</v>
      </c>
      <c r="I903" s="2"/>
      <c r="J903" s="1" t="s">
        <v>236</v>
      </c>
      <c r="K903" s="1" t="s">
        <v>2586</v>
      </c>
      <c r="L903" s="2">
        <v>1624.288</v>
      </c>
      <c r="M903">
        <f t="shared" si="42"/>
        <v>867.98214857599999</v>
      </c>
      <c r="N903">
        <f t="shared" si="43"/>
        <v>76.81257952</v>
      </c>
      <c r="O903" t="str">
        <f t="shared" si="44"/>
        <v>FJERN</v>
      </c>
      <c r="P903" s="1"/>
    </row>
    <row r="904" spans="1:16" ht="15" customHeight="1" x14ac:dyDescent="0.2">
      <c r="A904" s="1" t="s">
        <v>2587</v>
      </c>
      <c r="B904" s="1" t="s">
        <v>2588</v>
      </c>
      <c r="C904" s="1" t="s">
        <v>2</v>
      </c>
      <c r="D904" s="1" t="s">
        <v>3</v>
      </c>
      <c r="E904" s="5">
        <v>39514</v>
      </c>
      <c r="F904" s="5">
        <v>41568</v>
      </c>
      <c r="G904" s="2">
        <v>88.059979999999996</v>
      </c>
      <c r="H904" s="1" t="s">
        <v>4</v>
      </c>
      <c r="I904" s="2"/>
      <c r="J904" s="1" t="s">
        <v>30</v>
      </c>
      <c r="K904" s="1" t="s">
        <v>2589</v>
      </c>
      <c r="L904" s="2">
        <v>1282.6679999999999</v>
      </c>
      <c r="M904">
        <f t="shared" si="42"/>
        <v>112951.71842663999</v>
      </c>
      <c r="N904">
        <f t="shared" si="43"/>
        <v>15161.304486797313</v>
      </c>
      <c r="O904" t="str">
        <f t="shared" si="44"/>
        <v>FJERN</v>
      </c>
      <c r="P904" s="1"/>
    </row>
    <row r="905" spans="1:16" ht="15" customHeight="1" x14ac:dyDescent="0.2">
      <c r="A905" s="1" t="s">
        <v>2590</v>
      </c>
      <c r="B905" s="1" t="s">
        <v>2591</v>
      </c>
      <c r="C905" s="1" t="s">
        <v>9</v>
      </c>
      <c r="D905" s="1" t="s">
        <v>3</v>
      </c>
      <c r="E905" s="5">
        <v>39595</v>
      </c>
      <c r="F905" s="5">
        <v>41498</v>
      </c>
      <c r="G905" s="2">
        <v>13.49288</v>
      </c>
      <c r="H905" s="1" t="s">
        <v>10</v>
      </c>
      <c r="I905" s="2"/>
      <c r="J905" s="1" t="s">
        <v>289</v>
      </c>
      <c r="K905" s="1" t="s">
        <v>2592</v>
      </c>
      <c r="L905" s="2">
        <v>4592.6260000000002</v>
      </c>
      <c r="M905">
        <f t="shared" si="42"/>
        <v>61967.751502879997</v>
      </c>
      <c r="N905">
        <f t="shared" si="43"/>
        <v>5483.8718144141585</v>
      </c>
      <c r="O905" t="str">
        <f t="shared" si="44"/>
        <v>FJERN</v>
      </c>
      <c r="P905" s="1" t="s">
        <v>5954</v>
      </c>
    </row>
    <row r="906" spans="1:16" ht="15" customHeight="1" x14ac:dyDescent="0.2">
      <c r="A906" s="1" t="s">
        <v>2593</v>
      </c>
      <c r="B906" s="1" t="s">
        <v>2594</v>
      </c>
      <c r="C906" s="1" t="s">
        <v>9</v>
      </c>
      <c r="D906" s="1" t="s">
        <v>3</v>
      </c>
      <c r="E906" s="5">
        <v>39601</v>
      </c>
      <c r="F906" s="5">
        <v>41151</v>
      </c>
      <c r="G906" s="2">
        <v>1.027298</v>
      </c>
      <c r="H906" s="1" t="s">
        <v>10</v>
      </c>
      <c r="I906" s="2"/>
      <c r="J906" s="1" t="s">
        <v>167</v>
      </c>
      <c r="K906" s="1" t="s">
        <v>2595</v>
      </c>
      <c r="L906" s="2">
        <v>14478.76</v>
      </c>
      <c r="M906">
        <f t="shared" si="42"/>
        <v>14874.001190480001</v>
      </c>
      <c r="N906">
        <f t="shared" si="43"/>
        <v>1316.2832911929204</v>
      </c>
      <c r="O906" t="str">
        <f t="shared" si="44"/>
        <v>FJERN</v>
      </c>
      <c r="P906" s="1"/>
    </row>
    <row r="907" spans="1:16" ht="15" customHeight="1" x14ac:dyDescent="0.2">
      <c r="A907" s="1" t="s">
        <v>2596</v>
      </c>
      <c r="B907" s="1" t="s">
        <v>2597</v>
      </c>
      <c r="C907" s="1" t="s">
        <v>2</v>
      </c>
      <c r="D907" s="1" t="s">
        <v>3</v>
      </c>
      <c r="E907" s="5">
        <v>39559</v>
      </c>
      <c r="F907" s="5">
        <v>46155</v>
      </c>
      <c r="G907" s="2">
        <v>147.73699999999999</v>
      </c>
      <c r="H907" s="1" t="s">
        <v>4</v>
      </c>
      <c r="I907" s="2">
        <v>390.22674599999999</v>
      </c>
      <c r="J907" s="1" t="s">
        <v>61</v>
      </c>
      <c r="K907" s="1" t="s">
        <v>2598</v>
      </c>
      <c r="L907" s="2">
        <v>1044.7850000000001</v>
      </c>
      <c r="M907">
        <f t="shared" si="42"/>
        <v>154353.401545</v>
      </c>
      <c r="N907">
        <f t="shared" si="43"/>
        <v>20718.577388590602</v>
      </c>
      <c r="O907" t="str">
        <f t="shared" si="44"/>
        <v>FJERN</v>
      </c>
      <c r="P907" s="1"/>
    </row>
    <row r="908" spans="1:16" ht="15" customHeight="1" x14ac:dyDescent="0.2">
      <c r="A908" s="1" t="s">
        <v>2599</v>
      </c>
      <c r="B908" s="1" t="s">
        <v>2600</v>
      </c>
      <c r="C908" s="1" t="s">
        <v>2</v>
      </c>
      <c r="D908" s="1" t="s">
        <v>3</v>
      </c>
      <c r="E908" s="5">
        <v>39563</v>
      </c>
      <c r="F908" s="5">
        <v>41422</v>
      </c>
      <c r="G908" s="2">
        <v>6483.7070000000003</v>
      </c>
      <c r="H908" s="1" t="s">
        <v>4</v>
      </c>
      <c r="I908" s="2"/>
      <c r="J908" s="1" t="s">
        <v>55</v>
      </c>
      <c r="K908" s="1" t="s">
        <v>2601</v>
      </c>
      <c r="L908" s="2">
        <v>18.39188</v>
      </c>
      <c r="M908">
        <f t="shared" si="42"/>
        <v>119247.56109916001</v>
      </c>
      <c r="N908">
        <f t="shared" si="43"/>
        <v>16006.384040155706</v>
      </c>
      <c r="O908" t="str">
        <f t="shared" si="44"/>
        <v>FJERN</v>
      </c>
      <c r="P908" s="1" t="s">
        <v>5955</v>
      </c>
    </row>
    <row r="909" spans="1:16" ht="15" customHeight="1" x14ac:dyDescent="0.2">
      <c r="A909" s="1" t="s">
        <v>2602</v>
      </c>
      <c r="B909" s="1" t="s">
        <v>2603</v>
      </c>
      <c r="C909" s="1" t="s">
        <v>2</v>
      </c>
      <c r="D909" s="1" t="s">
        <v>3</v>
      </c>
      <c r="E909" s="5">
        <v>39563</v>
      </c>
      <c r="F909" s="5">
        <v>41423</v>
      </c>
      <c r="G909" s="2">
        <v>533.57299999999998</v>
      </c>
      <c r="H909" s="1" t="s">
        <v>4</v>
      </c>
      <c r="I909" s="2"/>
      <c r="J909" s="1" t="s">
        <v>55</v>
      </c>
      <c r="K909" s="1" t="s">
        <v>2604</v>
      </c>
      <c r="L909" s="2">
        <v>45.529710000000001</v>
      </c>
      <c r="M909">
        <f t="shared" si="42"/>
        <v>24293.423953829999</v>
      </c>
      <c r="N909">
        <f t="shared" si="43"/>
        <v>3260.8622756818791</v>
      </c>
      <c r="O909" t="str">
        <f t="shared" si="44"/>
        <v>FJERN</v>
      </c>
      <c r="P909" s="1" t="s">
        <v>5956</v>
      </c>
    </row>
    <row r="910" spans="1:16" ht="15" customHeight="1" x14ac:dyDescent="0.2">
      <c r="A910" s="1" t="s">
        <v>2605</v>
      </c>
      <c r="B910" s="1" t="s">
        <v>2606</v>
      </c>
      <c r="C910" s="1" t="s">
        <v>9</v>
      </c>
      <c r="D910" s="1" t="s">
        <v>3</v>
      </c>
      <c r="E910" s="5">
        <v>39590</v>
      </c>
      <c r="F910" s="5">
        <v>46155</v>
      </c>
      <c r="G910" s="2">
        <v>75.407619999999994</v>
      </c>
      <c r="H910" s="1" t="s">
        <v>10</v>
      </c>
      <c r="I910" s="2">
        <v>1657.8496725</v>
      </c>
      <c r="J910" s="1" t="s">
        <v>289</v>
      </c>
      <c r="K910" s="1" t="s">
        <v>2607</v>
      </c>
      <c r="L910" s="2">
        <v>12295.74</v>
      </c>
      <c r="M910">
        <f t="shared" si="42"/>
        <v>927192.48953879997</v>
      </c>
      <c r="N910">
        <f t="shared" si="43"/>
        <v>82052.432702548671</v>
      </c>
      <c r="O910" t="str">
        <f t="shared" si="44"/>
        <v>FJERN</v>
      </c>
      <c r="P910" s="1" t="s">
        <v>5957</v>
      </c>
    </row>
    <row r="911" spans="1:16" ht="15" customHeight="1" x14ac:dyDescent="0.2">
      <c r="A911" s="1" t="s">
        <v>2608</v>
      </c>
      <c r="B911" s="1" t="s">
        <v>2609</v>
      </c>
      <c r="C911" s="1" t="s">
        <v>9</v>
      </c>
      <c r="D911" s="1" t="s">
        <v>3</v>
      </c>
      <c r="E911" s="5">
        <v>39575</v>
      </c>
      <c r="F911" s="5">
        <v>40085</v>
      </c>
      <c r="G911" s="2">
        <v>0.27527089999999999</v>
      </c>
      <c r="H911" s="1" t="s">
        <v>10</v>
      </c>
      <c r="I911" s="2"/>
      <c r="J911" s="1" t="s">
        <v>289</v>
      </c>
      <c r="K911" s="1" t="s">
        <v>2610</v>
      </c>
      <c r="L911" s="2">
        <v>33410.26</v>
      </c>
      <c r="M911">
        <f t="shared" si="42"/>
        <v>9196.8723394339995</v>
      </c>
      <c r="N911">
        <f t="shared" si="43"/>
        <v>813.88250791451321</v>
      </c>
      <c r="O911" t="str">
        <f t="shared" si="44"/>
        <v>FJERN</v>
      </c>
      <c r="P911" s="1"/>
    </row>
    <row r="912" spans="1:16" ht="15" customHeight="1" x14ac:dyDescent="0.2">
      <c r="A912" s="1" t="s">
        <v>2611</v>
      </c>
      <c r="B912" s="1" t="s">
        <v>2612</v>
      </c>
      <c r="C912" s="1" t="s">
        <v>9</v>
      </c>
      <c r="D912" s="1" t="s">
        <v>3</v>
      </c>
      <c r="E912" s="5">
        <v>39629</v>
      </c>
      <c r="F912" s="5">
        <v>40249</v>
      </c>
      <c r="G912" s="2">
        <v>2.5192610000000002</v>
      </c>
      <c r="H912" s="1" t="s">
        <v>10</v>
      </c>
      <c r="I912" s="2"/>
      <c r="J912" s="1" t="s">
        <v>38</v>
      </c>
      <c r="K912" s="1" t="s">
        <v>2613</v>
      </c>
      <c r="L912" s="2">
        <v>446.48480000000001</v>
      </c>
      <c r="M912">
        <f t="shared" si="42"/>
        <v>1124.8117437328001</v>
      </c>
      <c r="N912">
        <f t="shared" si="43"/>
        <v>99.540862277238944</v>
      </c>
      <c r="O912" t="str">
        <f t="shared" si="44"/>
        <v>FJERN</v>
      </c>
      <c r="P912" s="1"/>
    </row>
    <row r="913" spans="1:16" ht="15" customHeight="1" x14ac:dyDescent="0.2">
      <c r="A913" s="1" t="s">
        <v>2614</v>
      </c>
      <c r="B913" s="1" t="s">
        <v>2615</v>
      </c>
      <c r="C913" s="1" t="s">
        <v>9</v>
      </c>
      <c r="D913" s="1" t="s">
        <v>3</v>
      </c>
      <c r="E913" s="5">
        <v>39584</v>
      </c>
      <c r="F913" s="5">
        <v>40983</v>
      </c>
      <c r="G913" s="2">
        <v>5.2827330000000003</v>
      </c>
      <c r="H913" s="1" t="s">
        <v>10</v>
      </c>
      <c r="I913" s="2"/>
      <c r="J913" s="1" t="s">
        <v>167</v>
      </c>
      <c r="K913" s="1" t="s">
        <v>2616</v>
      </c>
      <c r="L913" s="2">
        <v>44.396920000000001</v>
      </c>
      <c r="M913">
        <f t="shared" si="42"/>
        <v>234.53707438236003</v>
      </c>
      <c r="N913">
        <f t="shared" si="43"/>
        <v>20.755493308173453</v>
      </c>
      <c r="O913" t="str">
        <f t="shared" si="44"/>
        <v>FJERN</v>
      </c>
      <c r="P913" s="1"/>
    </row>
    <row r="914" spans="1:16" ht="15" customHeight="1" x14ac:dyDescent="0.2">
      <c r="A914" s="1" t="s">
        <v>2617</v>
      </c>
      <c r="B914" s="1" t="s">
        <v>2618</v>
      </c>
      <c r="C914" s="1" t="s">
        <v>9</v>
      </c>
      <c r="D914" s="1" t="s">
        <v>3</v>
      </c>
      <c r="E914" s="5">
        <v>39625</v>
      </c>
      <c r="F914" s="5">
        <v>39994</v>
      </c>
      <c r="G914" s="2">
        <v>35.156210000000002</v>
      </c>
      <c r="H914" s="1" t="s">
        <v>10</v>
      </c>
      <c r="I914" s="2"/>
      <c r="J914" s="1" t="s">
        <v>236</v>
      </c>
      <c r="K914" s="1" t="s">
        <v>2619</v>
      </c>
      <c r="L914" s="2">
        <v>4115.3050000000003</v>
      </c>
      <c r="M914">
        <f t="shared" si="42"/>
        <v>144678.52679405001</v>
      </c>
      <c r="N914">
        <f t="shared" si="43"/>
        <v>12803.409450800884</v>
      </c>
      <c r="O914" t="str">
        <f t="shared" si="44"/>
        <v>FJERN</v>
      </c>
      <c r="P914" s="1" t="s">
        <v>5958</v>
      </c>
    </row>
    <row r="915" spans="1:16" ht="15" customHeight="1" x14ac:dyDescent="0.2">
      <c r="A915" s="1" t="s">
        <v>2620</v>
      </c>
      <c r="B915" s="1" t="s">
        <v>2621</v>
      </c>
      <c r="C915" s="1" t="s">
        <v>9</v>
      </c>
      <c r="D915" s="1" t="s">
        <v>3</v>
      </c>
      <c r="E915" s="5">
        <v>39617</v>
      </c>
      <c r="F915" s="5">
        <v>46155</v>
      </c>
      <c r="G915" s="2">
        <v>8.1595750000000002</v>
      </c>
      <c r="H915" s="1" t="s">
        <v>10</v>
      </c>
      <c r="I915" s="2">
        <v>848.96124840000004</v>
      </c>
      <c r="J915" s="1" t="s">
        <v>34</v>
      </c>
      <c r="K915" s="1" t="s">
        <v>2622</v>
      </c>
      <c r="L915" s="2">
        <v>56124.3</v>
      </c>
      <c r="M915">
        <f t="shared" si="42"/>
        <v>457950.43517250003</v>
      </c>
      <c r="N915">
        <f t="shared" si="43"/>
        <v>40526.587183407079</v>
      </c>
      <c r="O915" t="str">
        <f t="shared" si="44"/>
        <v>FJERN</v>
      </c>
      <c r="P915" s="1" t="s">
        <v>5959</v>
      </c>
    </row>
    <row r="916" spans="1:16" ht="15" customHeight="1" x14ac:dyDescent="0.2">
      <c r="A916" s="1" t="s">
        <v>2623</v>
      </c>
      <c r="B916" s="1" t="s">
        <v>2624</v>
      </c>
      <c r="C916" s="1" t="s">
        <v>9</v>
      </c>
      <c r="D916" s="1" t="s">
        <v>3</v>
      </c>
      <c r="E916" s="5">
        <v>39615</v>
      </c>
      <c r="F916" s="5">
        <v>42951</v>
      </c>
      <c r="G916" s="2">
        <v>91.00488</v>
      </c>
      <c r="H916" s="1" t="s">
        <v>10</v>
      </c>
      <c r="I916" s="2"/>
      <c r="J916" s="1" t="s">
        <v>391</v>
      </c>
      <c r="K916" s="1" t="s">
        <v>2625</v>
      </c>
      <c r="L916" s="2">
        <v>7132.6779999999999</v>
      </c>
      <c r="M916">
        <f t="shared" si="42"/>
        <v>649108.50546864001</v>
      </c>
      <c r="N916">
        <f t="shared" si="43"/>
        <v>57443.230572446017</v>
      </c>
      <c r="O916" t="str">
        <f t="shared" si="44"/>
        <v>FJERN</v>
      </c>
      <c r="P916" s="1" t="s">
        <v>5960</v>
      </c>
    </row>
    <row r="917" spans="1:16" ht="15" customHeight="1" x14ac:dyDescent="0.2">
      <c r="A917" s="1" t="s">
        <v>2626</v>
      </c>
      <c r="B917" s="1" t="s">
        <v>2627</v>
      </c>
      <c r="C917" s="1" t="s">
        <v>2</v>
      </c>
      <c r="D917" s="1" t="s">
        <v>3</v>
      </c>
      <c r="E917" s="5">
        <v>39639</v>
      </c>
      <c r="F917" s="5">
        <v>46155</v>
      </c>
      <c r="G917" s="2">
        <v>131.0462</v>
      </c>
      <c r="H917" s="1" t="s">
        <v>4</v>
      </c>
      <c r="I917" s="2">
        <v>822.98073799999997</v>
      </c>
      <c r="J917" s="1" t="s">
        <v>61</v>
      </c>
      <c r="K917" s="1" t="s">
        <v>2628</v>
      </c>
      <c r="L917" s="2">
        <v>675.23940000000005</v>
      </c>
      <c r="M917">
        <f t="shared" si="42"/>
        <v>88487.557460280004</v>
      </c>
      <c r="N917">
        <f t="shared" si="43"/>
        <v>11877.524491312752</v>
      </c>
      <c r="O917" t="str">
        <f t="shared" si="44"/>
        <v>FJERN</v>
      </c>
      <c r="P917" s="1" t="s">
        <v>5961</v>
      </c>
    </row>
    <row r="918" spans="1:16" ht="15" customHeight="1" x14ac:dyDescent="0.2">
      <c r="A918" s="1" t="s">
        <v>2629</v>
      </c>
      <c r="B918" s="1" t="s">
        <v>2630</v>
      </c>
      <c r="C918" s="1" t="s">
        <v>9</v>
      </c>
      <c r="D918" s="1" t="s">
        <v>3</v>
      </c>
      <c r="E918" s="5">
        <v>39724</v>
      </c>
      <c r="F918" s="5">
        <v>45733</v>
      </c>
      <c r="G918" s="2">
        <v>7.8084949999999997</v>
      </c>
      <c r="H918" s="1" t="s">
        <v>10</v>
      </c>
      <c r="I918" s="2"/>
      <c r="J918" s="1" t="s">
        <v>366</v>
      </c>
      <c r="K918" s="1" t="s">
        <v>2631</v>
      </c>
      <c r="L918" s="2">
        <v>1226055</v>
      </c>
      <c r="M918">
        <f t="shared" si="42"/>
        <v>9573644.3372249994</v>
      </c>
      <c r="N918">
        <f t="shared" si="43"/>
        <v>847225.16258628306</v>
      </c>
      <c r="O918" t="str">
        <f t="shared" si="44"/>
        <v>BEHOLD</v>
      </c>
      <c r="P918" s="1" t="s">
        <v>5962</v>
      </c>
    </row>
    <row r="919" spans="1:16" ht="15" customHeight="1" x14ac:dyDescent="0.2">
      <c r="A919" s="1" t="s">
        <v>2632</v>
      </c>
      <c r="B919" s="1" t="s">
        <v>2633</v>
      </c>
      <c r="C919" s="1" t="s">
        <v>9</v>
      </c>
      <c r="D919" s="1" t="s">
        <v>3</v>
      </c>
      <c r="E919" s="5">
        <v>39724</v>
      </c>
      <c r="F919" s="5">
        <v>44701</v>
      </c>
      <c r="G919" s="2">
        <v>11.704829999999999</v>
      </c>
      <c r="H919" s="1" t="s">
        <v>10</v>
      </c>
      <c r="I919" s="2"/>
      <c r="J919" s="1" t="s">
        <v>64</v>
      </c>
      <c r="K919" s="1" t="s">
        <v>2634</v>
      </c>
      <c r="L919" s="2">
        <v>89120.52</v>
      </c>
      <c r="M919">
        <f t="shared" si="42"/>
        <v>1043140.5361116</v>
      </c>
      <c r="N919">
        <f t="shared" si="43"/>
        <v>92313.321779787599</v>
      </c>
      <c r="O919" t="str">
        <f t="shared" si="44"/>
        <v>FJERN</v>
      </c>
      <c r="P919" s="1" t="s">
        <v>5963</v>
      </c>
    </row>
    <row r="920" spans="1:16" ht="15" customHeight="1" x14ac:dyDescent="0.2">
      <c r="A920" s="1" t="s">
        <v>2635</v>
      </c>
      <c r="B920" s="1" t="s">
        <v>2636</v>
      </c>
      <c r="C920" s="1" t="s">
        <v>9</v>
      </c>
      <c r="D920" s="1" t="s">
        <v>3</v>
      </c>
      <c r="E920" s="5">
        <v>39787</v>
      </c>
      <c r="F920" s="5">
        <v>40966</v>
      </c>
      <c r="G920" s="2">
        <v>1.920185</v>
      </c>
      <c r="H920" s="1" t="s">
        <v>10</v>
      </c>
      <c r="I920" s="2"/>
      <c r="J920" s="1" t="s">
        <v>76</v>
      </c>
      <c r="K920" s="1" t="s">
        <v>2637</v>
      </c>
      <c r="L920" s="2">
        <v>25518.58</v>
      </c>
      <c r="M920">
        <f t="shared" si="42"/>
        <v>49000.394537300002</v>
      </c>
      <c r="N920">
        <f t="shared" si="43"/>
        <v>4336.3181006460172</v>
      </c>
      <c r="O920" t="str">
        <f t="shared" si="44"/>
        <v>FJERN</v>
      </c>
      <c r="P920" s="1"/>
    </row>
    <row r="921" spans="1:16" ht="15" customHeight="1" x14ac:dyDescent="0.2">
      <c r="A921" s="1" t="s">
        <v>2638</v>
      </c>
      <c r="B921" s="1" t="s">
        <v>2639</v>
      </c>
      <c r="C921" s="1" t="s">
        <v>9</v>
      </c>
      <c r="D921" s="1" t="s">
        <v>3</v>
      </c>
      <c r="E921" s="5">
        <v>39941</v>
      </c>
      <c r="F921" s="5">
        <v>46154</v>
      </c>
      <c r="G921" s="2">
        <v>2.6915279999999999</v>
      </c>
      <c r="H921" s="1" t="s">
        <v>10</v>
      </c>
      <c r="I921" s="2">
        <v>195.72082585199999</v>
      </c>
      <c r="J921" s="1" t="s">
        <v>236</v>
      </c>
      <c r="K921" s="1" t="s">
        <v>2640</v>
      </c>
      <c r="L921" s="2">
        <v>106486.2</v>
      </c>
      <c r="M921">
        <f t="shared" si="42"/>
        <v>286610.58891359996</v>
      </c>
      <c r="N921">
        <f t="shared" si="43"/>
        <v>25363.768930407074</v>
      </c>
      <c r="O921" t="str">
        <f t="shared" si="44"/>
        <v>FJERN</v>
      </c>
      <c r="P921" s="1" t="s">
        <v>5964</v>
      </c>
    </row>
    <row r="922" spans="1:16" ht="15" customHeight="1" x14ac:dyDescent="0.2">
      <c r="A922" s="1" t="s">
        <v>2641</v>
      </c>
      <c r="B922" s="1" t="s">
        <v>2642</v>
      </c>
      <c r="C922" s="1" t="s">
        <v>9</v>
      </c>
      <c r="D922" s="1" t="s">
        <v>3</v>
      </c>
      <c r="E922" s="5">
        <v>38604</v>
      </c>
      <c r="F922" s="5">
        <v>42912</v>
      </c>
      <c r="G922" s="2">
        <v>21.383849999999999</v>
      </c>
      <c r="H922" s="1" t="s">
        <v>10</v>
      </c>
      <c r="I922" s="2"/>
      <c r="J922" s="1" t="s">
        <v>236</v>
      </c>
      <c r="K922" s="1" t="s">
        <v>2643</v>
      </c>
      <c r="L922" s="2">
        <v>3746.2860000000001</v>
      </c>
      <c r="M922">
        <f t="shared" si="42"/>
        <v>80110.017881099993</v>
      </c>
      <c r="N922">
        <f t="shared" si="43"/>
        <v>7089.3821133716801</v>
      </c>
      <c r="O922" t="str">
        <f t="shared" si="44"/>
        <v>FJERN</v>
      </c>
      <c r="P922" s="1" t="s">
        <v>5965</v>
      </c>
    </row>
    <row r="923" spans="1:16" ht="15" customHeight="1" x14ac:dyDescent="0.2">
      <c r="A923" s="1" t="s">
        <v>2644</v>
      </c>
      <c r="B923" s="1" t="s">
        <v>2645</v>
      </c>
      <c r="C923" s="1" t="s">
        <v>9</v>
      </c>
      <c r="D923" s="1" t="s">
        <v>3</v>
      </c>
      <c r="E923" s="5">
        <v>40648</v>
      </c>
      <c r="F923" s="5">
        <v>46155</v>
      </c>
      <c r="G923" s="2">
        <v>6.5354169999999998</v>
      </c>
      <c r="H923" s="1" t="s">
        <v>10</v>
      </c>
      <c r="I923" s="2">
        <v>117.647322723999</v>
      </c>
      <c r="J923" s="1" t="s">
        <v>76</v>
      </c>
      <c r="K923" s="1" t="s">
        <v>2646</v>
      </c>
      <c r="L923" s="2">
        <v>490004.6</v>
      </c>
      <c r="M923">
        <f t="shared" si="42"/>
        <v>3202384.3929181998</v>
      </c>
      <c r="N923">
        <f t="shared" si="43"/>
        <v>283396.84893081413</v>
      </c>
      <c r="O923" t="str">
        <f t="shared" si="44"/>
        <v>BEHOLD</v>
      </c>
      <c r="P923" s="1" t="s">
        <v>5966</v>
      </c>
    </row>
    <row r="924" spans="1:16" ht="15" customHeight="1" x14ac:dyDescent="0.2">
      <c r="A924" s="1" t="s">
        <v>2647</v>
      </c>
      <c r="B924" s="1" t="s">
        <v>2648</v>
      </c>
      <c r="C924" s="1" t="s">
        <v>9</v>
      </c>
      <c r="D924" s="1" t="s">
        <v>3</v>
      </c>
      <c r="E924" s="5">
        <v>39790</v>
      </c>
      <c r="F924" s="5">
        <v>46155</v>
      </c>
      <c r="G924" s="2">
        <v>23.218979999999998</v>
      </c>
      <c r="H924" s="1" t="s">
        <v>10</v>
      </c>
      <c r="I924" s="2">
        <v>11599.174597359999</v>
      </c>
      <c r="J924" s="1" t="s">
        <v>5</v>
      </c>
      <c r="K924" s="1" t="s">
        <v>2649</v>
      </c>
      <c r="L924" s="2">
        <v>509899.1</v>
      </c>
      <c r="M924">
        <f t="shared" si="42"/>
        <v>11839337.004917998</v>
      </c>
      <c r="N924">
        <f t="shared" si="43"/>
        <v>1047728.9384883184</v>
      </c>
      <c r="O924" t="str">
        <f t="shared" si="44"/>
        <v>BEHOLD</v>
      </c>
      <c r="P924" s="1" t="s">
        <v>5967</v>
      </c>
    </row>
    <row r="925" spans="1:16" ht="15" customHeight="1" x14ac:dyDescent="0.2">
      <c r="A925" s="1" t="s">
        <v>2650</v>
      </c>
      <c r="B925" s="1" t="s">
        <v>2651</v>
      </c>
      <c r="C925" s="1" t="s">
        <v>9</v>
      </c>
      <c r="D925" s="1" t="s">
        <v>3</v>
      </c>
      <c r="E925" s="5">
        <v>40420</v>
      </c>
      <c r="F925" s="5">
        <v>45588</v>
      </c>
      <c r="G925" s="2">
        <v>2.2639580000000001</v>
      </c>
      <c r="H925" s="1" t="s">
        <v>10</v>
      </c>
      <c r="I925" s="2">
        <v>329.66959687500002</v>
      </c>
      <c r="J925" s="1" t="s">
        <v>86</v>
      </c>
      <c r="K925" s="1" t="s">
        <v>2652</v>
      </c>
      <c r="L925" s="2">
        <v>219160.7</v>
      </c>
      <c r="M925">
        <f t="shared" si="42"/>
        <v>496170.62005060003</v>
      </c>
      <c r="N925">
        <f t="shared" si="43"/>
        <v>43908.90442925664</v>
      </c>
      <c r="O925" t="str">
        <f t="shared" si="44"/>
        <v>FJERN</v>
      </c>
      <c r="P925" s="1" t="s">
        <v>5968</v>
      </c>
    </row>
    <row r="926" spans="1:16" ht="15" customHeight="1" x14ac:dyDescent="0.2">
      <c r="A926" s="1" t="s">
        <v>2653</v>
      </c>
      <c r="B926" s="1" t="s">
        <v>2654</v>
      </c>
      <c r="C926" s="1" t="s">
        <v>2</v>
      </c>
      <c r="D926" s="1" t="s">
        <v>3</v>
      </c>
      <c r="E926" s="5">
        <v>39798</v>
      </c>
      <c r="F926" s="5">
        <v>40744</v>
      </c>
      <c r="G926" s="2">
        <v>124.00369999999999</v>
      </c>
      <c r="H926" s="1" t="s">
        <v>4</v>
      </c>
      <c r="I926" s="2"/>
      <c r="J926" s="1" t="s">
        <v>61</v>
      </c>
      <c r="K926" s="1" t="s">
        <v>2655</v>
      </c>
      <c r="L926" s="2">
        <v>58.389629999999997</v>
      </c>
      <c r="M926">
        <f t="shared" si="42"/>
        <v>7240.5301616309989</v>
      </c>
      <c r="N926">
        <f t="shared" si="43"/>
        <v>971.88324317194611</v>
      </c>
      <c r="O926" t="str">
        <f t="shared" si="44"/>
        <v>FJERN</v>
      </c>
      <c r="P926" s="1" t="s">
        <v>5969</v>
      </c>
    </row>
    <row r="927" spans="1:16" ht="15" customHeight="1" x14ac:dyDescent="0.2">
      <c r="A927" s="1" t="s">
        <v>2656</v>
      </c>
      <c r="B927" s="1" t="s">
        <v>2657</v>
      </c>
      <c r="C927" s="1" t="s">
        <v>9</v>
      </c>
      <c r="D927" s="1" t="s">
        <v>3</v>
      </c>
      <c r="E927" s="5">
        <v>40652</v>
      </c>
      <c r="F927" s="5">
        <v>46155</v>
      </c>
      <c r="G927" s="2">
        <v>15.96663</v>
      </c>
      <c r="H927" s="1" t="s">
        <v>10</v>
      </c>
      <c r="I927" s="2">
        <v>161.40494369250001</v>
      </c>
      <c r="J927" s="1" t="s">
        <v>38</v>
      </c>
      <c r="K927" s="1" t="s">
        <v>2658</v>
      </c>
      <c r="L927" s="2">
        <v>52011.57</v>
      </c>
      <c r="M927">
        <f t="shared" si="42"/>
        <v>830449.49390909995</v>
      </c>
      <c r="N927">
        <f t="shared" si="43"/>
        <v>73491.105655672553</v>
      </c>
      <c r="O927" t="str">
        <f t="shared" si="44"/>
        <v>FJERN</v>
      </c>
      <c r="P927" s="1" t="s">
        <v>5970</v>
      </c>
    </row>
    <row r="928" spans="1:16" ht="15" customHeight="1" x14ac:dyDescent="0.2">
      <c r="A928" s="1" t="s">
        <v>2659</v>
      </c>
      <c r="B928" s="1" t="s">
        <v>2660</v>
      </c>
      <c r="C928" s="1" t="s">
        <v>9</v>
      </c>
      <c r="D928" s="1" t="s">
        <v>3</v>
      </c>
      <c r="E928" s="5">
        <v>39982</v>
      </c>
      <c r="F928" s="5">
        <v>45832</v>
      </c>
      <c r="G928" s="2">
        <v>7.3148039999999996</v>
      </c>
      <c r="H928" s="1" t="s">
        <v>10</v>
      </c>
      <c r="I928" s="2">
        <v>76.917505904999999</v>
      </c>
      <c r="J928" s="1" t="s">
        <v>34</v>
      </c>
      <c r="K928" s="1" t="s">
        <v>2661</v>
      </c>
      <c r="L928" s="2">
        <v>57899.199999999997</v>
      </c>
      <c r="M928">
        <f t="shared" si="42"/>
        <v>423521.29975679994</v>
      </c>
      <c r="N928">
        <f t="shared" si="43"/>
        <v>37479.761040424768</v>
      </c>
      <c r="O928" t="str">
        <f t="shared" si="44"/>
        <v>FJERN</v>
      </c>
      <c r="P928" s="1" t="s">
        <v>5971</v>
      </c>
    </row>
    <row r="929" spans="1:16" ht="15" customHeight="1" x14ac:dyDescent="0.2">
      <c r="A929" s="1" t="s">
        <v>2662</v>
      </c>
      <c r="B929" s="1" t="s">
        <v>2663</v>
      </c>
      <c r="C929" s="1" t="s">
        <v>9</v>
      </c>
      <c r="D929" s="1" t="s">
        <v>3</v>
      </c>
      <c r="E929" s="5">
        <v>40800</v>
      </c>
      <c r="F929" s="5">
        <v>41110</v>
      </c>
      <c r="G929" s="2">
        <v>1.3244400000000001</v>
      </c>
      <c r="H929" s="1" t="s">
        <v>10</v>
      </c>
      <c r="I929" s="2"/>
      <c r="J929" s="1" t="s">
        <v>167</v>
      </c>
      <c r="K929" s="1" t="s">
        <v>2664</v>
      </c>
      <c r="L929" s="2">
        <v>8711.9</v>
      </c>
      <c r="M929">
        <f t="shared" si="42"/>
        <v>11538.388836</v>
      </c>
      <c r="N929">
        <f t="shared" si="43"/>
        <v>1021.0963571681415</v>
      </c>
      <c r="O929" t="str">
        <f t="shared" si="44"/>
        <v>FJERN</v>
      </c>
      <c r="P929" s="1"/>
    </row>
    <row r="930" spans="1:16" ht="15" customHeight="1" x14ac:dyDescent="0.2">
      <c r="A930" s="1" t="s">
        <v>2665</v>
      </c>
      <c r="B930" s="1" t="s">
        <v>2666</v>
      </c>
      <c r="C930" s="1" t="s">
        <v>2</v>
      </c>
      <c r="D930" s="1" t="s">
        <v>3</v>
      </c>
      <c r="E930" s="5">
        <v>38763</v>
      </c>
      <c r="F930" s="5">
        <v>41845</v>
      </c>
      <c r="G930" s="2">
        <v>1.0597300000000001</v>
      </c>
      <c r="H930" s="1" t="s">
        <v>4</v>
      </c>
      <c r="I930" s="2"/>
      <c r="J930" s="1" t="s">
        <v>11</v>
      </c>
      <c r="K930" s="1" t="s">
        <v>2667</v>
      </c>
      <c r="L930" s="2">
        <v>119063.1</v>
      </c>
      <c r="M930">
        <f t="shared" si="42"/>
        <v>126174.73896300001</v>
      </c>
      <c r="N930">
        <f t="shared" si="43"/>
        <v>16936.206572214767</v>
      </c>
      <c r="O930" t="str">
        <f t="shared" si="44"/>
        <v>FJERN</v>
      </c>
      <c r="P930" s="1" t="s">
        <v>5972</v>
      </c>
    </row>
    <row r="931" spans="1:16" ht="15" customHeight="1" x14ac:dyDescent="0.2">
      <c r="A931" s="1" t="s">
        <v>2668</v>
      </c>
      <c r="B931" s="1" t="s">
        <v>2669</v>
      </c>
      <c r="C931" s="1" t="s">
        <v>9</v>
      </c>
      <c r="D931" s="1" t="s">
        <v>3</v>
      </c>
      <c r="E931" s="5">
        <v>40637</v>
      </c>
      <c r="F931" s="5">
        <v>46155</v>
      </c>
      <c r="G931" s="2">
        <v>2.5888080000000002</v>
      </c>
      <c r="H931" s="1" t="s">
        <v>10</v>
      </c>
      <c r="I931" s="2">
        <v>178.12144799999999</v>
      </c>
      <c r="J931" s="1" t="s">
        <v>34</v>
      </c>
      <c r="K931" s="1" t="s">
        <v>2670</v>
      </c>
      <c r="L931" s="2">
        <v>186895.1</v>
      </c>
      <c r="M931">
        <f t="shared" si="42"/>
        <v>483835.53004080005</v>
      </c>
      <c r="N931">
        <f t="shared" si="43"/>
        <v>42817.303543433627</v>
      </c>
      <c r="O931" t="str">
        <f t="shared" si="44"/>
        <v>FJERN</v>
      </c>
      <c r="P931" s="1" t="s">
        <v>5973</v>
      </c>
    </row>
    <row r="932" spans="1:16" ht="15" customHeight="1" x14ac:dyDescent="0.2">
      <c r="A932" s="1" t="s">
        <v>2671</v>
      </c>
      <c r="B932" s="1" t="s">
        <v>2672</v>
      </c>
      <c r="C932" s="1" t="s">
        <v>9</v>
      </c>
      <c r="D932" s="1" t="s">
        <v>3</v>
      </c>
      <c r="E932" s="5">
        <v>40487</v>
      </c>
      <c r="F932" s="5">
        <v>46155</v>
      </c>
      <c r="G932" s="2">
        <v>3.7910910000000002</v>
      </c>
      <c r="H932" s="1" t="s">
        <v>10</v>
      </c>
      <c r="I932" s="2">
        <v>61.577147123800003</v>
      </c>
      <c r="J932" s="1" t="s">
        <v>34</v>
      </c>
      <c r="K932" s="1" t="s">
        <v>2673</v>
      </c>
      <c r="L932" s="2">
        <v>1805490</v>
      </c>
      <c r="M932">
        <f t="shared" si="42"/>
        <v>6844776.8895900007</v>
      </c>
      <c r="N932">
        <f t="shared" si="43"/>
        <v>605732.46810530976</v>
      </c>
      <c r="O932" t="str">
        <f t="shared" si="44"/>
        <v>BEHOLD</v>
      </c>
      <c r="P932" s="1" t="s">
        <v>5974</v>
      </c>
    </row>
    <row r="933" spans="1:16" ht="15" customHeight="1" x14ac:dyDescent="0.2">
      <c r="A933" s="1" t="s">
        <v>2674</v>
      </c>
      <c r="B933" s="1" t="s">
        <v>2675</v>
      </c>
      <c r="C933" s="1" t="s">
        <v>9</v>
      </c>
      <c r="D933" s="1" t="s">
        <v>3</v>
      </c>
      <c r="E933" s="5">
        <v>40710</v>
      </c>
      <c r="F933" s="5">
        <v>45603</v>
      </c>
      <c r="G933" s="2">
        <v>131.26050000000001</v>
      </c>
      <c r="H933" s="1" t="s">
        <v>10</v>
      </c>
      <c r="I933" s="2">
        <v>6750.7300863999999</v>
      </c>
      <c r="J933" s="1" t="s">
        <v>23</v>
      </c>
      <c r="K933" s="1" t="s">
        <v>2676</v>
      </c>
      <c r="L933" s="2">
        <v>64458.41</v>
      </c>
      <c r="M933">
        <f t="shared" si="42"/>
        <v>8460843.1258050017</v>
      </c>
      <c r="N933">
        <f t="shared" si="43"/>
        <v>748747.17927477881</v>
      </c>
      <c r="O933" t="str">
        <f t="shared" si="44"/>
        <v>BEHOLD</v>
      </c>
      <c r="P933" s="1" t="s">
        <v>5975</v>
      </c>
    </row>
    <row r="934" spans="1:16" ht="15" customHeight="1" x14ac:dyDescent="0.2">
      <c r="A934" s="1" t="s">
        <v>2677</v>
      </c>
      <c r="B934" s="1" t="s">
        <v>2678</v>
      </c>
      <c r="C934" s="1" t="s">
        <v>9</v>
      </c>
      <c r="D934" s="1" t="s">
        <v>3</v>
      </c>
      <c r="E934" s="5">
        <v>40112</v>
      </c>
      <c r="F934" s="5">
        <v>41122</v>
      </c>
      <c r="G934" s="2">
        <v>0.35279969999999999</v>
      </c>
      <c r="H934" s="1" t="s">
        <v>10</v>
      </c>
      <c r="I934" s="2"/>
      <c r="J934" s="1" t="s">
        <v>38</v>
      </c>
      <c r="K934" s="1" t="s">
        <v>2679</v>
      </c>
      <c r="L934" s="2">
        <v>12090.02</v>
      </c>
      <c r="M934">
        <f t="shared" si="42"/>
        <v>4265.3554289940002</v>
      </c>
      <c r="N934">
        <f t="shared" si="43"/>
        <v>377.46508221185843</v>
      </c>
      <c r="O934" t="str">
        <f t="shared" si="44"/>
        <v>FJERN</v>
      </c>
      <c r="P934" s="1"/>
    </row>
    <row r="935" spans="1:16" ht="15" customHeight="1" x14ac:dyDescent="0.2">
      <c r="A935" s="1" t="s">
        <v>2680</v>
      </c>
      <c r="B935" s="1" t="s">
        <v>2681</v>
      </c>
      <c r="C935" s="1" t="s">
        <v>2</v>
      </c>
      <c r="D935" s="1" t="s">
        <v>3</v>
      </c>
      <c r="E935" s="5">
        <v>40060</v>
      </c>
      <c r="F935" s="5">
        <v>46155</v>
      </c>
      <c r="G935" s="2">
        <v>25.503060000000001</v>
      </c>
      <c r="H935" s="1" t="s">
        <v>4</v>
      </c>
      <c r="I935" s="2">
        <v>13902.4481717377</v>
      </c>
      <c r="J935" s="1" t="s">
        <v>34</v>
      </c>
      <c r="K935" s="1" t="s">
        <v>2682</v>
      </c>
      <c r="L935" s="2">
        <v>142777.60000000001</v>
      </c>
      <c r="M935">
        <f t="shared" si="42"/>
        <v>3641265.6994560002</v>
      </c>
      <c r="N935">
        <f t="shared" si="43"/>
        <v>488760.49657127517</v>
      </c>
      <c r="O935" t="str">
        <f t="shared" si="44"/>
        <v>BEHOLD</v>
      </c>
      <c r="P935" s="1" t="s">
        <v>5976</v>
      </c>
    </row>
    <row r="936" spans="1:16" ht="15" customHeight="1" x14ac:dyDescent="0.2">
      <c r="A936" s="1" t="s">
        <v>2683</v>
      </c>
      <c r="B936" s="1" t="s">
        <v>2684</v>
      </c>
      <c r="C936" s="1" t="s">
        <v>9</v>
      </c>
      <c r="D936" s="1" t="s">
        <v>3</v>
      </c>
      <c r="E936" s="5">
        <v>40035</v>
      </c>
      <c r="F936" s="5">
        <v>42342</v>
      </c>
      <c r="G936" s="2">
        <v>6.3056140000000003</v>
      </c>
      <c r="H936" s="1" t="s">
        <v>10</v>
      </c>
      <c r="I936" s="2"/>
      <c r="J936" s="1" t="s">
        <v>236</v>
      </c>
      <c r="K936" s="1" t="s">
        <v>2685</v>
      </c>
      <c r="L936" s="2">
        <v>10652.5</v>
      </c>
      <c r="M936">
        <f t="shared" si="42"/>
        <v>67170.553135000009</v>
      </c>
      <c r="N936">
        <f t="shared" si="43"/>
        <v>5944.2967376106199</v>
      </c>
      <c r="O936" t="str">
        <f t="shared" si="44"/>
        <v>FJERN</v>
      </c>
      <c r="P936" s="1" t="s">
        <v>5977</v>
      </c>
    </row>
    <row r="937" spans="1:16" ht="15" customHeight="1" x14ac:dyDescent="0.2">
      <c r="A937" s="1" t="s">
        <v>2686</v>
      </c>
      <c r="B937" s="1" t="s">
        <v>2687</v>
      </c>
      <c r="C937" s="1" t="s">
        <v>9</v>
      </c>
      <c r="D937" s="1" t="s">
        <v>3</v>
      </c>
      <c r="E937" s="5">
        <v>37753</v>
      </c>
      <c r="F937" s="5">
        <v>46155</v>
      </c>
      <c r="G937" s="2">
        <v>96.052070000000001</v>
      </c>
      <c r="H937" s="1" t="s">
        <v>10</v>
      </c>
      <c r="I937" s="2">
        <v>4280.8510249832698</v>
      </c>
      <c r="J937" s="1" t="s">
        <v>11</v>
      </c>
      <c r="K937" s="1" t="s">
        <v>2688</v>
      </c>
      <c r="L937" s="2">
        <v>12281.02</v>
      </c>
      <c r="M937">
        <f t="shared" si="42"/>
        <v>1179617.3927114001</v>
      </c>
      <c r="N937">
        <f t="shared" si="43"/>
        <v>104390.91970897345</v>
      </c>
      <c r="O937" t="str">
        <f t="shared" si="44"/>
        <v>BEHOLD</v>
      </c>
      <c r="P937" s="1" t="s">
        <v>5978</v>
      </c>
    </row>
    <row r="938" spans="1:16" ht="15" customHeight="1" x14ac:dyDescent="0.2">
      <c r="A938" s="1" t="s">
        <v>2689</v>
      </c>
      <c r="B938" s="1" t="s">
        <v>2690</v>
      </c>
      <c r="C938" s="1" t="s">
        <v>9</v>
      </c>
      <c r="D938" s="1" t="s">
        <v>3</v>
      </c>
      <c r="E938" s="5">
        <v>40836</v>
      </c>
      <c r="F938" s="5">
        <v>45870</v>
      </c>
      <c r="G938" s="2">
        <v>20.140989999999999</v>
      </c>
      <c r="H938" s="1" t="s">
        <v>10</v>
      </c>
      <c r="I938" s="2"/>
      <c r="J938" s="1" t="s">
        <v>23</v>
      </c>
      <c r="K938" s="1" t="s">
        <v>2691</v>
      </c>
      <c r="L938" s="2">
        <v>48657.4</v>
      </c>
      <c r="M938">
        <f t="shared" si="42"/>
        <v>980008.20682600001</v>
      </c>
      <c r="N938">
        <f t="shared" si="43"/>
        <v>86726.389984601759</v>
      </c>
      <c r="O938" t="str">
        <f t="shared" si="44"/>
        <v>FJERN</v>
      </c>
      <c r="P938" s="1" t="s">
        <v>5979</v>
      </c>
    </row>
    <row r="939" spans="1:16" ht="15" customHeight="1" x14ac:dyDescent="0.2">
      <c r="A939" s="1" t="s">
        <v>2692</v>
      </c>
      <c r="B939" s="1" t="s">
        <v>2693</v>
      </c>
      <c r="C939" s="1" t="s">
        <v>9</v>
      </c>
      <c r="D939" s="1" t="s">
        <v>3</v>
      </c>
      <c r="E939" s="5">
        <v>40688</v>
      </c>
      <c r="F939" s="5">
        <v>46155</v>
      </c>
      <c r="G939" s="2">
        <v>3.5826899999999999</v>
      </c>
      <c r="H939" s="1" t="s">
        <v>10</v>
      </c>
      <c r="I939" s="2">
        <v>81.317456297999996</v>
      </c>
      <c r="J939" s="1" t="s">
        <v>34</v>
      </c>
      <c r="K939" s="1" t="s">
        <v>2694</v>
      </c>
      <c r="L939" s="2">
        <v>240816.4</v>
      </c>
      <c r="M939">
        <f t="shared" si="42"/>
        <v>862770.50811599998</v>
      </c>
      <c r="N939">
        <f t="shared" si="43"/>
        <v>76351.372399646018</v>
      </c>
      <c r="O939" t="str">
        <f t="shared" si="44"/>
        <v>FJERN</v>
      </c>
      <c r="P939" s="1" t="s">
        <v>5980</v>
      </c>
    </row>
    <row r="940" spans="1:16" ht="15" customHeight="1" x14ac:dyDescent="0.2">
      <c r="A940" s="1" t="s">
        <v>2695</v>
      </c>
      <c r="B940" s="1" t="s">
        <v>2696</v>
      </c>
      <c r="C940" s="1" t="s">
        <v>9</v>
      </c>
      <c r="D940" s="1" t="s">
        <v>3</v>
      </c>
      <c r="E940" s="5">
        <v>40959</v>
      </c>
      <c r="F940" s="5">
        <v>46155</v>
      </c>
      <c r="G940" s="2">
        <v>4.1541579999999998</v>
      </c>
      <c r="H940" s="1" t="s">
        <v>10</v>
      </c>
      <c r="I940" s="2">
        <v>487.98340703999997</v>
      </c>
      <c r="J940" s="1" t="s">
        <v>236</v>
      </c>
      <c r="K940" s="1" t="s">
        <v>2697</v>
      </c>
      <c r="L940" s="2">
        <v>81172.88</v>
      </c>
      <c r="M940">
        <f t="shared" si="42"/>
        <v>337204.96883504</v>
      </c>
      <c r="N940">
        <f t="shared" si="43"/>
        <v>29841.147684516811</v>
      </c>
      <c r="O940" t="str">
        <f t="shared" si="44"/>
        <v>FJERN</v>
      </c>
      <c r="P940" s="1" t="s">
        <v>5981</v>
      </c>
    </row>
    <row r="941" spans="1:16" ht="15" customHeight="1" x14ac:dyDescent="0.2">
      <c r="A941" s="1" t="s">
        <v>2698</v>
      </c>
      <c r="B941" s="1" t="s">
        <v>2699</v>
      </c>
      <c r="C941" s="1" t="s">
        <v>9</v>
      </c>
      <c r="D941" s="1" t="s">
        <v>3</v>
      </c>
      <c r="E941" s="5">
        <v>40366</v>
      </c>
      <c r="F941" s="5">
        <v>43766</v>
      </c>
      <c r="G941" s="2">
        <v>1.3403579999999999</v>
      </c>
      <c r="H941" s="1" t="s">
        <v>10</v>
      </c>
      <c r="I941" s="2"/>
      <c r="J941" s="1" t="s">
        <v>11</v>
      </c>
      <c r="K941" s="1" t="s">
        <v>2700</v>
      </c>
      <c r="L941" s="2">
        <v>29069.82</v>
      </c>
      <c r="M941">
        <f t="shared" si="42"/>
        <v>38963.965795559998</v>
      </c>
      <c r="N941">
        <f t="shared" si="43"/>
        <v>3448.1385659787607</v>
      </c>
      <c r="O941" t="str">
        <f t="shared" si="44"/>
        <v>FJERN</v>
      </c>
      <c r="P941" s="1"/>
    </row>
    <row r="942" spans="1:16" ht="15" customHeight="1" x14ac:dyDescent="0.2">
      <c r="A942" s="1" t="s">
        <v>2701</v>
      </c>
      <c r="B942" s="1" t="s">
        <v>2702</v>
      </c>
      <c r="C942" s="1" t="s">
        <v>2</v>
      </c>
      <c r="D942" s="1" t="s">
        <v>3</v>
      </c>
      <c r="E942" s="5">
        <v>40456</v>
      </c>
      <c r="F942" s="5">
        <v>46155</v>
      </c>
      <c r="G942" s="2">
        <v>555.06129999999996</v>
      </c>
      <c r="H942" s="1" t="s">
        <v>4</v>
      </c>
      <c r="I942" s="2">
        <v>52775.953205511098</v>
      </c>
      <c r="J942" s="1" t="s">
        <v>122</v>
      </c>
      <c r="K942" s="1" t="s">
        <v>2703</v>
      </c>
      <c r="L942" s="2">
        <v>552152.4</v>
      </c>
      <c r="M942">
        <f t="shared" si="42"/>
        <v>306478428.94212002</v>
      </c>
      <c r="N942">
        <f t="shared" si="43"/>
        <v>41138044.153304696</v>
      </c>
      <c r="O942" t="str">
        <f t="shared" si="44"/>
        <v>BEHOLD</v>
      </c>
      <c r="P942" s="1" t="s">
        <v>5982</v>
      </c>
    </row>
    <row r="943" spans="1:16" ht="15" customHeight="1" x14ac:dyDescent="0.2">
      <c r="A943" s="1" t="s">
        <v>2704</v>
      </c>
      <c r="B943" s="1" t="s">
        <v>2705</v>
      </c>
      <c r="C943" s="1" t="s">
        <v>9</v>
      </c>
      <c r="D943" s="1" t="s">
        <v>3</v>
      </c>
      <c r="E943" s="5">
        <v>41303</v>
      </c>
      <c r="F943" s="5">
        <v>46155</v>
      </c>
      <c r="G943" s="2">
        <v>8.5957519999999992</v>
      </c>
      <c r="H943" s="1" t="s">
        <v>10</v>
      </c>
      <c r="I943" s="2">
        <v>1231.8055592000001</v>
      </c>
      <c r="J943" s="1" t="s">
        <v>115</v>
      </c>
      <c r="K943" s="1" t="s">
        <v>2706</v>
      </c>
      <c r="L943" s="2">
        <v>808544.4</v>
      </c>
      <c r="M943">
        <f t="shared" si="42"/>
        <v>6950047.1433887994</v>
      </c>
      <c r="N943">
        <f t="shared" si="43"/>
        <v>615048.41976892028</v>
      </c>
      <c r="O943" t="str">
        <f t="shared" si="44"/>
        <v>BEHOLD</v>
      </c>
      <c r="P943" s="1" t="s">
        <v>5983</v>
      </c>
    </row>
    <row r="944" spans="1:16" ht="15" customHeight="1" x14ac:dyDescent="0.2">
      <c r="A944" s="1" t="s">
        <v>2707</v>
      </c>
      <c r="B944" s="1" t="s">
        <v>2708</v>
      </c>
      <c r="C944" s="1" t="s">
        <v>9</v>
      </c>
      <c r="D944" s="1" t="s">
        <v>3</v>
      </c>
      <c r="E944" s="5">
        <v>40640</v>
      </c>
      <c r="F944" s="5">
        <v>46155</v>
      </c>
      <c r="G944" s="2">
        <v>12.34371</v>
      </c>
      <c r="H944" s="1" t="s">
        <v>10</v>
      </c>
      <c r="I944" s="2">
        <v>2110.1686684800002</v>
      </c>
      <c r="J944" s="1" t="s">
        <v>366</v>
      </c>
      <c r="K944" s="1" t="s">
        <v>2709</v>
      </c>
      <c r="L944" s="2">
        <v>241569.5</v>
      </c>
      <c r="M944">
        <f t="shared" si="42"/>
        <v>2981863.8528450001</v>
      </c>
      <c r="N944">
        <f t="shared" si="43"/>
        <v>263881.75688893802</v>
      </c>
      <c r="O944" t="str">
        <f t="shared" si="44"/>
        <v>BEHOLD</v>
      </c>
      <c r="P944" s="1" t="s">
        <v>5984</v>
      </c>
    </row>
    <row r="945" spans="1:16" ht="15" customHeight="1" x14ac:dyDescent="0.2">
      <c r="A945" s="1" t="s">
        <v>2710</v>
      </c>
      <c r="B945" s="1" t="s">
        <v>2711</v>
      </c>
      <c r="C945" s="1" t="s">
        <v>2</v>
      </c>
      <c r="D945" s="1" t="s">
        <v>3</v>
      </c>
      <c r="E945" s="5">
        <v>40731</v>
      </c>
      <c r="F945" s="5">
        <v>46155</v>
      </c>
      <c r="G945" s="2">
        <v>8.3432630000000003</v>
      </c>
      <c r="H945" s="1" t="s">
        <v>4</v>
      </c>
      <c r="I945" s="2">
        <v>4245.8511412500002</v>
      </c>
      <c r="J945" s="1" t="s">
        <v>15</v>
      </c>
      <c r="K945" s="1" t="s">
        <v>2712</v>
      </c>
      <c r="L945" s="2">
        <v>69841.09</v>
      </c>
      <c r="M945">
        <f t="shared" si="42"/>
        <v>582702.58207667002</v>
      </c>
      <c r="N945">
        <f t="shared" si="43"/>
        <v>78215.111688143632</v>
      </c>
      <c r="O945" t="str">
        <f t="shared" si="44"/>
        <v>FJERN</v>
      </c>
      <c r="P945" s="1" t="s">
        <v>5985</v>
      </c>
    </row>
    <row r="946" spans="1:16" ht="15" customHeight="1" x14ac:dyDescent="0.2">
      <c r="A946" s="1" t="s">
        <v>2713</v>
      </c>
      <c r="B946" s="1" t="s">
        <v>2714</v>
      </c>
      <c r="C946" s="1" t="s">
        <v>1581</v>
      </c>
      <c r="D946" s="1" t="s">
        <v>3</v>
      </c>
      <c r="E946" s="5">
        <v>40269</v>
      </c>
      <c r="F946" s="5">
        <v>41183</v>
      </c>
      <c r="G946" s="2">
        <v>3.7635100000000001</v>
      </c>
      <c r="H946" s="1" t="s">
        <v>10</v>
      </c>
      <c r="I946" s="2"/>
      <c r="J946" s="1" t="s">
        <v>23</v>
      </c>
      <c r="K946" s="1" t="s">
        <v>2715</v>
      </c>
      <c r="L946" s="2">
        <v>631.58439999999996</v>
      </c>
      <c r="M946">
        <f t="shared" si="42"/>
        <v>2376.9742052440001</v>
      </c>
      <c r="N946">
        <f t="shared" si="43"/>
        <v>210.35169957911504</v>
      </c>
      <c r="O946" t="str">
        <f t="shared" si="44"/>
        <v>FJERN</v>
      </c>
      <c r="P946" s="1"/>
    </row>
    <row r="947" spans="1:16" ht="15" customHeight="1" x14ac:dyDescent="0.2">
      <c r="A947" s="1" t="s">
        <v>2716</v>
      </c>
      <c r="B947" s="1" t="s">
        <v>2717</v>
      </c>
      <c r="C947" s="1" t="s">
        <v>9</v>
      </c>
      <c r="D947" s="1" t="s">
        <v>3</v>
      </c>
      <c r="E947" s="5">
        <v>36328</v>
      </c>
      <c r="F947" s="5">
        <v>40998</v>
      </c>
      <c r="G947" s="2">
        <v>152.12559999999999</v>
      </c>
      <c r="H947" s="1" t="s">
        <v>10</v>
      </c>
      <c r="I947" s="2"/>
      <c r="J947" s="1" t="s">
        <v>11</v>
      </c>
      <c r="K947" s="1" t="s">
        <v>2718</v>
      </c>
      <c r="L947" s="2">
        <v>1655.1790000000001</v>
      </c>
      <c r="M947">
        <f t="shared" si="42"/>
        <v>251795.0984824</v>
      </c>
      <c r="N947">
        <f t="shared" si="43"/>
        <v>22282.752078088495</v>
      </c>
      <c r="O947" t="str">
        <f t="shared" si="44"/>
        <v>FJERN</v>
      </c>
      <c r="P947" s="1" t="s">
        <v>5986</v>
      </c>
    </row>
    <row r="948" spans="1:16" ht="15" customHeight="1" x14ac:dyDescent="0.2">
      <c r="A948" s="1" t="s">
        <v>2719</v>
      </c>
      <c r="B948" s="1" t="s">
        <v>2720</v>
      </c>
      <c r="C948" s="1" t="s">
        <v>9</v>
      </c>
      <c r="D948" s="1" t="s">
        <v>3</v>
      </c>
      <c r="E948" s="5">
        <v>40690</v>
      </c>
      <c r="F948" s="5">
        <v>42258</v>
      </c>
      <c r="G948" s="2">
        <v>81.350549999999998</v>
      </c>
      <c r="H948" s="1" t="s">
        <v>10</v>
      </c>
      <c r="I948" s="2"/>
      <c r="J948" s="1" t="s">
        <v>236</v>
      </c>
      <c r="K948" s="1" t="s">
        <v>2721</v>
      </c>
      <c r="L948" s="2">
        <v>37340.199999999997</v>
      </c>
      <c r="M948">
        <f t="shared" si="42"/>
        <v>3037645.8071099995</v>
      </c>
      <c r="N948">
        <f t="shared" si="43"/>
        <v>268818.21301858401</v>
      </c>
      <c r="O948" t="str">
        <f t="shared" si="44"/>
        <v>BEHOLD</v>
      </c>
      <c r="P948" s="1" t="s">
        <v>5987</v>
      </c>
    </row>
    <row r="949" spans="1:16" ht="15" customHeight="1" x14ac:dyDescent="0.2">
      <c r="A949" s="1" t="s">
        <v>2722</v>
      </c>
      <c r="B949" s="1" t="s">
        <v>2723</v>
      </c>
      <c r="C949" s="1" t="s">
        <v>9</v>
      </c>
      <c r="D949" s="1" t="s">
        <v>3</v>
      </c>
      <c r="E949" s="5">
        <v>40637</v>
      </c>
      <c r="F949" s="5">
        <v>44477</v>
      </c>
      <c r="G949" s="2">
        <v>11.26943</v>
      </c>
      <c r="H949" s="1" t="s">
        <v>10</v>
      </c>
      <c r="I949" s="2"/>
      <c r="J949" s="1" t="s">
        <v>289</v>
      </c>
      <c r="K949" s="1" t="s">
        <v>2724</v>
      </c>
      <c r="L949" s="2">
        <v>21950.97</v>
      </c>
      <c r="M949">
        <f t="shared" si="42"/>
        <v>247374.91984710001</v>
      </c>
      <c r="N949">
        <f t="shared" si="43"/>
        <v>21891.58582717699</v>
      </c>
      <c r="O949" t="str">
        <f t="shared" si="44"/>
        <v>FJERN</v>
      </c>
      <c r="P949" s="1" t="s">
        <v>5988</v>
      </c>
    </row>
    <row r="950" spans="1:16" ht="15" customHeight="1" x14ac:dyDescent="0.2">
      <c r="A950" s="1" t="s">
        <v>2725</v>
      </c>
      <c r="B950" s="1" t="s">
        <v>2726</v>
      </c>
      <c r="C950" s="1" t="s">
        <v>9</v>
      </c>
      <c r="D950" s="1" t="s">
        <v>3</v>
      </c>
      <c r="E950" s="5">
        <v>39961</v>
      </c>
      <c r="F950" s="5">
        <v>41057</v>
      </c>
      <c r="G950" s="2">
        <v>0.69082180000000004</v>
      </c>
      <c r="H950" s="1" t="s">
        <v>10</v>
      </c>
      <c r="I950" s="2"/>
      <c r="J950" s="1" t="s">
        <v>289</v>
      </c>
      <c r="K950" s="1" t="s">
        <v>2727</v>
      </c>
      <c r="L950" s="2">
        <v>10379.69</v>
      </c>
      <c r="M950">
        <f t="shared" si="42"/>
        <v>7170.5161292420007</v>
      </c>
      <c r="N950">
        <f t="shared" si="43"/>
        <v>634.5589494904425</v>
      </c>
      <c r="O950" t="str">
        <f t="shared" si="44"/>
        <v>FJERN</v>
      </c>
      <c r="P950" s="1"/>
    </row>
    <row r="951" spans="1:16" ht="15" customHeight="1" x14ac:dyDescent="0.2">
      <c r="A951" s="1" t="s">
        <v>2728</v>
      </c>
      <c r="B951" s="1" t="s">
        <v>2729</v>
      </c>
      <c r="C951" s="1" t="s">
        <v>9</v>
      </c>
      <c r="D951" s="1" t="s">
        <v>3</v>
      </c>
      <c r="E951" s="5">
        <v>40683</v>
      </c>
      <c r="F951" s="5">
        <v>46155</v>
      </c>
      <c r="G951" s="2">
        <v>72.897239999999996</v>
      </c>
      <c r="H951" s="1" t="s">
        <v>10</v>
      </c>
      <c r="I951" s="2">
        <v>1078.7827887999999</v>
      </c>
      <c r="J951" s="1" t="s">
        <v>548</v>
      </c>
      <c r="K951" s="1" t="s">
        <v>2730</v>
      </c>
      <c r="L951" s="2">
        <v>52923.17</v>
      </c>
      <c r="M951">
        <f t="shared" si="42"/>
        <v>3857953.0250507998</v>
      </c>
      <c r="N951">
        <f t="shared" si="43"/>
        <v>341411.77212838933</v>
      </c>
      <c r="O951" t="str">
        <f t="shared" si="44"/>
        <v>BEHOLD</v>
      </c>
      <c r="P951" s="1" t="s">
        <v>5989</v>
      </c>
    </row>
    <row r="952" spans="1:16" ht="15" customHeight="1" x14ac:dyDescent="0.2">
      <c r="A952" s="1" t="s">
        <v>2731</v>
      </c>
      <c r="B952" s="1" t="s">
        <v>2732</v>
      </c>
      <c r="C952" s="1" t="s">
        <v>9</v>
      </c>
      <c r="D952" s="1" t="s">
        <v>3</v>
      </c>
      <c r="E952" s="5">
        <v>40105</v>
      </c>
      <c r="F952" s="5">
        <v>42062</v>
      </c>
      <c r="G952" s="2">
        <v>7.2998419999999999</v>
      </c>
      <c r="H952" s="1" t="s">
        <v>10</v>
      </c>
      <c r="I952" s="2"/>
      <c r="J952" s="1" t="s">
        <v>76</v>
      </c>
      <c r="K952" s="1" t="s">
        <v>2733</v>
      </c>
      <c r="L952" s="2">
        <v>129260.1</v>
      </c>
      <c r="M952">
        <f t="shared" si="42"/>
        <v>943578.3069042</v>
      </c>
      <c r="N952">
        <f t="shared" si="43"/>
        <v>83502.505035769907</v>
      </c>
      <c r="O952" t="str">
        <f t="shared" si="44"/>
        <v>FJERN</v>
      </c>
      <c r="P952" s="1" t="s">
        <v>5990</v>
      </c>
    </row>
    <row r="953" spans="1:16" ht="15" customHeight="1" x14ac:dyDescent="0.2">
      <c r="A953" s="1" t="s">
        <v>2734</v>
      </c>
      <c r="B953" s="1" t="s">
        <v>2735</v>
      </c>
      <c r="C953" s="1" t="s">
        <v>9</v>
      </c>
      <c r="D953" s="1" t="s">
        <v>3</v>
      </c>
      <c r="E953" s="5">
        <v>39020</v>
      </c>
      <c r="F953" s="5">
        <v>46155</v>
      </c>
      <c r="G953" s="2">
        <v>20.52375</v>
      </c>
      <c r="H953" s="1" t="s">
        <v>10</v>
      </c>
      <c r="I953" s="2">
        <v>570.34972800000003</v>
      </c>
      <c r="J953" s="1" t="s">
        <v>236</v>
      </c>
      <c r="K953" s="1" t="s">
        <v>2736</v>
      </c>
      <c r="L953" s="2">
        <v>14271.8</v>
      </c>
      <c r="M953">
        <f t="shared" si="42"/>
        <v>292910.85524999996</v>
      </c>
      <c r="N953">
        <f t="shared" si="43"/>
        <v>25921.314623893799</v>
      </c>
      <c r="O953" t="str">
        <f t="shared" si="44"/>
        <v>FJERN</v>
      </c>
      <c r="P953" s="1" t="s">
        <v>5991</v>
      </c>
    </row>
    <row r="954" spans="1:16" ht="15" customHeight="1" x14ac:dyDescent="0.2">
      <c r="A954" s="1" t="s">
        <v>2737</v>
      </c>
      <c r="B954" s="1" t="s">
        <v>2738</v>
      </c>
      <c r="C954" s="1" t="s">
        <v>9</v>
      </c>
      <c r="D954" s="1" t="s">
        <v>3</v>
      </c>
      <c r="E954" s="5">
        <v>39979</v>
      </c>
      <c r="F954" s="5">
        <v>40505</v>
      </c>
      <c r="G954" s="2">
        <v>1.6940740000000001</v>
      </c>
      <c r="H954" s="1" t="s">
        <v>10</v>
      </c>
      <c r="I954" s="2"/>
      <c r="J954" s="1" t="s">
        <v>256</v>
      </c>
      <c r="K954" s="1" t="s">
        <v>2739</v>
      </c>
      <c r="L954" s="2">
        <v>5572.66</v>
      </c>
      <c r="M954">
        <f t="shared" si="42"/>
        <v>9440.4984168400006</v>
      </c>
      <c r="N954">
        <f t="shared" si="43"/>
        <v>835.4423377734513</v>
      </c>
      <c r="O954" t="str">
        <f t="shared" si="44"/>
        <v>FJERN</v>
      </c>
      <c r="P954" s="1"/>
    </row>
    <row r="955" spans="1:16" ht="15" customHeight="1" x14ac:dyDescent="0.2">
      <c r="A955" s="1" t="s">
        <v>2740</v>
      </c>
      <c r="B955" s="1" t="s">
        <v>2741</v>
      </c>
      <c r="C955" s="1" t="s">
        <v>9</v>
      </c>
      <c r="D955" s="1" t="s">
        <v>3</v>
      </c>
      <c r="E955" s="5">
        <v>40268</v>
      </c>
      <c r="F955" s="5">
        <v>46155</v>
      </c>
      <c r="G955" s="2">
        <v>21.302859999999999</v>
      </c>
      <c r="H955" s="1" t="s">
        <v>10</v>
      </c>
      <c r="I955" s="2">
        <v>333.2214262</v>
      </c>
      <c r="J955" s="1" t="s">
        <v>289</v>
      </c>
      <c r="K955" s="1" t="s">
        <v>2742</v>
      </c>
      <c r="L955" s="2">
        <v>2257.5650000000001</v>
      </c>
      <c r="M955">
        <f t="shared" si="42"/>
        <v>48092.591135900002</v>
      </c>
      <c r="N955">
        <f t="shared" si="43"/>
        <v>4255.9815164513275</v>
      </c>
      <c r="O955" t="str">
        <f t="shared" si="44"/>
        <v>FJERN</v>
      </c>
      <c r="P955" s="1"/>
    </row>
    <row r="956" spans="1:16" ht="15" customHeight="1" x14ac:dyDescent="0.2">
      <c r="A956" s="1" t="s">
        <v>2743</v>
      </c>
      <c r="B956" s="1" t="s">
        <v>2744</v>
      </c>
      <c r="C956" s="1" t="s">
        <v>9</v>
      </c>
      <c r="D956" s="1" t="s">
        <v>3</v>
      </c>
      <c r="E956" s="5">
        <v>40261</v>
      </c>
      <c r="F956" s="5">
        <v>46048</v>
      </c>
      <c r="G956" s="2">
        <v>31.547260000000001</v>
      </c>
      <c r="H956" s="1" t="s">
        <v>10</v>
      </c>
      <c r="I956" s="2"/>
      <c r="J956" s="1" t="s">
        <v>11</v>
      </c>
      <c r="K956" s="1" t="s">
        <v>2745</v>
      </c>
      <c r="L956" s="2">
        <v>56168.03</v>
      </c>
      <c r="M956">
        <f t="shared" si="42"/>
        <v>1771947.4460978</v>
      </c>
      <c r="N956">
        <f t="shared" si="43"/>
        <v>156809.50850423009</v>
      </c>
      <c r="O956" t="str">
        <f t="shared" si="44"/>
        <v>BEHOLD</v>
      </c>
      <c r="P956" s="1" t="s">
        <v>5992</v>
      </c>
    </row>
    <row r="957" spans="1:16" ht="15" customHeight="1" x14ac:dyDescent="0.2">
      <c r="A957" s="1" t="s">
        <v>2746</v>
      </c>
      <c r="B957" s="1" t="s">
        <v>2747</v>
      </c>
      <c r="C957" s="1" t="s">
        <v>2</v>
      </c>
      <c r="D957" s="1" t="s">
        <v>3</v>
      </c>
      <c r="E957" s="5">
        <v>40148</v>
      </c>
      <c r="F957" s="5">
        <v>41031</v>
      </c>
      <c r="G957" s="2">
        <v>2.756138</v>
      </c>
      <c r="H957" s="1" t="s">
        <v>4</v>
      </c>
      <c r="I957" s="2"/>
      <c r="J957" s="1" t="s">
        <v>11</v>
      </c>
      <c r="K957" s="1" t="s">
        <v>2748</v>
      </c>
      <c r="L957" s="2">
        <v>99024.27</v>
      </c>
      <c r="M957">
        <f t="shared" si="42"/>
        <v>272924.55346925999</v>
      </c>
      <c r="N957">
        <f t="shared" si="43"/>
        <v>36634.16825090738</v>
      </c>
      <c r="O957" t="str">
        <f t="shared" si="44"/>
        <v>FJERN</v>
      </c>
      <c r="P957" s="1" t="s">
        <v>5993</v>
      </c>
    </row>
    <row r="958" spans="1:16" ht="15" customHeight="1" x14ac:dyDescent="0.2">
      <c r="A958" s="1" t="s">
        <v>2749</v>
      </c>
      <c r="B958" s="1" t="s">
        <v>2750</v>
      </c>
      <c r="C958" s="1" t="s">
        <v>2</v>
      </c>
      <c r="D958" s="1" t="s">
        <v>3</v>
      </c>
      <c r="E958" s="5">
        <v>40332</v>
      </c>
      <c r="F958" s="5">
        <v>45321</v>
      </c>
      <c r="G958" s="2">
        <v>397.15289999999999</v>
      </c>
      <c r="H958" s="1" t="s">
        <v>4</v>
      </c>
      <c r="I958" s="2"/>
      <c r="J958" s="1" t="s">
        <v>51</v>
      </c>
      <c r="K958" s="1" t="s">
        <v>2751</v>
      </c>
      <c r="L958" s="2">
        <v>278152.3</v>
      </c>
      <c r="M958">
        <f t="shared" si="42"/>
        <v>110468992.58667</v>
      </c>
      <c r="N958">
        <f t="shared" si="43"/>
        <v>14828052.696197314</v>
      </c>
      <c r="O958" t="str">
        <f t="shared" si="44"/>
        <v>BEHOLD</v>
      </c>
      <c r="P958" s="1" t="s">
        <v>5994</v>
      </c>
    </row>
    <row r="959" spans="1:16" ht="15" customHeight="1" x14ac:dyDescent="0.2">
      <c r="A959" s="1" t="s">
        <v>2752</v>
      </c>
      <c r="B959" s="1" t="s">
        <v>2753</v>
      </c>
      <c r="C959" s="1" t="s">
        <v>9</v>
      </c>
      <c r="D959" s="1" t="s">
        <v>3</v>
      </c>
      <c r="E959" s="5">
        <v>40708</v>
      </c>
      <c r="F959" s="5">
        <v>46155</v>
      </c>
      <c r="G959" s="2">
        <v>6.3837419999999998</v>
      </c>
      <c r="H959" s="1" t="s">
        <v>10</v>
      </c>
      <c r="I959" s="2">
        <v>461.1967052</v>
      </c>
      <c r="J959" s="1" t="s">
        <v>34</v>
      </c>
      <c r="K959" s="1" t="s">
        <v>2754</v>
      </c>
      <c r="L959" s="2">
        <v>111141.8</v>
      </c>
      <c r="M959">
        <f t="shared" si="42"/>
        <v>709500.57661560003</v>
      </c>
      <c r="N959">
        <f t="shared" si="43"/>
        <v>62787.661647398229</v>
      </c>
      <c r="O959" t="str">
        <f t="shared" si="44"/>
        <v>FJERN</v>
      </c>
      <c r="P959" s="1" t="s">
        <v>5995</v>
      </c>
    </row>
    <row r="960" spans="1:16" ht="15" customHeight="1" x14ac:dyDescent="0.2">
      <c r="A960" s="1" t="s">
        <v>2755</v>
      </c>
      <c r="B960" s="1" t="s">
        <v>2756</v>
      </c>
      <c r="C960" s="1" t="s">
        <v>9</v>
      </c>
      <c r="D960" s="1" t="s">
        <v>3</v>
      </c>
      <c r="E960" s="5">
        <v>40331</v>
      </c>
      <c r="F960" s="5">
        <v>46155</v>
      </c>
      <c r="G960" s="2">
        <v>49.304720000000003</v>
      </c>
      <c r="H960" s="1" t="s">
        <v>10</v>
      </c>
      <c r="I960" s="2">
        <v>3218.5149704999999</v>
      </c>
      <c r="J960" s="1" t="s">
        <v>184</v>
      </c>
      <c r="K960" s="1" t="s">
        <v>2757</v>
      </c>
      <c r="L960" s="2">
        <v>252108</v>
      </c>
      <c r="M960">
        <f t="shared" si="42"/>
        <v>12430114.349760002</v>
      </c>
      <c r="N960">
        <f t="shared" si="43"/>
        <v>1100010.1194477878</v>
      </c>
      <c r="O960" t="str">
        <f t="shared" si="44"/>
        <v>BEHOLD</v>
      </c>
      <c r="P960" s="1" t="s">
        <v>5996</v>
      </c>
    </row>
    <row r="961" spans="1:16" ht="15" customHeight="1" x14ac:dyDescent="0.2">
      <c r="A961" s="1" t="s">
        <v>2758</v>
      </c>
      <c r="B961" s="1" t="s">
        <v>2759</v>
      </c>
      <c r="C961" s="1" t="s">
        <v>9</v>
      </c>
      <c r="D961" s="1" t="s">
        <v>3</v>
      </c>
      <c r="E961" s="5">
        <v>40492</v>
      </c>
      <c r="F961" s="5">
        <v>41523</v>
      </c>
      <c r="G961" s="2">
        <v>18.351109999999998</v>
      </c>
      <c r="H961" s="1" t="s">
        <v>10</v>
      </c>
      <c r="I961" s="2"/>
      <c r="J961" s="1" t="s">
        <v>366</v>
      </c>
      <c r="K961" s="1" t="s">
        <v>2760</v>
      </c>
      <c r="L961" s="2">
        <v>9001.7639999999992</v>
      </c>
      <c r="M961">
        <f t="shared" si="42"/>
        <v>165192.36135803998</v>
      </c>
      <c r="N961">
        <f t="shared" si="43"/>
        <v>14618.793040534511</v>
      </c>
      <c r="O961" t="str">
        <f t="shared" si="44"/>
        <v>FJERN</v>
      </c>
      <c r="P961" s="1" t="s">
        <v>5997</v>
      </c>
    </row>
    <row r="962" spans="1:16" ht="15" customHeight="1" x14ac:dyDescent="0.2">
      <c r="A962" s="1" t="s">
        <v>2761</v>
      </c>
      <c r="B962" s="1" t="s">
        <v>2762</v>
      </c>
      <c r="C962" s="1" t="s">
        <v>9</v>
      </c>
      <c r="D962" s="1" t="s">
        <v>3</v>
      </c>
      <c r="E962" s="5">
        <v>40316</v>
      </c>
      <c r="F962" s="5">
        <v>46014</v>
      </c>
      <c r="G962" s="2">
        <v>3.6421899999999998</v>
      </c>
      <c r="H962" s="1" t="s">
        <v>10</v>
      </c>
      <c r="I962" s="2">
        <v>32.579444520000003</v>
      </c>
      <c r="J962" s="1" t="s">
        <v>38</v>
      </c>
      <c r="K962" s="1" t="s">
        <v>2763</v>
      </c>
      <c r="L962" s="2">
        <v>76578.63</v>
      </c>
      <c r="M962">
        <f t="shared" si="42"/>
        <v>278913.9203997</v>
      </c>
      <c r="N962">
        <f t="shared" si="43"/>
        <v>24682.647822982301</v>
      </c>
      <c r="O962" t="str">
        <f t="shared" si="44"/>
        <v>FJERN</v>
      </c>
      <c r="P962" s="1" t="s">
        <v>5998</v>
      </c>
    </row>
    <row r="963" spans="1:16" ht="15" customHeight="1" x14ac:dyDescent="0.2">
      <c r="A963" s="1" t="s">
        <v>2764</v>
      </c>
      <c r="B963" s="1" t="s">
        <v>2765</v>
      </c>
      <c r="C963" s="1" t="s">
        <v>1581</v>
      </c>
      <c r="D963" s="1" t="s">
        <v>3</v>
      </c>
      <c r="E963" s="5">
        <v>40330</v>
      </c>
      <c r="F963" s="5">
        <v>41201</v>
      </c>
      <c r="G963" s="2">
        <v>7.2629099999999998</v>
      </c>
      <c r="H963" s="1" t="s">
        <v>10</v>
      </c>
      <c r="I963" s="2"/>
      <c r="J963" s="1" t="s">
        <v>289</v>
      </c>
      <c r="K963" s="1" t="s">
        <v>2766</v>
      </c>
      <c r="L963" s="2">
        <v>511.22199999999998</v>
      </c>
      <c r="M963">
        <f t="shared" ref="M963:M1026" si="45">IF(OR(G963="",L963=""),"",G963*L963)</f>
        <v>3712.9593760199996</v>
      </c>
      <c r="N963">
        <f t="shared" ref="N963:N1026" si="46">IF(M963="","",IF(H963="DKK",M963/7.45,IF(H963="SEK",M963/11.3,M963)))</f>
        <v>328.58047575398223</v>
      </c>
      <c r="O963" t="str">
        <f t="shared" ref="O963:O1026" si="47">IF(AND(E963&lt;=DATE(2024,12,31),F963&gt;=DATE(2010,1,1),D963="SHARE",N963&gt;=100000),"BEHOLD","FJERN")</f>
        <v>FJERN</v>
      </c>
      <c r="P963" s="1"/>
    </row>
    <row r="964" spans="1:16" ht="15" customHeight="1" x14ac:dyDescent="0.2">
      <c r="A964" s="1" t="s">
        <v>2767</v>
      </c>
      <c r="B964" s="1" t="s">
        <v>2768</v>
      </c>
      <c r="C964" s="1" t="s">
        <v>2</v>
      </c>
      <c r="D964" s="1" t="s">
        <v>3</v>
      </c>
      <c r="E964" s="5">
        <v>38393</v>
      </c>
      <c r="F964" s="5">
        <v>40840</v>
      </c>
      <c r="G964" s="2">
        <v>0.61690250000000002</v>
      </c>
      <c r="H964" s="1" t="s">
        <v>4</v>
      </c>
      <c r="I964" s="2"/>
      <c r="J964" s="1" t="s">
        <v>55</v>
      </c>
      <c r="K964" s="1" t="s">
        <v>2769</v>
      </c>
      <c r="L964" s="2">
        <v>154583.5</v>
      </c>
      <c r="M964">
        <f t="shared" si="45"/>
        <v>95362.947608750008</v>
      </c>
      <c r="N964">
        <f t="shared" si="46"/>
        <v>12800.395652181209</v>
      </c>
      <c r="O964" t="str">
        <f t="shared" si="47"/>
        <v>FJERN</v>
      </c>
      <c r="P964" s="1" t="s">
        <v>5999</v>
      </c>
    </row>
    <row r="965" spans="1:16" ht="15" customHeight="1" x14ac:dyDescent="0.2">
      <c r="A965" s="1" t="s">
        <v>2770</v>
      </c>
      <c r="B965" s="1" t="s">
        <v>2771</v>
      </c>
      <c r="C965" s="1" t="s">
        <v>9</v>
      </c>
      <c r="D965" s="1" t="s">
        <v>3</v>
      </c>
      <c r="E965" s="5">
        <v>40942</v>
      </c>
      <c r="F965" s="5">
        <v>44886</v>
      </c>
      <c r="G965" s="2">
        <v>2.2212339999999999</v>
      </c>
      <c r="H965" s="1" t="s">
        <v>10</v>
      </c>
      <c r="I965" s="2"/>
      <c r="J965" s="1" t="s">
        <v>64</v>
      </c>
      <c r="K965" s="1" t="s">
        <v>2772</v>
      </c>
      <c r="L965" s="2">
        <v>3725062</v>
      </c>
      <c r="M965">
        <f t="shared" si="45"/>
        <v>8274234.3665079996</v>
      </c>
      <c r="N965">
        <f t="shared" si="46"/>
        <v>732233.12977946899</v>
      </c>
      <c r="O965" t="str">
        <f t="shared" si="47"/>
        <v>BEHOLD</v>
      </c>
      <c r="P965" s="1" t="s">
        <v>6000</v>
      </c>
    </row>
    <row r="966" spans="1:16" ht="15" customHeight="1" x14ac:dyDescent="0.2">
      <c r="A966" s="1" t="s">
        <v>2773</v>
      </c>
      <c r="B966" s="1" t="s">
        <v>2774</v>
      </c>
      <c r="C966" s="1" t="s">
        <v>9</v>
      </c>
      <c r="D966" s="1" t="s">
        <v>3</v>
      </c>
      <c r="E966" s="5">
        <v>40295</v>
      </c>
      <c r="F966" s="5">
        <v>40854</v>
      </c>
      <c r="G966" s="2">
        <v>3.4011260000000001</v>
      </c>
      <c r="H966" s="1" t="s">
        <v>10</v>
      </c>
      <c r="I966" s="2"/>
      <c r="J966" s="1" t="s">
        <v>51</v>
      </c>
      <c r="K966" s="1" t="s">
        <v>2775</v>
      </c>
      <c r="L966" s="2">
        <v>3767.6370000000002</v>
      </c>
      <c r="M966">
        <f t="shared" si="45"/>
        <v>12814.208159262002</v>
      </c>
      <c r="N966">
        <f t="shared" si="46"/>
        <v>1134.0007220585842</v>
      </c>
      <c r="O966" t="str">
        <f t="shared" si="47"/>
        <v>FJERN</v>
      </c>
      <c r="P966" s="1"/>
    </row>
    <row r="967" spans="1:16" ht="15" customHeight="1" x14ac:dyDescent="0.2">
      <c r="A967" s="1" t="s">
        <v>2776</v>
      </c>
      <c r="B967" s="1" t="s">
        <v>2777</v>
      </c>
      <c r="C967" s="1" t="s">
        <v>9</v>
      </c>
      <c r="D967" s="1" t="s">
        <v>3</v>
      </c>
      <c r="E967" s="5">
        <v>40304</v>
      </c>
      <c r="F967" s="5">
        <v>41089</v>
      </c>
      <c r="G967" s="2">
        <v>2.4958010000000002</v>
      </c>
      <c r="H967" s="1" t="s">
        <v>10</v>
      </c>
      <c r="I967" s="2"/>
      <c r="J967" s="1" t="s">
        <v>167</v>
      </c>
      <c r="K967" s="1" t="s">
        <v>2778</v>
      </c>
      <c r="L967" s="2">
        <v>215.45869999999999</v>
      </c>
      <c r="M967">
        <f t="shared" si="45"/>
        <v>537.74203891870002</v>
      </c>
      <c r="N967">
        <f t="shared" si="46"/>
        <v>47.587791054752209</v>
      </c>
      <c r="O967" t="str">
        <f t="shared" si="47"/>
        <v>FJERN</v>
      </c>
      <c r="P967" s="1"/>
    </row>
    <row r="968" spans="1:16" ht="15" customHeight="1" x14ac:dyDescent="0.2">
      <c r="A968" s="1" t="s">
        <v>2779</v>
      </c>
      <c r="B968" s="1" t="s">
        <v>2780</v>
      </c>
      <c r="C968" s="1" t="s">
        <v>9</v>
      </c>
      <c r="D968" s="1" t="s">
        <v>3</v>
      </c>
      <c r="E968" s="5">
        <v>40266</v>
      </c>
      <c r="F968" s="5">
        <v>41073</v>
      </c>
      <c r="G968" s="2">
        <v>3.7492359999999998</v>
      </c>
      <c r="H968" s="1" t="s">
        <v>10</v>
      </c>
      <c r="I968" s="2"/>
      <c r="J968" s="1" t="s">
        <v>184</v>
      </c>
      <c r="K968" s="1" t="s">
        <v>2781</v>
      </c>
      <c r="L968" s="2">
        <v>2458.9609999999998</v>
      </c>
      <c r="M968">
        <f t="shared" si="45"/>
        <v>9219.2251037959995</v>
      </c>
      <c r="N968">
        <f t="shared" si="46"/>
        <v>815.86062865451322</v>
      </c>
      <c r="O968" t="str">
        <f t="shared" si="47"/>
        <v>FJERN</v>
      </c>
      <c r="P968" s="1"/>
    </row>
    <row r="969" spans="1:16" ht="15" customHeight="1" x14ac:dyDescent="0.2">
      <c r="A969" s="1" t="s">
        <v>2782</v>
      </c>
      <c r="B969" s="1" t="s">
        <v>2783</v>
      </c>
      <c r="C969" s="1" t="s">
        <v>9</v>
      </c>
      <c r="D969" s="1" t="s">
        <v>3</v>
      </c>
      <c r="E969" s="5">
        <v>40332</v>
      </c>
      <c r="F969" s="5">
        <v>40464</v>
      </c>
      <c r="G969" s="2">
        <v>1.010208</v>
      </c>
      <c r="H969" s="1" t="s">
        <v>10</v>
      </c>
      <c r="I969" s="2"/>
      <c r="J969" s="1" t="s">
        <v>64</v>
      </c>
      <c r="K969" s="1" t="s">
        <v>2784</v>
      </c>
      <c r="L969" s="2">
        <v>1806.4480000000001</v>
      </c>
      <c r="M969">
        <f t="shared" si="45"/>
        <v>1824.888221184</v>
      </c>
      <c r="N969">
        <f t="shared" si="46"/>
        <v>161.49453284814157</v>
      </c>
      <c r="O969" t="str">
        <f t="shared" si="47"/>
        <v>FJERN</v>
      </c>
      <c r="P969" s="1"/>
    </row>
    <row r="970" spans="1:16" ht="15" customHeight="1" x14ac:dyDescent="0.2">
      <c r="A970" s="1" t="s">
        <v>2785</v>
      </c>
      <c r="B970" s="1" t="s">
        <v>2786</v>
      </c>
      <c r="C970" s="1" t="s">
        <v>9</v>
      </c>
      <c r="D970" s="1" t="s">
        <v>3</v>
      </c>
      <c r="E970" s="5">
        <v>40315</v>
      </c>
      <c r="F970" s="5">
        <v>40987</v>
      </c>
      <c r="G970" s="2">
        <v>2.6370960000000001</v>
      </c>
      <c r="H970" s="1" t="s">
        <v>10</v>
      </c>
      <c r="I970" s="2"/>
      <c r="J970" s="1" t="s">
        <v>366</v>
      </c>
      <c r="K970" s="1" t="s">
        <v>2787</v>
      </c>
      <c r="L970" s="2">
        <v>3023.288</v>
      </c>
      <c r="M970">
        <f t="shared" si="45"/>
        <v>7972.7006916480004</v>
      </c>
      <c r="N970">
        <f t="shared" si="46"/>
        <v>705.54873377415925</v>
      </c>
      <c r="O970" t="str">
        <f t="shared" si="47"/>
        <v>FJERN</v>
      </c>
      <c r="P970" s="1"/>
    </row>
    <row r="971" spans="1:16" ht="15" customHeight="1" x14ac:dyDescent="0.2">
      <c r="A971" s="1" t="s">
        <v>2788</v>
      </c>
      <c r="B971" s="1" t="s">
        <v>2789</v>
      </c>
      <c r="C971" s="1" t="s">
        <v>9</v>
      </c>
      <c r="D971" s="1" t="s">
        <v>3</v>
      </c>
      <c r="E971" s="5">
        <v>40441</v>
      </c>
      <c r="F971" s="5">
        <v>46155</v>
      </c>
      <c r="G971" s="2">
        <v>36.846820000000001</v>
      </c>
      <c r="H971" s="1" t="s">
        <v>10</v>
      </c>
      <c r="I971" s="2">
        <v>5782.0707679999996</v>
      </c>
      <c r="J971" s="1" t="s">
        <v>64</v>
      </c>
      <c r="K971" s="1" t="s">
        <v>2790</v>
      </c>
      <c r="L971" s="2">
        <v>34335.79</v>
      </c>
      <c r="M971">
        <f t="shared" si="45"/>
        <v>1265164.6736878001</v>
      </c>
      <c r="N971">
        <f t="shared" si="46"/>
        <v>111961.47554759291</v>
      </c>
      <c r="O971" t="str">
        <f t="shared" si="47"/>
        <v>BEHOLD</v>
      </c>
      <c r="P971" s="1" t="s">
        <v>6001</v>
      </c>
    </row>
    <row r="972" spans="1:16" ht="15" customHeight="1" x14ac:dyDescent="0.2">
      <c r="A972" s="1" t="s">
        <v>2791</v>
      </c>
      <c r="B972" s="1" t="s">
        <v>2792</v>
      </c>
      <c r="C972" s="1" t="s">
        <v>9</v>
      </c>
      <c r="D972" s="1" t="s">
        <v>3</v>
      </c>
      <c r="E972" s="5">
        <v>40667</v>
      </c>
      <c r="F972" s="5">
        <v>46155</v>
      </c>
      <c r="G972" s="2">
        <v>57.746850000000002</v>
      </c>
      <c r="H972" s="1" t="s">
        <v>10</v>
      </c>
      <c r="I972" s="2">
        <v>406.412285</v>
      </c>
      <c r="J972" s="1" t="s">
        <v>64</v>
      </c>
      <c r="K972" s="1" t="s">
        <v>2793</v>
      </c>
      <c r="L972" s="2">
        <v>18181.98</v>
      </c>
      <c r="M972">
        <f t="shared" si="45"/>
        <v>1049952.071763</v>
      </c>
      <c r="N972">
        <f t="shared" si="46"/>
        <v>92916.112545398224</v>
      </c>
      <c r="O972" t="str">
        <f t="shared" si="47"/>
        <v>FJERN</v>
      </c>
      <c r="P972" s="1" t="s">
        <v>6002</v>
      </c>
    </row>
    <row r="973" spans="1:16" ht="15" customHeight="1" x14ac:dyDescent="0.2">
      <c r="A973" s="1" t="s">
        <v>2794</v>
      </c>
      <c r="B973" s="1" t="s">
        <v>2795</v>
      </c>
      <c r="C973" s="1" t="s">
        <v>9</v>
      </c>
      <c r="D973" s="1" t="s">
        <v>3</v>
      </c>
      <c r="E973" s="5">
        <v>41141</v>
      </c>
      <c r="F973" s="5">
        <v>46149</v>
      </c>
      <c r="G973" s="2">
        <v>20.248699999999999</v>
      </c>
      <c r="H973" s="1" t="s">
        <v>10</v>
      </c>
      <c r="I973" s="2">
        <v>21.474495520000001</v>
      </c>
      <c r="J973" s="1" t="s">
        <v>76</v>
      </c>
      <c r="K973" s="1" t="s">
        <v>2796</v>
      </c>
      <c r="L973" s="2">
        <v>5358.1589999999997</v>
      </c>
      <c r="M973">
        <f t="shared" si="45"/>
        <v>108495.75414329999</v>
      </c>
      <c r="N973">
        <f t="shared" si="46"/>
        <v>9601.3941719734503</v>
      </c>
      <c r="O973" t="str">
        <f t="shared" si="47"/>
        <v>FJERN</v>
      </c>
      <c r="P973" s="1"/>
    </row>
    <row r="974" spans="1:16" ht="15" customHeight="1" x14ac:dyDescent="0.2">
      <c r="A974" s="1" t="s">
        <v>2797</v>
      </c>
      <c r="B974" s="1" t="s">
        <v>2798</v>
      </c>
      <c r="C974" s="1" t="s">
        <v>9</v>
      </c>
      <c r="D974" s="1" t="s">
        <v>3</v>
      </c>
      <c r="E974" s="5">
        <v>41851</v>
      </c>
      <c r="F974" s="5">
        <v>46062</v>
      </c>
      <c r="G974" s="2">
        <v>7.7365000000000004</v>
      </c>
      <c r="H974" s="1" t="s">
        <v>10</v>
      </c>
      <c r="I974" s="2">
        <v>13.851027588999999</v>
      </c>
      <c r="J974" s="1" t="s">
        <v>366</v>
      </c>
      <c r="K974" s="1" t="s">
        <v>2799</v>
      </c>
      <c r="L974" s="2">
        <v>92231.73</v>
      </c>
      <c r="M974">
        <f t="shared" si="45"/>
        <v>713550.77914500004</v>
      </c>
      <c r="N974">
        <f t="shared" si="46"/>
        <v>63146.086649999997</v>
      </c>
      <c r="O974" t="str">
        <f t="shared" si="47"/>
        <v>FJERN</v>
      </c>
      <c r="P974" s="1" t="s">
        <v>6003</v>
      </c>
    </row>
    <row r="975" spans="1:16" ht="15" customHeight="1" x14ac:dyDescent="0.2">
      <c r="A975" s="1" t="s">
        <v>2800</v>
      </c>
      <c r="B975" s="1" t="s">
        <v>2801</v>
      </c>
      <c r="C975" s="1" t="s">
        <v>9</v>
      </c>
      <c r="D975" s="1" t="s">
        <v>3</v>
      </c>
      <c r="E975" s="5">
        <v>40885</v>
      </c>
      <c r="F975" s="5">
        <v>43686</v>
      </c>
      <c r="G975" s="2">
        <v>61.339120000000001</v>
      </c>
      <c r="H975" s="1" t="s">
        <v>10</v>
      </c>
      <c r="I975" s="2"/>
      <c r="J975" s="1" t="s">
        <v>30</v>
      </c>
      <c r="K975" s="1" t="s">
        <v>2802</v>
      </c>
      <c r="L975" s="2">
        <v>1200.046</v>
      </c>
      <c r="M975">
        <f t="shared" si="45"/>
        <v>73609.765599520004</v>
      </c>
      <c r="N975">
        <f t="shared" si="46"/>
        <v>6514.1385486300887</v>
      </c>
      <c r="O975" t="str">
        <f t="shared" si="47"/>
        <v>FJERN</v>
      </c>
      <c r="P975" s="1"/>
    </row>
    <row r="976" spans="1:16" ht="15" customHeight="1" x14ac:dyDescent="0.2">
      <c r="A976" s="1" t="s">
        <v>2803</v>
      </c>
      <c r="B976" s="1" t="s">
        <v>2804</v>
      </c>
      <c r="C976" s="1" t="s">
        <v>2</v>
      </c>
      <c r="D976" s="1" t="s">
        <v>3</v>
      </c>
      <c r="E976" s="5">
        <v>36847</v>
      </c>
      <c r="F976" s="5">
        <v>46155</v>
      </c>
      <c r="G976" s="2">
        <v>292.34629999999999</v>
      </c>
      <c r="H976" s="1" t="s">
        <v>4</v>
      </c>
      <c r="I976" s="2">
        <v>189999.73025006001</v>
      </c>
      <c r="J976" s="1" t="s">
        <v>51</v>
      </c>
      <c r="K976" s="1" t="s">
        <v>2805</v>
      </c>
      <c r="L976" s="2">
        <v>529815.5</v>
      </c>
      <c r="M976">
        <f t="shared" si="45"/>
        <v>154889601.10764998</v>
      </c>
      <c r="N976">
        <f t="shared" si="46"/>
        <v>20790550.484248318</v>
      </c>
      <c r="O976" t="str">
        <f t="shared" si="47"/>
        <v>BEHOLD</v>
      </c>
      <c r="P976" s="1" t="s">
        <v>6004</v>
      </c>
    </row>
    <row r="977" spans="1:16" ht="15" customHeight="1" x14ac:dyDescent="0.2">
      <c r="A977" s="1" t="s">
        <v>2806</v>
      </c>
      <c r="B977" s="1" t="s">
        <v>2807</v>
      </c>
      <c r="C977" s="1" t="s">
        <v>9</v>
      </c>
      <c r="D977" s="1" t="s">
        <v>3</v>
      </c>
      <c r="E977" s="5">
        <v>39283</v>
      </c>
      <c r="F977" s="5">
        <v>42810</v>
      </c>
      <c r="G977" s="2">
        <v>30.156960000000002</v>
      </c>
      <c r="H977" s="1" t="s">
        <v>10</v>
      </c>
      <c r="I977" s="2"/>
      <c r="J977" s="1" t="s">
        <v>201</v>
      </c>
      <c r="K977" s="1" t="s">
        <v>2808</v>
      </c>
      <c r="L977" s="2">
        <v>1762.269</v>
      </c>
      <c r="M977">
        <f t="shared" si="45"/>
        <v>53144.675742240004</v>
      </c>
      <c r="N977">
        <f t="shared" si="46"/>
        <v>4703.0686497557526</v>
      </c>
      <c r="O977" t="str">
        <f t="shared" si="47"/>
        <v>FJERN</v>
      </c>
      <c r="P977" s="1"/>
    </row>
    <row r="978" spans="1:16" ht="15" customHeight="1" x14ac:dyDescent="0.2">
      <c r="A978" s="1" t="s">
        <v>2809</v>
      </c>
      <c r="B978" s="1" t="s">
        <v>2810</v>
      </c>
      <c r="C978" s="1" t="s">
        <v>2</v>
      </c>
      <c r="D978" s="1" t="s">
        <v>3</v>
      </c>
      <c r="E978" s="5">
        <v>32231</v>
      </c>
      <c r="F978" s="5">
        <v>43532</v>
      </c>
      <c r="G978" s="2">
        <v>170.9965</v>
      </c>
      <c r="H978" s="1" t="s">
        <v>4</v>
      </c>
      <c r="I978" s="2"/>
      <c r="J978" s="1" t="s">
        <v>176</v>
      </c>
      <c r="K978" s="1" t="s">
        <v>2811</v>
      </c>
      <c r="L978" s="2">
        <v>596.01790000000005</v>
      </c>
      <c r="M978">
        <f t="shared" si="45"/>
        <v>101916.97483735</v>
      </c>
      <c r="N978">
        <f t="shared" si="46"/>
        <v>13680.130850651007</v>
      </c>
      <c r="O978" t="str">
        <f t="shared" si="47"/>
        <v>FJERN</v>
      </c>
      <c r="P978" s="1" t="s">
        <v>6005</v>
      </c>
    </row>
    <row r="979" spans="1:16" ht="15" customHeight="1" x14ac:dyDescent="0.2">
      <c r="A979" s="1" t="s">
        <v>2812</v>
      </c>
      <c r="B979" s="1" t="s">
        <v>2813</v>
      </c>
      <c r="C979" s="1" t="s">
        <v>9</v>
      </c>
      <c r="D979" s="1" t="s">
        <v>3</v>
      </c>
      <c r="E979" s="5">
        <v>41414</v>
      </c>
      <c r="F979" s="5">
        <v>46155</v>
      </c>
      <c r="G979" s="2">
        <v>10.645390000000001</v>
      </c>
      <c r="H979" s="1" t="s">
        <v>10</v>
      </c>
      <c r="I979" s="2">
        <v>1553.7468699000001</v>
      </c>
      <c r="J979" s="1" t="s">
        <v>366</v>
      </c>
      <c r="K979" s="1" t="s">
        <v>2814</v>
      </c>
      <c r="L979" s="2">
        <v>290254.40000000002</v>
      </c>
      <c r="M979">
        <f t="shared" si="45"/>
        <v>3089871.2872160003</v>
      </c>
      <c r="N979">
        <f t="shared" si="46"/>
        <v>273439.93692176993</v>
      </c>
      <c r="O979" t="str">
        <f t="shared" si="47"/>
        <v>BEHOLD</v>
      </c>
      <c r="P979" s="1" t="s">
        <v>6006</v>
      </c>
    </row>
    <row r="980" spans="1:16" ht="15" customHeight="1" x14ac:dyDescent="0.2">
      <c r="A980" s="1" t="s">
        <v>2815</v>
      </c>
      <c r="B980" s="1" t="s">
        <v>2816</v>
      </c>
      <c r="C980" s="1" t="s">
        <v>9</v>
      </c>
      <c r="D980" s="1" t="s">
        <v>3</v>
      </c>
      <c r="E980" s="5">
        <v>41320</v>
      </c>
      <c r="F980" s="5">
        <v>42937</v>
      </c>
      <c r="G980" s="2">
        <v>6.8828189999999996</v>
      </c>
      <c r="H980" s="1" t="s">
        <v>10</v>
      </c>
      <c r="I980" s="2"/>
      <c r="J980" s="1" t="s">
        <v>34</v>
      </c>
      <c r="K980" s="1" t="s">
        <v>2817</v>
      </c>
      <c r="L980" s="2">
        <v>84732.94</v>
      </c>
      <c r="M980">
        <f t="shared" si="45"/>
        <v>583201.48935785994</v>
      </c>
      <c r="N980">
        <f t="shared" si="46"/>
        <v>51610.75127060707</v>
      </c>
      <c r="O980" t="str">
        <f t="shared" si="47"/>
        <v>FJERN</v>
      </c>
      <c r="P980" s="1" t="s">
        <v>6007</v>
      </c>
    </row>
    <row r="981" spans="1:16" ht="15" customHeight="1" x14ac:dyDescent="0.2">
      <c r="A981" s="1" t="s">
        <v>2818</v>
      </c>
      <c r="B981" s="1" t="s">
        <v>2819</v>
      </c>
      <c r="C981" s="1" t="s">
        <v>9</v>
      </c>
      <c r="D981" s="1" t="s">
        <v>3</v>
      </c>
      <c r="E981" s="5">
        <v>41033</v>
      </c>
      <c r="F981" s="5">
        <v>45247</v>
      </c>
      <c r="G981" s="2">
        <v>5.035717</v>
      </c>
      <c r="H981" s="1" t="s">
        <v>10</v>
      </c>
      <c r="I981" s="2"/>
      <c r="J981" s="1" t="s">
        <v>34</v>
      </c>
      <c r="K981" s="1" t="s">
        <v>2820</v>
      </c>
      <c r="L981" s="2">
        <v>43864.26</v>
      </c>
      <c r="M981">
        <f t="shared" si="45"/>
        <v>220887.99977442002</v>
      </c>
      <c r="N981">
        <f t="shared" si="46"/>
        <v>19547.610599506195</v>
      </c>
      <c r="O981" t="str">
        <f t="shared" si="47"/>
        <v>FJERN</v>
      </c>
      <c r="P981" s="1" t="s">
        <v>6008</v>
      </c>
    </row>
    <row r="982" spans="1:16" ht="15" customHeight="1" x14ac:dyDescent="0.2">
      <c r="A982" s="1" t="s">
        <v>2821</v>
      </c>
      <c r="B982" s="1" t="s">
        <v>2822</v>
      </c>
      <c r="C982" s="1" t="s">
        <v>9</v>
      </c>
      <c r="D982" s="1" t="s">
        <v>3</v>
      </c>
      <c r="E982" s="5">
        <v>41190</v>
      </c>
      <c r="F982" s="5">
        <v>46155</v>
      </c>
      <c r="G982" s="2">
        <v>171.79089999999999</v>
      </c>
      <c r="H982" s="1" t="s">
        <v>10</v>
      </c>
      <c r="I982" s="2">
        <v>5877.8014169947</v>
      </c>
      <c r="J982" s="1" t="s">
        <v>34</v>
      </c>
      <c r="K982" s="1" t="s">
        <v>2823</v>
      </c>
      <c r="L982" s="2">
        <v>43597.05</v>
      </c>
      <c r="M982">
        <f t="shared" si="45"/>
        <v>7489576.4568450004</v>
      </c>
      <c r="N982">
        <f t="shared" si="46"/>
        <v>662794.37671194691</v>
      </c>
      <c r="O982" t="str">
        <f t="shared" si="47"/>
        <v>BEHOLD</v>
      </c>
      <c r="P982" s="1" t="s">
        <v>6009</v>
      </c>
    </row>
    <row r="983" spans="1:16" ht="15" customHeight="1" x14ac:dyDescent="0.2">
      <c r="A983" s="1" t="s">
        <v>2824</v>
      </c>
      <c r="B983" s="1" t="s">
        <v>2825</v>
      </c>
      <c r="C983" s="1" t="s">
        <v>9</v>
      </c>
      <c r="D983" s="1" t="s">
        <v>3</v>
      </c>
      <c r="E983" s="5">
        <v>41102</v>
      </c>
      <c r="F983" s="5">
        <v>46153</v>
      </c>
      <c r="G983" s="2">
        <v>1378.654</v>
      </c>
      <c r="H983" s="1" t="s">
        <v>10</v>
      </c>
      <c r="I983" s="2">
        <v>927.55677000000003</v>
      </c>
      <c r="J983" s="1" t="s">
        <v>76</v>
      </c>
      <c r="K983" s="1" t="s">
        <v>2826</v>
      </c>
      <c r="L983" s="2">
        <v>94.012100000000004</v>
      </c>
      <c r="M983">
        <f t="shared" si="45"/>
        <v>129610.15771340001</v>
      </c>
      <c r="N983">
        <f t="shared" si="46"/>
        <v>11469.925461362833</v>
      </c>
      <c r="O983" t="str">
        <f t="shared" si="47"/>
        <v>FJERN</v>
      </c>
      <c r="P983" s="1"/>
    </row>
    <row r="984" spans="1:16" ht="15" customHeight="1" x14ac:dyDescent="0.2">
      <c r="A984" s="1" t="s">
        <v>2827</v>
      </c>
      <c r="B984" s="1" t="s">
        <v>2828</v>
      </c>
      <c r="C984" s="1" t="s">
        <v>2</v>
      </c>
      <c r="D984" s="1" t="s">
        <v>3</v>
      </c>
      <c r="E984" s="5">
        <v>31049</v>
      </c>
      <c r="F984" s="5">
        <v>46155</v>
      </c>
      <c r="G984" s="2">
        <v>555.84169999999995</v>
      </c>
      <c r="H984" s="1" t="s">
        <v>4</v>
      </c>
      <c r="I984" s="2">
        <v>122374.170228</v>
      </c>
      <c r="J984" s="1" t="s">
        <v>34</v>
      </c>
      <c r="K984" s="1" t="s">
        <v>2829</v>
      </c>
      <c r="L984" s="2">
        <v>300371.40000000002</v>
      </c>
      <c r="M984">
        <f t="shared" si="45"/>
        <v>166958949.60738</v>
      </c>
      <c r="N984">
        <f t="shared" si="46"/>
        <v>22410597.262735572</v>
      </c>
      <c r="O984" t="str">
        <f t="shared" si="47"/>
        <v>BEHOLD</v>
      </c>
      <c r="P984" s="1" t="s">
        <v>6010</v>
      </c>
    </row>
    <row r="985" spans="1:16" ht="15" customHeight="1" x14ac:dyDescent="0.2">
      <c r="A985" s="1" t="s">
        <v>2830</v>
      </c>
      <c r="B985" s="1" t="s">
        <v>2831</v>
      </c>
      <c r="C985" s="1" t="s">
        <v>9</v>
      </c>
      <c r="D985" s="1" t="s">
        <v>3</v>
      </c>
      <c r="E985" s="5">
        <v>39482</v>
      </c>
      <c r="F985" s="5">
        <v>41746</v>
      </c>
      <c r="G985" s="2">
        <v>45.979300000000002</v>
      </c>
      <c r="H985" s="1" t="s">
        <v>10</v>
      </c>
      <c r="I985" s="2"/>
      <c r="J985" s="1" t="s">
        <v>236</v>
      </c>
      <c r="K985" s="1" t="s">
        <v>2832</v>
      </c>
      <c r="L985" s="2">
        <v>3155.5790000000002</v>
      </c>
      <c r="M985">
        <f t="shared" si="45"/>
        <v>145091.31351470001</v>
      </c>
      <c r="N985">
        <f t="shared" si="46"/>
        <v>12839.939249088497</v>
      </c>
      <c r="O985" t="str">
        <f t="shared" si="47"/>
        <v>FJERN</v>
      </c>
      <c r="P985" s="1" t="s">
        <v>6011</v>
      </c>
    </row>
    <row r="986" spans="1:16" ht="15" customHeight="1" x14ac:dyDescent="0.2">
      <c r="A986" s="1" t="s">
        <v>2833</v>
      </c>
      <c r="B986" s="1" t="s">
        <v>2834</v>
      </c>
      <c r="C986" s="1" t="s">
        <v>2</v>
      </c>
      <c r="D986" s="1" t="s">
        <v>3</v>
      </c>
      <c r="E986" s="5">
        <v>33050</v>
      </c>
      <c r="F986" s="5">
        <v>46155</v>
      </c>
      <c r="G986" s="2">
        <v>184.21289999999999</v>
      </c>
      <c r="H986" s="1" t="s">
        <v>4</v>
      </c>
      <c r="I986" s="2">
        <v>205.63724999999999</v>
      </c>
      <c r="J986" s="1" t="s">
        <v>19</v>
      </c>
      <c r="K986" s="1" t="s">
        <v>2835</v>
      </c>
      <c r="L986" s="2">
        <v>1544.078</v>
      </c>
      <c r="M986">
        <f t="shared" si="45"/>
        <v>284439.08620620001</v>
      </c>
      <c r="N986">
        <f t="shared" si="46"/>
        <v>38179.743114926176</v>
      </c>
      <c r="O986" t="str">
        <f t="shared" si="47"/>
        <v>FJERN</v>
      </c>
      <c r="P986" s="1" t="s">
        <v>6012</v>
      </c>
    </row>
    <row r="987" spans="1:16" ht="15" customHeight="1" x14ac:dyDescent="0.2">
      <c r="A987" s="1" t="s">
        <v>2836</v>
      </c>
      <c r="B987" s="1" t="s">
        <v>2837</v>
      </c>
      <c r="C987" s="1" t="s">
        <v>9</v>
      </c>
      <c r="D987" s="1" t="s">
        <v>3</v>
      </c>
      <c r="E987" s="5">
        <v>41241</v>
      </c>
      <c r="F987" s="5">
        <v>42422</v>
      </c>
      <c r="G987" s="2">
        <v>37.244459999999997</v>
      </c>
      <c r="H987" s="1" t="s">
        <v>10</v>
      </c>
      <c r="I987" s="2"/>
      <c r="J987" s="1" t="s">
        <v>61</v>
      </c>
      <c r="K987" s="1" t="s">
        <v>2838</v>
      </c>
      <c r="L987" s="2">
        <v>63176.63</v>
      </c>
      <c r="M987">
        <f t="shared" si="45"/>
        <v>2352979.4689697996</v>
      </c>
      <c r="N987">
        <f t="shared" si="46"/>
        <v>208228.27159024775</v>
      </c>
      <c r="O987" t="str">
        <f t="shared" si="47"/>
        <v>BEHOLD</v>
      </c>
      <c r="P987" s="1" t="s">
        <v>6013</v>
      </c>
    </row>
    <row r="988" spans="1:16" ht="15" customHeight="1" x14ac:dyDescent="0.2">
      <c r="A988" s="1" t="s">
        <v>2839</v>
      </c>
      <c r="B988" s="1" t="s">
        <v>2840</v>
      </c>
      <c r="C988" s="1" t="s">
        <v>9</v>
      </c>
      <c r="D988" s="1" t="s">
        <v>3</v>
      </c>
      <c r="E988" s="5">
        <v>41207</v>
      </c>
      <c r="F988" s="5">
        <v>43959</v>
      </c>
      <c r="G988" s="2">
        <v>65.503519999999995</v>
      </c>
      <c r="H988" s="1" t="s">
        <v>10</v>
      </c>
      <c r="I988" s="2"/>
      <c r="J988" s="1" t="s">
        <v>184</v>
      </c>
      <c r="K988" s="1" t="s">
        <v>2841</v>
      </c>
      <c r="L988" s="2">
        <v>10716.88</v>
      </c>
      <c r="M988">
        <f t="shared" si="45"/>
        <v>701993.36341759993</v>
      </c>
      <c r="N988">
        <f t="shared" si="46"/>
        <v>62123.306497132733</v>
      </c>
      <c r="O988" t="str">
        <f t="shared" si="47"/>
        <v>FJERN</v>
      </c>
      <c r="P988" s="1" t="s">
        <v>6014</v>
      </c>
    </row>
    <row r="989" spans="1:16" ht="15" customHeight="1" x14ac:dyDescent="0.2">
      <c r="A989" s="1" t="s">
        <v>2842</v>
      </c>
      <c r="B989" s="1" t="s">
        <v>2843</v>
      </c>
      <c r="C989" s="1" t="s">
        <v>9</v>
      </c>
      <c r="D989" s="1" t="s">
        <v>3</v>
      </c>
      <c r="E989" s="5">
        <v>41270</v>
      </c>
      <c r="F989" s="5">
        <v>46155</v>
      </c>
      <c r="G989" s="2">
        <v>4.7670810000000001</v>
      </c>
      <c r="H989" s="1" t="s">
        <v>10</v>
      </c>
      <c r="I989" s="2">
        <v>77.073229569000006</v>
      </c>
      <c r="J989" s="1" t="s">
        <v>34</v>
      </c>
      <c r="K989" s="1" t="s">
        <v>2844</v>
      </c>
      <c r="L989" s="2">
        <v>100441.9</v>
      </c>
      <c r="M989">
        <f t="shared" si="45"/>
        <v>478814.67309389997</v>
      </c>
      <c r="N989">
        <f t="shared" si="46"/>
        <v>42372.979919814155</v>
      </c>
      <c r="O989" t="str">
        <f t="shared" si="47"/>
        <v>FJERN</v>
      </c>
      <c r="P989" s="1" t="s">
        <v>6015</v>
      </c>
    </row>
    <row r="990" spans="1:16" ht="15" customHeight="1" x14ac:dyDescent="0.2">
      <c r="A990" s="1" t="s">
        <v>2845</v>
      </c>
      <c r="B990" s="1" t="s">
        <v>2846</v>
      </c>
      <c r="C990" s="1" t="s">
        <v>2</v>
      </c>
      <c r="D990" s="1" t="s">
        <v>3</v>
      </c>
      <c r="E990" s="5">
        <v>39603</v>
      </c>
      <c r="F990" s="5">
        <v>42055</v>
      </c>
      <c r="G990" s="2">
        <v>7.5605650000000004</v>
      </c>
      <c r="H990" s="1" t="s">
        <v>4</v>
      </c>
      <c r="I990" s="2"/>
      <c r="J990" s="1" t="s">
        <v>86</v>
      </c>
      <c r="K990" s="1" t="s">
        <v>2847</v>
      </c>
      <c r="L990" s="2">
        <v>17860.88</v>
      </c>
      <c r="M990">
        <f t="shared" si="45"/>
        <v>135038.34419720003</v>
      </c>
      <c r="N990">
        <f t="shared" si="46"/>
        <v>18125.952241234903</v>
      </c>
      <c r="O990" t="str">
        <f t="shared" si="47"/>
        <v>FJERN</v>
      </c>
      <c r="P990" s="1" t="s">
        <v>6016</v>
      </c>
    </row>
    <row r="991" spans="1:16" ht="15" customHeight="1" x14ac:dyDescent="0.2">
      <c r="A991" s="1" t="s">
        <v>2848</v>
      </c>
      <c r="B991" s="1" t="s">
        <v>2849</v>
      </c>
      <c r="C991" s="1" t="s">
        <v>9</v>
      </c>
      <c r="D991" s="1" t="s">
        <v>3</v>
      </c>
      <c r="E991" s="5">
        <v>38138</v>
      </c>
      <c r="F991" s="5">
        <v>42384</v>
      </c>
      <c r="G991" s="2">
        <v>940.97349999999994</v>
      </c>
      <c r="H991" s="1" t="s">
        <v>10</v>
      </c>
      <c r="I991" s="2"/>
      <c r="J991" s="1" t="s">
        <v>201</v>
      </c>
      <c r="K991" s="1" t="s">
        <v>2850</v>
      </c>
      <c r="L991" s="2">
        <v>263152.59999999998</v>
      </c>
      <c r="M991">
        <f t="shared" si="45"/>
        <v>247619623.05609995</v>
      </c>
      <c r="N991">
        <f t="shared" si="46"/>
        <v>21913240.978415925</v>
      </c>
      <c r="O991" t="str">
        <f t="shared" si="47"/>
        <v>BEHOLD</v>
      </c>
      <c r="P991" s="1" t="s">
        <v>6017</v>
      </c>
    </row>
    <row r="992" spans="1:16" ht="15" customHeight="1" x14ac:dyDescent="0.2">
      <c r="A992" s="1" t="s">
        <v>2851</v>
      </c>
      <c r="B992" s="1" t="s">
        <v>2852</v>
      </c>
      <c r="C992" s="1" t="s">
        <v>2</v>
      </c>
      <c r="D992" s="1" t="s">
        <v>3</v>
      </c>
      <c r="E992" s="5">
        <v>32007</v>
      </c>
      <c r="F992" s="5">
        <v>45583</v>
      </c>
      <c r="G992" s="2">
        <v>208.19300000000001</v>
      </c>
      <c r="H992" s="1" t="s">
        <v>4</v>
      </c>
      <c r="I992" s="2">
        <v>28613.322400000001</v>
      </c>
      <c r="J992" s="1" t="s">
        <v>83</v>
      </c>
      <c r="K992" s="1" t="s">
        <v>2853</v>
      </c>
      <c r="L992" s="2">
        <v>239003.6</v>
      </c>
      <c r="M992">
        <f t="shared" si="45"/>
        <v>49758876.494800001</v>
      </c>
      <c r="N992">
        <f t="shared" si="46"/>
        <v>6679043.8248053696</v>
      </c>
      <c r="O992" t="str">
        <f t="shared" si="47"/>
        <v>BEHOLD</v>
      </c>
      <c r="P992" s="1" t="s">
        <v>6018</v>
      </c>
    </row>
    <row r="993" spans="1:16" ht="15" customHeight="1" x14ac:dyDescent="0.2">
      <c r="A993" s="1" t="s">
        <v>2854</v>
      </c>
      <c r="B993" s="1" t="s">
        <v>2855</v>
      </c>
      <c r="C993" s="1" t="s">
        <v>9</v>
      </c>
      <c r="D993" s="1" t="s">
        <v>3</v>
      </c>
      <c r="E993" s="5">
        <v>38957</v>
      </c>
      <c r="F993" s="5">
        <v>42755</v>
      </c>
      <c r="G993" s="2">
        <v>196.68709999999999</v>
      </c>
      <c r="H993" s="1" t="s">
        <v>10</v>
      </c>
      <c r="I993" s="2"/>
      <c r="J993" s="1" t="s">
        <v>19</v>
      </c>
      <c r="K993" s="1" t="s">
        <v>2856</v>
      </c>
      <c r="L993" s="2">
        <v>148045.9</v>
      </c>
      <c r="M993">
        <f t="shared" si="45"/>
        <v>29118718.737889998</v>
      </c>
      <c r="N993">
        <f t="shared" si="46"/>
        <v>2576877.7644150439</v>
      </c>
      <c r="O993" t="str">
        <f t="shared" si="47"/>
        <v>BEHOLD</v>
      </c>
      <c r="P993" s="1" t="s">
        <v>6019</v>
      </c>
    </row>
    <row r="994" spans="1:16" ht="15" customHeight="1" x14ac:dyDescent="0.2">
      <c r="A994" s="1" t="s">
        <v>2857</v>
      </c>
      <c r="B994" s="1" t="s">
        <v>2858</v>
      </c>
      <c r="C994" s="1" t="s">
        <v>9</v>
      </c>
      <c r="D994" s="1" t="s">
        <v>3</v>
      </c>
      <c r="E994" s="5">
        <v>35199</v>
      </c>
      <c r="F994" s="5">
        <v>46155</v>
      </c>
      <c r="G994" s="2">
        <v>89.778880000000001</v>
      </c>
      <c r="H994" s="1" t="s">
        <v>10</v>
      </c>
      <c r="I994" s="2">
        <v>107189.10020060001</v>
      </c>
      <c r="J994" s="1" t="s">
        <v>391</v>
      </c>
      <c r="K994" s="1" t="s">
        <v>2859</v>
      </c>
      <c r="L994" s="2">
        <v>2193289</v>
      </c>
      <c r="M994">
        <f t="shared" si="45"/>
        <v>196911029.93632001</v>
      </c>
      <c r="N994">
        <f t="shared" si="46"/>
        <v>17425754.861621238</v>
      </c>
      <c r="O994" t="str">
        <f t="shared" si="47"/>
        <v>BEHOLD</v>
      </c>
      <c r="P994" s="1" t="s">
        <v>6020</v>
      </c>
    </row>
    <row r="995" spans="1:16" ht="15" customHeight="1" x14ac:dyDescent="0.2">
      <c r="A995" s="1" t="s">
        <v>2860</v>
      </c>
      <c r="B995" s="1" t="s">
        <v>2861</v>
      </c>
      <c r="C995" s="1" t="s">
        <v>9</v>
      </c>
      <c r="D995" s="1" t="s">
        <v>3</v>
      </c>
      <c r="E995" s="5">
        <v>38232</v>
      </c>
      <c r="F995" s="5">
        <v>46155</v>
      </c>
      <c r="G995" s="2">
        <v>13.28215</v>
      </c>
      <c r="H995" s="1" t="s">
        <v>10</v>
      </c>
      <c r="I995" s="2">
        <v>2653.4585880599998</v>
      </c>
      <c r="J995" s="1" t="s">
        <v>61</v>
      </c>
      <c r="K995" s="1" t="s">
        <v>2862</v>
      </c>
      <c r="L995" s="2">
        <v>417463.6</v>
      </c>
      <c r="M995">
        <f t="shared" si="45"/>
        <v>5544814.1547399992</v>
      </c>
      <c r="N995">
        <f t="shared" si="46"/>
        <v>490691.51811858395</v>
      </c>
      <c r="O995" t="str">
        <f t="shared" si="47"/>
        <v>BEHOLD</v>
      </c>
      <c r="P995" s="1" t="s">
        <v>6021</v>
      </c>
    </row>
    <row r="996" spans="1:16" ht="15" customHeight="1" x14ac:dyDescent="0.2">
      <c r="A996" s="1" t="s">
        <v>2863</v>
      </c>
      <c r="B996" s="1" t="s">
        <v>2864</v>
      </c>
      <c r="C996" s="1" t="s">
        <v>9</v>
      </c>
      <c r="D996" s="1" t="s">
        <v>3</v>
      </c>
      <c r="E996" s="5">
        <v>41387</v>
      </c>
      <c r="F996" s="5">
        <v>46155</v>
      </c>
      <c r="G996" s="2">
        <v>8.8673699999999993</v>
      </c>
      <c r="H996" s="1" t="s">
        <v>10</v>
      </c>
      <c r="I996" s="2">
        <v>199.05286308000001</v>
      </c>
      <c r="J996" s="1" t="s">
        <v>51</v>
      </c>
      <c r="K996" s="1" t="s">
        <v>2865</v>
      </c>
      <c r="L996" s="2">
        <v>119926.2</v>
      </c>
      <c r="M996">
        <f t="shared" si="45"/>
        <v>1063429.9880939999</v>
      </c>
      <c r="N996">
        <f t="shared" si="46"/>
        <v>94108.848503893794</v>
      </c>
      <c r="O996" t="str">
        <f t="shared" si="47"/>
        <v>FJERN</v>
      </c>
      <c r="P996" s="1" t="s">
        <v>6022</v>
      </c>
    </row>
    <row r="997" spans="1:16" ht="15" customHeight="1" x14ac:dyDescent="0.2">
      <c r="A997" s="1" t="s">
        <v>2866</v>
      </c>
      <c r="B997" s="1" t="s">
        <v>2867</v>
      </c>
      <c r="C997" s="1" t="s">
        <v>9</v>
      </c>
      <c r="D997" s="1" t="s">
        <v>3</v>
      </c>
      <c r="E997" s="5">
        <v>41372</v>
      </c>
      <c r="F997" s="5">
        <v>46155</v>
      </c>
      <c r="G997" s="2">
        <v>130.03870000000001</v>
      </c>
      <c r="H997" s="1" t="s">
        <v>10</v>
      </c>
      <c r="I997" s="2">
        <v>91826.488424689305</v>
      </c>
      <c r="J997" s="1" t="s">
        <v>61</v>
      </c>
      <c r="K997" s="1" t="s">
        <v>2868</v>
      </c>
      <c r="L997" s="2">
        <v>232260</v>
      </c>
      <c r="M997">
        <f t="shared" si="45"/>
        <v>30202788.462000001</v>
      </c>
      <c r="N997">
        <f t="shared" si="46"/>
        <v>2672813.1382300886</v>
      </c>
      <c r="O997" t="str">
        <f t="shared" si="47"/>
        <v>BEHOLD</v>
      </c>
      <c r="P997" s="1" t="s">
        <v>6023</v>
      </c>
    </row>
    <row r="998" spans="1:16" ht="15" customHeight="1" x14ac:dyDescent="0.2">
      <c r="A998" s="1" t="s">
        <v>2869</v>
      </c>
      <c r="B998" s="1" t="s">
        <v>2870</v>
      </c>
      <c r="C998" s="1" t="s">
        <v>2</v>
      </c>
      <c r="D998" s="1" t="s">
        <v>3</v>
      </c>
      <c r="E998" s="5">
        <v>36630</v>
      </c>
      <c r="F998" s="5">
        <v>45229</v>
      </c>
      <c r="G998" s="2">
        <v>365.39240000000001</v>
      </c>
      <c r="H998" s="1" t="s">
        <v>4</v>
      </c>
      <c r="I998" s="2"/>
      <c r="J998" s="1" t="s">
        <v>328</v>
      </c>
      <c r="K998" s="1" t="s">
        <v>2871</v>
      </c>
      <c r="L998" s="2">
        <v>84704.84</v>
      </c>
      <c r="M998">
        <f t="shared" si="45"/>
        <v>30950504.779215999</v>
      </c>
      <c r="N998">
        <f t="shared" si="46"/>
        <v>4154430.1717068455</v>
      </c>
      <c r="O998" t="str">
        <f t="shared" si="47"/>
        <v>BEHOLD</v>
      </c>
      <c r="P998" s="1" t="s">
        <v>6024</v>
      </c>
    </row>
    <row r="999" spans="1:16" ht="15" customHeight="1" x14ac:dyDescent="0.2">
      <c r="A999" s="1" t="s">
        <v>2872</v>
      </c>
      <c r="B999" s="1" t="s">
        <v>2873</v>
      </c>
      <c r="C999" s="1" t="s">
        <v>9</v>
      </c>
      <c r="D999" s="1" t="s">
        <v>3</v>
      </c>
      <c r="E999" s="5">
        <v>35937</v>
      </c>
      <c r="F999" s="5">
        <v>46155</v>
      </c>
      <c r="G999" s="2">
        <v>25.907689999999999</v>
      </c>
      <c r="H999" s="1" t="s">
        <v>10</v>
      </c>
      <c r="I999" s="2">
        <v>296.39250815999998</v>
      </c>
      <c r="J999" s="1" t="s">
        <v>236</v>
      </c>
      <c r="K999" s="1" t="s">
        <v>2874</v>
      </c>
      <c r="L999" s="2">
        <v>16177.63</v>
      </c>
      <c r="M999">
        <f t="shared" si="45"/>
        <v>419125.02297469997</v>
      </c>
      <c r="N999">
        <f t="shared" si="46"/>
        <v>37090.709997761056</v>
      </c>
      <c r="O999" t="str">
        <f t="shared" si="47"/>
        <v>FJERN</v>
      </c>
      <c r="P999" s="1" t="s">
        <v>6025</v>
      </c>
    </row>
    <row r="1000" spans="1:16" ht="15" customHeight="1" x14ac:dyDescent="0.2">
      <c r="A1000" s="1" t="s">
        <v>2875</v>
      </c>
      <c r="B1000" s="1" t="s">
        <v>2876</v>
      </c>
      <c r="C1000" s="1" t="s">
        <v>2</v>
      </c>
      <c r="D1000" s="1" t="s">
        <v>3</v>
      </c>
      <c r="E1000" s="5">
        <v>41453</v>
      </c>
      <c r="F1000" s="5">
        <v>46155</v>
      </c>
      <c r="G1000" s="2">
        <v>103.6362</v>
      </c>
      <c r="H1000" s="1" t="s">
        <v>4</v>
      </c>
      <c r="I1000" s="2">
        <v>5012.5703759999997</v>
      </c>
      <c r="J1000" s="1" t="s">
        <v>222</v>
      </c>
      <c r="K1000" s="1" t="s">
        <v>2877</v>
      </c>
      <c r="L1000" s="2">
        <v>117739.2</v>
      </c>
      <c r="M1000">
        <f t="shared" si="45"/>
        <v>12202043.279039999</v>
      </c>
      <c r="N1000">
        <f t="shared" si="46"/>
        <v>1637858.1582604025</v>
      </c>
      <c r="O1000" t="str">
        <f t="shared" si="47"/>
        <v>BEHOLD</v>
      </c>
      <c r="P1000" s="1" t="s">
        <v>6026</v>
      </c>
    </row>
    <row r="1001" spans="1:16" ht="15" customHeight="1" x14ac:dyDescent="0.2">
      <c r="A1001" s="1" t="s">
        <v>2878</v>
      </c>
      <c r="B1001" s="1" t="s">
        <v>2879</v>
      </c>
      <c r="C1001" s="1" t="s">
        <v>9</v>
      </c>
      <c r="D1001" s="1" t="s">
        <v>3</v>
      </c>
      <c r="E1001" s="5">
        <v>41444</v>
      </c>
      <c r="F1001" s="5">
        <v>46155</v>
      </c>
      <c r="G1001" s="2">
        <v>2.3347799999999999</v>
      </c>
      <c r="H1001" s="1" t="s">
        <v>10</v>
      </c>
      <c r="I1001" s="2">
        <v>75.238246380000007</v>
      </c>
      <c r="J1001" s="1" t="s">
        <v>38</v>
      </c>
      <c r="K1001" s="1" t="s">
        <v>2880</v>
      </c>
      <c r="L1001" s="2">
        <v>23029.58</v>
      </c>
      <c r="M1001">
        <f t="shared" si="45"/>
        <v>53769.002792400002</v>
      </c>
      <c r="N1001">
        <f t="shared" si="46"/>
        <v>4758.3188311858403</v>
      </c>
      <c r="O1001" t="str">
        <f t="shared" si="47"/>
        <v>FJERN</v>
      </c>
      <c r="P1001" s="1" t="s">
        <v>6027</v>
      </c>
    </row>
    <row r="1002" spans="1:16" ht="15" customHeight="1" x14ac:dyDescent="0.2">
      <c r="A1002" s="1" t="s">
        <v>2881</v>
      </c>
      <c r="B1002" s="1" t="s">
        <v>2882</v>
      </c>
      <c r="C1002" s="1" t="s">
        <v>9</v>
      </c>
      <c r="D1002" s="1" t="s">
        <v>3</v>
      </c>
      <c r="E1002" s="5">
        <v>40583</v>
      </c>
      <c r="F1002" s="5">
        <v>46155</v>
      </c>
      <c r="G1002" s="2">
        <v>18.189779999999999</v>
      </c>
      <c r="H1002" s="1" t="s">
        <v>10</v>
      </c>
      <c r="I1002" s="2">
        <v>122.36785335</v>
      </c>
      <c r="J1002" s="1" t="s">
        <v>51</v>
      </c>
      <c r="K1002" s="1" t="s">
        <v>2883</v>
      </c>
      <c r="L1002" s="2">
        <v>24339.7</v>
      </c>
      <c r="M1002">
        <f t="shared" si="45"/>
        <v>442733.78826599999</v>
      </c>
      <c r="N1002">
        <f t="shared" si="46"/>
        <v>39179.981262477871</v>
      </c>
      <c r="O1002" t="str">
        <f t="shared" si="47"/>
        <v>FJERN</v>
      </c>
      <c r="P1002" s="1" t="s">
        <v>6028</v>
      </c>
    </row>
    <row r="1003" spans="1:16" ht="15" customHeight="1" x14ac:dyDescent="0.2">
      <c r="A1003" s="1" t="s">
        <v>2884</v>
      </c>
      <c r="B1003" s="1" t="s">
        <v>2885</v>
      </c>
      <c r="C1003" s="1" t="s">
        <v>9</v>
      </c>
      <c r="D1003" s="1" t="s">
        <v>3</v>
      </c>
      <c r="E1003" s="5">
        <v>42116</v>
      </c>
      <c r="F1003" s="5">
        <v>46155</v>
      </c>
      <c r="G1003" s="2">
        <v>6.7796139999999996</v>
      </c>
      <c r="H1003" s="1" t="s">
        <v>10</v>
      </c>
      <c r="I1003" s="2">
        <v>845.46669925000003</v>
      </c>
      <c r="J1003" s="1" t="s">
        <v>23</v>
      </c>
      <c r="K1003" s="1" t="s">
        <v>2886</v>
      </c>
      <c r="L1003" s="2">
        <v>460377.3</v>
      </c>
      <c r="M1003">
        <f t="shared" si="45"/>
        <v>3121180.3883621995</v>
      </c>
      <c r="N1003">
        <f t="shared" si="46"/>
        <v>276210.65383736277</v>
      </c>
      <c r="O1003" t="str">
        <f t="shared" si="47"/>
        <v>BEHOLD</v>
      </c>
      <c r="P1003" s="1" t="s">
        <v>6029</v>
      </c>
    </row>
    <row r="1004" spans="1:16" ht="15" customHeight="1" x14ac:dyDescent="0.2">
      <c r="A1004" s="1" t="s">
        <v>2887</v>
      </c>
      <c r="B1004" s="1" t="s">
        <v>2888</v>
      </c>
      <c r="C1004" s="1" t="s">
        <v>9</v>
      </c>
      <c r="D1004" s="1" t="s">
        <v>3</v>
      </c>
      <c r="E1004" s="5">
        <v>41780</v>
      </c>
      <c r="F1004" s="5">
        <v>46155</v>
      </c>
      <c r="G1004" s="2">
        <v>8.2449519999999996</v>
      </c>
      <c r="H1004" s="1" t="s">
        <v>10</v>
      </c>
      <c r="I1004" s="2">
        <v>1077.1368471000001</v>
      </c>
      <c r="J1004" s="1" t="s">
        <v>236</v>
      </c>
      <c r="K1004" s="1" t="s">
        <v>2889</v>
      </c>
      <c r="L1004" s="2">
        <v>368866.9</v>
      </c>
      <c r="M1004">
        <f t="shared" si="45"/>
        <v>3041289.8848887999</v>
      </c>
      <c r="N1004">
        <f t="shared" si="46"/>
        <v>269140.69777776988</v>
      </c>
      <c r="O1004" t="str">
        <f t="shared" si="47"/>
        <v>BEHOLD</v>
      </c>
      <c r="P1004" s="1" t="s">
        <v>6030</v>
      </c>
    </row>
    <row r="1005" spans="1:16" ht="15" customHeight="1" x14ac:dyDescent="0.2">
      <c r="A1005" s="1" t="s">
        <v>2890</v>
      </c>
      <c r="B1005" s="1" t="s">
        <v>2891</v>
      </c>
      <c r="C1005" s="1" t="s">
        <v>9</v>
      </c>
      <c r="D1005" s="1" t="s">
        <v>3</v>
      </c>
      <c r="E1005" s="5">
        <v>38145</v>
      </c>
      <c r="F1005" s="5">
        <v>41726</v>
      </c>
      <c r="G1005" s="2">
        <v>62.348109999999998</v>
      </c>
      <c r="H1005" s="1" t="s">
        <v>10</v>
      </c>
      <c r="I1005" s="2"/>
      <c r="J1005" s="1" t="s">
        <v>86</v>
      </c>
      <c r="K1005" s="1" t="s">
        <v>2892</v>
      </c>
      <c r="L1005" s="2">
        <v>19517.53</v>
      </c>
      <c r="M1005">
        <f t="shared" si="45"/>
        <v>1216881.1073683</v>
      </c>
      <c r="N1005">
        <f t="shared" si="46"/>
        <v>107688.59357241592</v>
      </c>
      <c r="O1005" t="str">
        <f t="shared" si="47"/>
        <v>BEHOLD</v>
      </c>
      <c r="P1005" s="1" t="s">
        <v>6031</v>
      </c>
    </row>
    <row r="1006" spans="1:16" ht="15" customHeight="1" x14ac:dyDescent="0.2">
      <c r="A1006" s="1" t="s">
        <v>2893</v>
      </c>
      <c r="B1006" s="1" t="s">
        <v>2894</v>
      </c>
      <c r="C1006" s="1" t="s">
        <v>9</v>
      </c>
      <c r="D1006" s="1" t="s">
        <v>2895</v>
      </c>
      <c r="E1006" s="5">
        <v>42186</v>
      </c>
      <c r="F1006" s="5">
        <v>43299</v>
      </c>
      <c r="G1006" s="2">
        <v>32.814039999999999</v>
      </c>
      <c r="H1006" s="1" t="s">
        <v>10</v>
      </c>
      <c r="I1006" s="2"/>
      <c r="J1006" s="1" t="s">
        <v>64</v>
      </c>
      <c r="K1006" s="1" t="s">
        <v>2896</v>
      </c>
      <c r="L1006" s="2">
        <v>10613.83</v>
      </c>
      <c r="M1006">
        <f t="shared" si="45"/>
        <v>348282.64217319997</v>
      </c>
      <c r="N1006">
        <f t="shared" si="46"/>
        <v>30821.472758690263</v>
      </c>
      <c r="O1006" t="str">
        <f t="shared" si="47"/>
        <v>FJERN</v>
      </c>
      <c r="P1006" s="1"/>
    </row>
    <row r="1007" spans="1:16" ht="15" customHeight="1" x14ac:dyDescent="0.2">
      <c r="A1007" s="1" t="s">
        <v>2897</v>
      </c>
      <c r="B1007" s="1" t="s">
        <v>2898</v>
      </c>
      <c r="C1007" s="1" t="s">
        <v>9</v>
      </c>
      <c r="D1007" s="1" t="s">
        <v>3</v>
      </c>
      <c r="E1007" s="5">
        <v>43238</v>
      </c>
      <c r="F1007" s="5">
        <v>46155</v>
      </c>
      <c r="G1007" s="2">
        <v>37.737029999999997</v>
      </c>
      <c r="H1007" s="1" t="s">
        <v>10</v>
      </c>
      <c r="I1007" s="2">
        <v>4756.7765073999999</v>
      </c>
      <c r="J1007" s="1" t="s">
        <v>391</v>
      </c>
      <c r="K1007" s="1" t="s">
        <v>2899</v>
      </c>
      <c r="L1007" s="2">
        <v>174368.5</v>
      </c>
      <c r="M1007">
        <f t="shared" si="45"/>
        <v>6580149.3155549997</v>
      </c>
      <c r="N1007">
        <f t="shared" si="46"/>
        <v>582314.0987216814</v>
      </c>
      <c r="O1007" t="str">
        <f t="shared" si="47"/>
        <v>BEHOLD</v>
      </c>
      <c r="P1007" s="1" t="s">
        <v>6032</v>
      </c>
    </row>
    <row r="1008" spans="1:16" ht="15" customHeight="1" x14ac:dyDescent="0.2">
      <c r="A1008" s="1" t="s">
        <v>2900</v>
      </c>
      <c r="B1008" s="1" t="s">
        <v>2901</v>
      </c>
      <c r="C1008" s="1" t="s">
        <v>9</v>
      </c>
      <c r="D1008" s="1" t="s">
        <v>3</v>
      </c>
      <c r="E1008" s="5">
        <v>36809</v>
      </c>
      <c r="F1008" s="5">
        <v>46155</v>
      </c>
      <c r="G1008" s="2">
        <v>521.37810000000002</v>
      </c>
      <c r="H1008" s="1" t="s">
        <v>10</v>
      </c>
      <c r="I1008" s="2">
        <v>283.92277524000002</v>
      </c>
      <c r="J1008" s="1" t="s">
        <v>236</v>
      </c>
      <c r="K1008" s="1" t="s">
        <v>2902</v>
      </c>
      <c r="L1008" s="2">
        <v>471840.7</v>
      </c>
      <c r="M1008">
        <f t="shared" si="45"/>
        <v>246007407.66867003</v>
      </c>
      <c r="N1008">
        <f t="shared" si="46"/>
        <v>21770567.050324779</v>
      </c>
      <c r="O1008" t="str">
        <f t="shared" si="47"/>
        <v>BEHOLD</v>
      </c>
      <c r="P1008" s="1" t="s">
        <v>6033</v>
      </c>
    </row>
    <row r="1009" spans="1:16" ht="15" customHeight="1" x14ac:dyDescent="0.2">
      <c r="A1009" s="1" t="s">
        <v>2903</v>
      </c>
      <c r="B1009" s="1" t="s">
        <v>2904</v>
      </c>
      <c r="C1009" s="1" t="s">
        <v>9</v>
      </c>
      <c r="D1009" s="1" t="s">
        <v>3</v>
      </c>
      <c r="E1009" s="5">
        <v>42902</v>
      </c>
      <c r="F1009" s="5">
        <v>46155</v>
      </c>
      <c r="G1009" s="2">
        <v>16.793369999999999</v>
      </c>
      <c r="H1009" s="1" t="s">
        <v>10</v>
      </c>
      <c r="I1009" s="2">
        <v>38.488294585722102</v>
      </c>
      <c r="J1009" s="1" t="s">
        <v>236</v>
      </c>
      <c r="K1009" s="1" t="s">
        <v>2905</v>
      </c>
      <c r="L1009" s="2">
        <v>56257.15</v>
      </c>
      <c r="M1009">
        <f t="shared" si="45"/>
        <v>944747.13509550004</v>
      </c>
      <c r="N1009">
        <f t="shared" si="46"/>
        <v>83605.941158893809</v>
      </c>
      <c r="O1009" t="str">
        <f t="shared" si="47"/>
        <v>FJERN</v>
      </c>
      <c r="P1009" s="1" t="s">
        <v>6034</v>
      </c>
    </row>
    <row r="1010" spans="1:16" ht="15" customHeight="1" x14ac:dyDescent="0.2">
      <c r="A1010" s="1" t="s">
        <v>2906</v>
      </c>
      <c r="B1010" s="1" t="s">
        <v>2907</v>
      </c>
      <c r="C1010" s="1" t="s">
        <v>2</v>
      </c>
      <c r="D1010" s="1" t="s">
        <v>3</v>
      </c>
      <c r="E1010" s="5">
        <v>42641</v>
      </c>
      <c r="F1010" s="5">
        <v>43143</v>
      </c>
      <c r="G1010" s="2">
        <v>141.1078</v>
      </c>
      <c r="H1010" s="1" t="s">
        <v>4</v>
      </c>
      <c r="I1010" s="2"/>
      <c r="J1010" s="1" t="s">
        <v>328</v>
      </c>
      <c r="K1010" s="1" t="s">
        <v>2908</v>
      </c>
      <c r="L1010" s="2">
        <v>494837.6</v>
      </c>
      <c r="M1010">
        <f t="shared" si="45"/>
        <v>69825445.093280002</v>
      </c>
      <c r="N1010">
        <f t="shared" si="46"/>
        <v>9372542.9655409399</v>
      </c>
      <c r="O1010" t="str">
        <f t="shared" si="47"/>
        <v>BEHOLD</v>
      </c>
      <c r="P1010" s="1" t="s">
        <v>6035</v>
      </c>
    </row>
    <row r="1011" spans="1:16" ht="15" customHeight="1" x14ac:dyDescent="0.2">
      <c r="A1011" s="1" t="s">
        <v>2909</v>
      </c>
      <c r="B1011" s="1" t="s">
        <v>2910</v>
      </c>
      <c r="C1011" s="1" t="s">
        <v>2</v>
      </c>
      <c r="D1011" s="1" t="s">
        <v>3</v>
      </c>
      <c r="E1011" s="5">
        <v>32107</v>
      </c>
      <c r="F1011" s="5">
        <v>46155</v>
      </c>
      <c r="G1011" s="2">
        <v>527.46849999999995</v>
      </c>
      <c r="H1011" s="1" t="s">
        <v>4</v>
      </c>
      <c r="I1011" s="2">
        <v>3407.1293599999999</v>
      </c>
      <c r="J1011" s="1" t="s">
        <v>167</v>
      </c>
      <c r="K1011" s="1" t="s">
        <v>2911</v>
      </c>
      <c r="L1011" s="2">
        <v>716.4443</v>
      </c>
      <c r="M1011">
        <f t="shared" si="45"/>
        <v>377901.80025454995</v>
      </c>
      <c r="N1011">
        <f t="shared" si="46"/>
        <v>50725.073859671131</v>
      </c>
      <c r="O1011" t="str">
        <f t="shared" si="47"/>
        <v>FJERN</v>
      </c>
      <c r="P1011" s="1" t="s">
        <v>6036</v>
      </c>
    </row>
    <row r="1012" spans="1:16" ht="15" customHeight="1" x14ac:dyDescent="0.2">
      <c r="A1012" s="1" t="s">
        <v>2912</v>
      </c>
      <c r="B1012" s="1" t="s">
        <v>2913</v>
      </c>
      <c r="C1012" s="1" t="s">
        <v>9</v>
      </c>
      <c r="D1012" s="1" t="s">
        <v>3</v>
      </c>
      <c r="E1012" s="5">
        <v>43279</v>
      </c>
      <c r="F1012" s="5">
        <v>46153</v>
      </c>
      <c r="G1012" s="2">
        <v>5.1674949999999997</v>
      </c>
      <c r="H1012" s="1" t="s">
        <v>10</v>
      </c>
      <c r="I1012" s="2">
        <v>47.427718830000003</v>
      </c>
      <c r="J1012" s="1" t="s">
        <v>391</v>
      </c>
      <c r="K1012" s="1" t="s">
        <v>2914</v>
      </c>
      <c r="L1012" s="2">
        <v>7837.93</v>
      </c>
      <c r="M1012">
        <f t="shared" si="45"/>
        <v>40502.464085350002</v>
      </c>
      <c r="N1012">
        <f t="shared" si="46"/>
        <v>3584.2888571106196</v>
      </c>
      <c r="O1012" t="str">
        <f t="shared" si="47"/>
        <v>FJERN</v>
      </c>
      <c r="P1012" s="1" t="s">
        <v>6037</v>
      </c>
    </row>
    <row r="1013" spans="1:16" ht="15" customHeight="1" x14ac:dyDescent="0.2">
      <c r="A1013" s="1" t="s">
        <v>2915</v>
      </c>
      <c r="B1013" s="1" t="s">
        <v>2916</v>
      </c>
      <c r="C1013" s="1" t="s">
        <v>9</v>
      </c>
      <c r="D1013" s="1" t="s">
        <v>3</v>
      </c>
      <c r="E1013" s="5">
        <v>42486</v>
      </c>
      <c r="F1013" s="5">
        <v>46155</v>
      </c>
      <c r="G1013" s="2">
        <v>51.260170000000002</v>
      </c>
      <c r="H1013" s="1" t="s">
        <v>10</v>
      </c>
      <c r="I1013" s="2">
        <v>121.0930644</v>
      </c>
      <c r="J1013" s="1" t="s">
        <v>236</v>
      </c>
      <c r="K1013" s="1" t="s">
        <v>2917</v>
      </c>
      <c r="L1013" s="2">
        <v>12498.22</v>
      </c>
      <c r="M1013">
        <f t="shared" si="45"/>
        <v>640660.88189740002</v>
      </c>
      <c r="N1013">
        <f t="shared" si="46"/>
        <v>56695.653265256638</v>
      </c>
      <c r="O1013" t="str">
        <f t="shared" si="47"/>
        <v>FJERN</v>
      </c>
      <c r="P1013" s="1" t="s">
        <v>6038</v>
      </c>
    </row>
    <row r="1014" spans="1:16" ht="15" customHeight="1" x14ac:dyDescent="0.2">
      <c r="A1014" s="1" t="s">
        <v>2918</v>
      </c>
      <c r="B1014" s="1" t="s">
        <v>2919</v>
      </c>
      <c r="C1014" s="1" t="s">
        <v>9</v>
      </c>
      <c r="D1014" s="1" t="s">
        <v>3</v>
      </c>
      <c r="E1014" s="5">
        <v>42482</v>
      </c>
      <c r="F1014" s="5">
        <v>46155</v>
      </c>
      <c r="G1014" s="2">
        <v>1.9462200000000001</v>
      </c>
      <c r="H1014" s="1" t="s">
        <v>10</v>
      </c>
      <c r="I1014" s="2">
        <v>36.0420896344</v>
      </c>
      <c r="J1014" s="1" t="s">
        <v>51</v>
      </c>
      <c r="K1014" s="1" t="s">
        <v>2920</v>
      </c>
      <c r="L1014" s="2">
        <v>282616</v>
      </c>
      <c r="M1014">
        <f t="shared" si="45"/>
        <v>550032.91151999997</v>
      </c>
      <c r="N1014">
        <f t="shared" si="46"/>
        <v>48675.478895575216</v>
      </c>
      <c r="O1014" t="str">
        <f t="shared" si="47"/>
        <v>FJERN</v>
      </c>
      <c r="P1014" s="1" t="s">
        <v>6039</v>
      </c>
    </row>
    <row r="1015" spans="1:16" ht="15" customHeight="1" x14ac:dyDescent="0.2">
      <c r="A1015" s="1" t="s">
        <v>2921</v>
      </c>
      <c r="B1015" s="1" t="s">
        <v>2922</v>
      </c>
      <c r="C1015" s="1" t="s">
        <v>9</v>
      </c>
      <c r="D1015" s="1" t="s">
        <v>3</v>
      </c>
      <c r="E1015" s="5">
        <v>38880</v>
      </c>
      <c r="F1015" s="5">
        <v>46155</v>
      </c>
      <c r="G1015" s="2">
        <v>301.27960000000002</v>
      </c>
      <c r="H1015" s="1" t="s">
        <v>10</v>
      </c>
      <c r="I1015" s="2">
        <v>7.5813299159999996</v>
      </c>
      <c r="J1015" s="1" t="s">
        <v>167</v>
      </c>
      <c r="K1015" s="1" t="s">
        <v>2923</v>
      </c>
      <c r="L1015" s="2">
        <v>59585.81</v>
      </c>
      <c r="M1015">
        <f t="shared" si="45"/>
        <v>17951989.002475999</v>
      </c>
      <c r="N1015">
        <f t="shared" si="46"/>
        <v>1588671.5931394689</v>
      </c>
      <c r="O1015" t="str">
        <f t="shared" si="47"/>
        <v>BEHOLD</v>
      </c>
      <c r="P1015" s="1" t="s">
        <v>6040</v>
      </c>
    </row>
    <row r="1016" spans="1:16" ht="15" customHeight="1" x14ac:dyDescent="0.2">
      <c r="A1016" s="1" t="s">
        <v>2924</v>
      </c>
      <c r="B1016" s="1" t="s">
        <v>2925</v>
      </c>
      <c r="C1016" s="1" t="s">
        <v>9</v>
      </c>
      <c r="D1016" s="1" t="s">
        <v>3</v>
      </c>
      <c r="E1016" s="5">
        <v>42705</v>
      </c>
      <c r="F1016" s="5">
        <v>44946</v>
      </c>
      <c r="G1016" s="2">
        <v>6.4785719999999998</v>
      </c>
      <c r="H1016" s="1" t="s">
        <v>10</v>
      </c>
      <c r="I1016" s="2"/>
      <c r="J1016" s="1" t="s">
        <v>34</v>
      </c>
      <c r="K1016" s="1" t="s">
        <v>2926</v>
      </c>
      <c r="L1016" s="2">
        <v>21599.41</v>
      </c>
      <c r="M1016">
        <f t="shared" si="45"/>
        <v>139933.33284252</v>
      </c>
      <c r="N1016">
        <f t="shared" si="46"/>
        <v>12383.480782523893</v>
      </c>
      <c r="O1016" t="str">
        <f t="shared" si="47"/>
        <v>FJERN</v>
      </c>
      <c r="P1016" s="1" t="s">
        <v>6041</v>
      </c>
    </row>
    <row r="1017" spans="1:16" ht="15" customHeight="1" x14ac:dyDescent="0.2">
      <c r="A1017" s="1" t="s">
        <v>2927</v>
      </c>
      <c r="B1017" s="1" t="s">
        <v>2928</v>
      </c>
      <c r="C1017" s="1" t="s">
        <v>9</v>
      </c>
      <c r="D1017" s="1" t="s">
        <v>3</v>
      </c>
      <c r="E1017" s="5">
        <v>39547</v>
      </c>
      <c r="F1017" s="5">
        <v>43083</v>
      </c>
      <c r="G1017" s="2">
        <v>7.3169060000000004</v>
      </c>
      <c r="H1017" s="1" t="s">
        <v>10</v>
      </c>
      <c r="I1017" s="2"/>
      <c r="J1017" s="1" t="s">
        <v>23</v>
      </c>
      <c r="K1017" s="1" t="s">
        <v>2929</v>
      </c>
      <c r="L1017" s="2">
        <v>27984.53</v>
      </c>
      <c r="M1017">
        <f t="shared" si="45"/>
        <v>204760.17546418001</v>
      </c>
      <c r="N1017">
        <f t="shared" si="46"/>
        <v>18120.369510104425</v>
      </c>
      <c r="O1017" t="str">
        <f t="shared" si="47"/>
        <v>FJERN</v>
      </c>
      <c r="P1017" s="1"/>
    </row>
    <row r="1018" spans="1:16" ht="15" customHeight="1" x14ac:dyDescent="0.2">
      <c r="A1018" s="1" t="s">
        <v>2930</v>
      </c>
      <c r="B1018" s="1" t="s">
        <v>2931</v>
      </c>
      <c r="C1018" s="1" t="s">
        <v>9</v>
      </c>
      <c r="D1018" s="1" t="s">
        <v>3</v>
      </c>
      <c r="E1018" s="5">
        <v>42723</v>
      </c>
      <c r="F1018" s="5">
        <v>46155</v>
      </c>
      <c r="G1018" s="2">
        <v>1.901035</v>
      </c>
      <c r="H1018" s="1" t="s">
        <v>10</v>
      </c>
      <c r="I1018" s="2">
        <v>312.13888604800002</v>
      </c>
      <c r="J1018" s="1" t="s">
        <v>34</v>
      </c>
      <c r="K1018" s="1" t="s">
        <v>2932</v>
      </c>
      <c r="L1018" s="2">
        <v>1522204</v>
      </c>
      <c r="M1018">
        <f t="shared" si="45"/>
        <v>2893763.0811399999</v>
      </c>
      <c r="N1018">
        <f t="shared" si="46"/>
        <v>256085.228419469</v>
      </c>
      <c r="O1018" t="str">
        <f t="shared" si="47"/>
        <v>BEHOLD</v>
      </c>
      <c r="P1018" s="1" t="s">
        <v>6042</v>
      </c>
    </row>
    <row r="1019" spans="1:16" ht="15" customHeight="1" x14ac:dyDescent="0.2">
      <c r="A1019" s="1" t="s">
        <v>2933</v>
      </c>
      <c r="B1019" s="1" t="s">
        <v>2934</v>
      </c>
      <c r="C1019" s="1" t="s">
        <v>9</v>
      </c>
      <c r="D1019" s="1" t="s">
        <v>3</v>
      </c>
      <c r="E1019" s="5">
        <v>42542</v>
      </c>
      <c r="F1019" s="5">
        <v>45233</v>
      </c>
      <c r="G1019" s="2">
        <v>1.7939929999999999</v>
      </c>
      <c r="H1019" s="1" t="s">
        <v>10</v>
      </c>
      <c r="I1019" s="2"/>
      <c r="J1019" s="1" t="s">
        <v>23</v>
      </c>
      <c r="K1019" s="1" t="s">
        <v>2935</v>
      </c>
      <c r="L1019" s="2">
        <v>714051.8</v>
      </c>
      <c r="M1019">
        <f t="shared" si="45"/>
        <v>1281003.9308374</v>
      </c>
      <c r="N1019">
        <f t="shared" si="46"/>
        <v>113363.1797201239</v>
      </c>
      <c r="O1019" t="str">
        <f t="shared" si="47"/>
        <v>BEHOLD</v>
      </c>
      <c r="P1019" s="1" t="s">
        <v>6043</v>
      </c>
    </row>
    <row r="1020" spans="1:16" ht="15" customHeight="1" x14ac:dyDescent="0.2">
      <c r="A1020" s="1" t="s">
        <v>2936</v>
      </c>
      <c r="B1020" s="1" t="s">
        <v>2937</v>
      </c>
      <c r="C1020" s="1" t="s">
        <v>9</v>
      </c>
      <c r="D1020" s="1" t="s">
        <v>3</v>
      </c>
      <c r="E1020" s="5">
        <v>43186</v>
      </c>
      <c r="F1020" s="5">
        <v>46155</v>
      </c>
      <c r="G1020" s="2">
        <v>51.601399999999998</v>
      </c>
      <c r="H1020" s="1" t="s">
        <v>10</v>
      </c>
      <c r="I1020" s="2">
        <v>5735.4740160000001</v>
      </c>
      <c r="J1020" s="1" t="s">
        <v>184</v>
      </c>
      <c r="K1020" s="1" t="s">
        <v>2938</v>
      </c>
      <c r="L1020" s="2">
        <v>592383.19999999995</v>
      </c>
      <c r="M1020">
        <f t="shared" si="45"/>
        <v>30567802.456479996</v>
      </c>
      <c r="N1020">
        <f t="shared" si="46"/>
        <v>2705115.2616353976</v>
      </c>
      <c r="O1020" t="str">
        <f t="shared" si="47"/>
        <v>BEHOLD</v>
      </c>
      <c r="P1020" s="1" t="s">
        <v>6044</v>
      </c>
    </row>
    <row r="1021" spans="1:16" ht="15" customHeight="1" x14ac:dyDescent="0.2">
      <c r="A1021" s="1" t="s">
        <v>2939</v>
      </c>
      <c r="B1021" s="1" t="s">
        <v>2940</v>
      </c>
      <c r="C1021" s="1" t="s">
        <v>9</v>
      </c>
      <c r="D1021" s="1" t="s">
        <v>3</v>
      </c>
      <c r="E1021" s="5">
        <v>39148</v>
      </c>
      <c r="F1021" s="5">
        <v>46155</v>
      </c>
      <c r="G1021" s="2">
        <v>29.39284</v>
      </c>
      <c r="H1021" s="1" t="s">
        <v>10</v>
      </c>
      <c r="I1021" s="2">
        <v>357.71347500000002</v>
      </c>
      <c r="J1021" s="1" t="s">
        <v>289</v>
      </c>
      <c r="K1021" s="1" t="s">
        <v>2941</v>
      </c>
      <c r="L1021" s="2">
        <v>15029.29</v>
      </c>
      <c r="M1021">
        <f t="shared" si="45"/>
        <v>441753.51628360001</v>
      </c>
      <c r="N1021">
        <f t="shared" si="46"/>
        <v>39093.23152952212</v>
      </c>
      <c r="O1021" t="str">
        <f t="shared" si="47"/>
        <v>FJERN</v>
      </c>
      <c r="P1021" s="1" t="s">
        <v>6045</v>
      </c>
    </row>
    <row r="1022" spans="1:16" ht="15" customHeight="1" x14ac:dyDescent="0.2">
      <c r="A1022" s="1" t="s">
        <v>2942</v>
      </c>
      <c r="B1022" s="1" t="s">
        <v>2943</v>
      </c>
      <c r="C1022" s="1" t="s">
        <v>9</v>
      </c>
      <c r="D1022" s="1" t="s">
        <v>3</v>
      </c>
      <c r="E1022" s="5">
        <v>42521</v>
      </c>
      <c r="F1022" s="5">
        <v>46155</v>
      </c>
      <c r="G1022" s="2">
        <v>162.1977</v>
      </c>
      <c r="H1022" s="1" t="s">
        <v>10</v>
      </c>
      <c r="I1022" s="2">
        <v>17174.304921230301</v>
      </c>
      <c r="J1022" s="1" t="s">
        <v>236</v>
      </c>
      <c r="K1022" s="1" t="s">
        <v>2944</v>
      </c>
      <c r="L1022" s="2">
        <v>115910.1</v>
      </c>
      <c r="M1022">
        <f t="shared" si="45"/>
        <v>18800351.626770001</v>
      </c>
      <c r="N1022">
        <f t="shared" si="46"/>
        <v>1663747.9315725663</v>
      </c>
      <c r="O1022" t="str">
        <f t="shared" si="47"/>
        <v>BEHOLD</v>
      </c>
      <c r="P1022" s="1" t="s">
        <v>6046</v>
      </c>
    </row>
    <row r="1023" spans="1:16" ht="15" customHeight="1" x14ac:dyDescent="0.2">
      <c r="A1023" s="1" t="s">
        <v>2945</v>
      </c>
      <c r="B1023" s="1" t="s">
        <v>2946</v>
      </c>
      <c r="C1023" s="1" t="s">
        <v>9</v>
      </c>
      <c r="D1023" s="1" t="s">
        <v>3</v>
      </c>
      <c r="E1023" s="5">
        <v>42528</v>
      </c>
      <c r="F1023" s="5">
        <v>45631</v>
      </c>
      <c r="G1023" s="2">
        <v>3.3413149999999998</v>
      </c>
      <c r="H1023" s="1" t="s">
        <v>10</v>
      </c>
      <c r="I1023" s="2">
        <v>21.6789740144002</v>
      </c>
      <c r="J1023" s="1" t="s">
        <v>366</v>
      </c>
      <c r="K1023" s="1" t="s">
        <v>2947</v>
      </c>
      <c r="L1023" s="2">
        <v>400189.2</v>
      </c>
      <c r="M1023">
        <f t="shared" si="45"/>
        <v>1337158.176798</v>
      </c>
      <c r="N1023">
        <f t="shared" si="46"/>
        <v>118332.58201752212</v>
      </c>
      <c r="O1023" t="str">
        <f t="shared" si="47"/>
        <v>BEHOLD</v>
      </c>
      <c r="P1023" s="1" t="s">
        <v>6047</v>
      </c>
    </row>
    <row r="1024" spans="1:16" ht="15" customHeight="1" x14ac:dyDescent="0.2">
      <c r="A1024" s="1" t="s">
        <v>2948</v>
      </c>
      <c r="B1024" s="1" t="s">
        <v>2949</v>
      </c>
      <c r="C1024" s="1" t="s">
        <v>9</v>
      </c>
      <c r="D1024" s="1" t="s">
        <v>3</v>
      </c>
      <c r="E1024" s="5">
        <v>42692</v>
      </c>
      <c r="F1024" s="5">
        <v>46155</v>
      </c>
      <c r="G1024" s="2">
        <v>25.986730000000001</v>
      </c>
      <c r="H1024" s="1" t="s">
        <v>10</v>
      </c>
      <c r="I1024" s="2">
        <v>545.06021999999996</v>
      </c>
      <c r="J1024" s="1" t="s">
        <v>115</v>
      </c>
      <c r="K1024" s="1" t="s">
        <v>2950</v>
      </c>
      <c r="L1024" s="2">
        <v>66181.45</v>
      </c>
      <c r="M1024">
        <f t="shared" si="45"/>
        <v>1719839.4721585</v>
      </c>
      <c r="N1024">
        <f t="shared" si="46"/>
        <v>152198.18337685839</v>
      </c>
      <c r="O1024" t="str">
        <f t="shared" si="47"/>
        <v>BEHOLD</v>
      </c>
      <c r="P1024" s="1" t="s">
        <v>6048</v>
      </c>
    </row>
    <row r="1025" spans="1:16" ht="15" customHeight="1" x14ac:dyDescent="0.2">
      <c r="A1025" s="1" t="s">
        <v>2951</v>
      </c>
      <c r="B1025" s="1" t="s">
        <v>2952</v>
      </c>
      <c r="C1025" s="1" t="s">
        <v>9</v>
      </c>
      <c r="D1025" s="1" t="s">
        <v>3</v>
      </c>
      <c r="E1025" s="5">
        <v>42907</v>
      </c>
      <c r="F1025" s="5">
        <v>46155</v>
      </c>
      <c r="G1025" s="2">
        <v>6.7360720000000001</v>
      </c>
      <c r="H1025" s="1" t="s">
        <v>10</v>
      </c>
      <c r="I1025" s="2">
        <v>432.72753749999998</v>
      </c>
      <c r="J1025" s="1" t="s">
        <v>61</v>
      </c>
      <c r="K1025" s="1" t="s">
        <v>2953</v>
      </c>
      <c r="L1025" s="2">
        <v>25035.16</v>
      </c>
      <c r="M1025">
        <f t="shared" si="45"/>
        <v>168638.64029151999</v>
      </c>
      <c r="N1025">
        <f t="shared" si="46"/>
        <v>14923.773477125662</v>
      </c>
      <c r="O1025" t="str">
        <f t="shared" si="47"/>
        <v>FJERN</v>
      </c>
      <c r="P1025" s="1"/>
    </row>
    <row r="1026" spans="1:16" ht="15" customHeight="1" x14ac:dyDescent="0.2">
      <c r="A1026" s="1" t="s">
        <v>2954</v>
      </c>
      <c r="B1026" s="1" t="s">
        <v>2955</v>
      </c>
      <c r="C1026" s="1" t="s">
        <v>9</v>
      </c>
      <c r="D1026" s="1" t="s">
        <v>3</v>
      </c>
      <c r="E1026" s="5">
        <v>42671</v>
      </c>
      <c r="F1026" s="5">
        <v>43644</v>
      </c>
      <c r="G1026" s="2">
        <v>29.126280000000001</v>
      </c>
      <c r="H1026" s="1" t="s">
        <v>10</v>
      </c>
      <c r="I1026" s="2"/>
      <c r="J1026" s="1" t="s">
        <v>61</v>
      </c>
      <c r="K1026" s="1" t="s">
        <v>2956</v>
      </c>
      <c r="L1026" s="2">
        <v>30819.05</v>
      </c>
      <c r="M1026">
        <f t="shared" si="45"/>
        <v>897644.27963400004</v>
      </c>
      <c r="N1026">
        <f t="shared" si="46"/>
        <v>79437.546870265491</v>
      </c>
      <c r="O1026" t="str">
        <f t="shared" si="47"/>
        <v>FJERN</v>
      </c>
      <c r="P1026" s="1" t="s">
        <v>6049</v>
      </c>
    </row>
    <row r="1027" spans="1:16" ht="15" customHeight="1" x14ac:dyDescent="0.2">
      <c r="A1027" s="1" t="s">
        <v>2957</v>
      </c>
      <c r="B1027" s="1" t="s">
        <v>2958</v>
      </c>
      <c r="C1027" s="1" t="s">
        <v>9</v>
      </c>
      <c r="D1027" s="1" t="s">
        <v>3</v>
      </c>
      <c r="E1027" s="5">
        <v>43367</v>
      </c>
      <c r="F1027" s="5">
        <v>45566</v>
      </c>
      <c r="G1027" s="2">
        <v>9.0945339999999995</v>
      </c>
      <c r="H1027" s="1" t="s">
        <v>10</v>
      </c>
      <c r="I1027" s="2">
        <v>19.924439920000001</v>
      </c>
      <c r="J1027" s="1" t="s">
        <v>366</v>
      </c>
      <c r="K1027" s="1" t="s">
        <v>2959</v>
      </c>
      <c r="L1027" s="2">
        <v>87369.95</v>
      </c>
      <c r="M1027">
        <f t="shared" ref="M1027:M1090" si="48">IF(OR(G1027="",L1027=""),"",G1027*L1027)</f>
        <v>794588.98085329996</v>
      </c>
      <c r="N1027">
        <f t="shared" ref="N1027:N1090" si="49">IF(M1027="","",IF(H1027="DKK",M1027/7.45,IF(H1027="SEK",M1027/11.3,M1027)))</f>
        <v>70317.608925070788</v>
      </c>
      <c r="O1027" t="str">
        <f t="shared" ref="O1027:O1090" si="50">IF(AND(E1027&lt;=DATE(2024,12,31),F1027&gt;=DATE(2010,1,1),D1027="SHARE",N1027&gt;=100000),"BEHOLD","FJERN")</f>
        <v>FJERN</v>
      </c>
      <c r="P1027" s="1" t="s">
        <v>6050</v>
      </c>
    </row>
    <row r="1028" spans="1:16" ht="15" customHeight="1" x14ac:dyDescent="0.2">
      <c r="A1028" s="1" t="s">
        <v>2960</v>
      </c>
      <c r="B1028" s="1" t="s">
        <v>2961</v>
      </c>
      <c r="C1028" s="1" t="s">
        <v>9</v>
      </c>
      <c r="D1028" s="1" t="s">
        <v>3</v>
      </c>
      <c r="E1028" s="5">
        <v>41514</v>
      </c>
      <c r="F1028" s="5">
        <v>46155</v>
      </c>
      <c r="G1028" s="2">
        <v>1.7445759999999999</v>
      </c>
      <c r="H1028" s="1" t="s">
        <v>10</v>
      </c>
      <c r="I1028" s="2">
        <v>144.70753774299999</v>
      </c>
      <c r="J1028" s="1" t="s">
        <v>38</v>
      </c>
      <c r="K1028" s="1" t="s">
        <v>2962</v>
      </c>
      <c r="L1028" s="2">
        <v>339253.4</v>
      </c>
      <c r="M1028">
        <f t="shared" si="48"/>
        <v>591853.33955839998</v>
      </c>
      <c r="N1028">
        <f t="shared" si="49"/>
        <v>52376.401730831851</v>
      </c>
      <c r="O1028" t="str">
        <f t="shared" si="50"/>
        <v>FJERN</v>
      </c>
      <c r="P1028" s="1" t="s">
        <v>6051</v>
      </c>
    </row>
    <row r="1029" spans="1:16" ht="15" customHeight="1" x14ac:dyDescent="0.2">
      <c r="A1029" s="1" t="s">
        <v>2963</v>
      </c>
      <c r="B1029" s="1" t="s">
        <v>2964</v>
      </c>
      <c r="C1029" s="1" t="s">
        <v>9</v>
      </c>
      <c r="D1029" s="1" t="s">
        <v>3</v>
      </c>
      <c r="E1029" s="5">
        <v>42671</v>
      </c>
      <c r="F1029" s="5">
        <v>43530</v>
      </c>
      <c r="G1029" s="2">
        <v>53.479059999999997</v>
      </c>
      <c r="H1029" s="1" t="s">
        <v>10</v>
      </c>
      <c r="I1029" s="2"/>
      <c r="J1029" s="1" t="s">
        <v>11</v>
      </c>
      <c r="K1029" s="1" t="s">
        <v>2965</v>
      </c>
      <c r="L1029" s="2">
        <v>1314110</v>
      </c>
      <c r="M1029">
        <f t="shared" si="48"/>
        <v>70277367.536599994</v>
      </c>
      <c r="N1029">
        <f t="shared" si="49"/>
        <v>6219236.0651858393</v>
      </c>
      <c r="O1029" t="str">
        <f t="shared" si="50"/>
        <v>BEHOLD</v>
      </c>
      <c r="P1029" s="1" t="s">
        <v>6052</v>
      </c>
    </row>
    <row r="1030" spans="1:16" ht="15" customHeight="1" x14ac:dyDescent="0.2">
      <c r="A1030" s="1" t="s">
        <v>2966</v>
      </c>
      <c r="B1030" s="1" t="s">
        <v>2967</v>
      </c>
      <c r="C1030" s="1" t="s">
        <v>9</v>
      </c>
      <c r="D1030" s="1" t="s">
        <v>3</v>
      </c>
      <c r="E1030" s="5">
        <v>42355</v>
      </c>
      <c r="F1030" s="5">
        <v>43672</v>
      </c>
      <c r="G1030" s="2">
        <v>15.48944</v>
      </c>
      <c r="H1030" s="1" t="s">
        <v>10</v>
      </c>
      <c r="I1030" s="2"/>
      <c r="J1030" s="1" t="s">
        <v>366</v>
      </c>
      <c r="K1030" s="1" t="s">
        <v>2968</v>
      </c>
      <c r="L1030" s="2">
        <v>58757.87</v>
      </c>
      <c r="M1030">
        <f t="shared" si="48"/>
        <v>910126.50189280009</v>
      </c>
      <c r="N1030">
        <f t="shared" si="49"/>
        <v>80542.168309097353</v>
      </c>
      <c r="O1030" t="str">
        <f t="shared" si="50"/>
        <v>FJERN</v>
      </c>
      <c r="P1030" s="1" t="s">
        <v>6053</v>
      </c>
    </row>
    <row r="1031" spans="1:16" ht="15" customHeight="1" x14ac:dyDescent="0.2">
      <c r="A1031" s="1" t="s">
        <v>2969</v>
      </c>
      <c r="B1031" s="1" t="s">
        <v>2970</v>
      </c>
      <c r="C1031" s="1" t="s">
        <v>9</v>
      </c>
      <c r="D1031" s="1" t="s">
        <v>3</v>
      </c>
      <c r="E1031" s="5">
        <v>42550</v>
      </c>
      <c r="F1031" s="5">
        <v>44481</v>
      </c>
      <c r="G1031" s="2">
        <v>32.021430000000002</v>
      </c>
      <c r="H1031" s="1" t="s">
        <v>10</v>
      </c>
      <c r="I1031" s="2"/>
      <c r="J1031" s="1" t="s">
        <v>61</v>
      </c>
      <c r="K1031" s="1" t="s">
        <v>2971</v>
      </c>
      <c r="L1031" s="2">
        <v>17358.23</v>
      </c>
      <c r="M1031">
        <f t="shared" si="48"/>
        <v>555835.3468689</v>
      </c>
      <c r="N1031">
        <f t="shared" si="49"/>
        <v>49188.968749460175</v>
      </c>
      <c r="O1031" t="str">
        <f t="shared" si="50"/>
        <v>FJERN</v>
      </c>
      <c r="P1031" s="1" t="s">
        <v>6054</v>
      </c>
    </row>
    <row r="1032" spans="1:16" ht="15" customHeight="1" x14ac:dyDescent="0.2">
      <c r="A1032" s="1" t="s">
        <v>2972</v>
      </c>
      <c r="B1032" s="1" t="s">
        <v>2973</v>
      </c>
      <c r="C1032" s="1" t="s">
        <v>9</v>
      </c>
      <c r="D1032" s="1" t="s">
        <v>3</v>
      </c>
      <c r="E1032" s="5">
        <v>42489</v>
      </c>
      <c r="F1032" s="5">
        <v>45957</v>
      </c>
      <c r="G1032" s="2">
        <v>37.066049999999997</v>
      </c>
      <c r="H1032" s="1" t="s">
        <v>10</v>
      </c>
      <c r="I1032" s="2">
        <v>7070</v>
      </c>
      <c r="J1032" s="1" t="s">
        <v>328</v>
      </c>
      <c r="K1032" s="1" t="s">
        <v>2974</v>
      </c>
      <c r="L1032" s="2">
        <v>523969.6</v>
      </c>
      <c r="M1032">
        <f t="shared" si="48"/>
        <v>19421483.392079998</v>
      </c>
      <c r="N1032">
        <f t="shared" si="49"/>
        <v>1718715.344431858</v>
      </c>
      <c r="O1032" t="str">
        <f t="shared" si="50"/>
        <v>BEHOLD</v>
      </c>
      <c r="P1032" s="1" t="s">
        <v>6055</v>
      </c>
    </row>
    <row r="1033" spans="1:16" ht="15" customHeight="1" x14ac:dyDescent="0.2">
      <c r="A1033" s="1" t="s">
        <v>2975</v>
      </c>
      <c r="B1033" s="1" t="s">
        <v>2976</v>
      </c>
      <c r="C1033" s="1" t="s">
        <v>9</v>
      </c>
      <c r="D1033" s="1" t="s">
        <v>3</v>
      </c>
      <c r="E1033" s="5">
        <v>42642</v>
      </c>
      <c r="F1033" s="5">
        <v>44169</v>
      </c>
      <c r="G1033" s="2">
        <v>68.670389999999998</v>
      </c>
      <c r="H1033" s="1" t="s">
        <v>10</v>
      </c>
      <c r="I1033" s="2"/>
      <c r="J1033" s="1" t="s">
        <v>2390</v>
      </c>
      <c r="K1033" s="1" t="s">
        <v>2977</v>
      </c>
      <c r="L1033" s="2">
        <v>42822.21</v>
      </c>
      <c r="M1033">
        <f t="shared" si="48"/>
        <v>2940617.8613618999</v>
      </c>
      <c r="N1033">
        <f t="shared" si="49"/>
        <v>260231.66914707076</v>
      </c>
      <c r="O1033" t="str">
        <f t="shared" si="50"/>
        <v>BEHOLD</v>
      </c>
      <c r="P1033" s="1" t="s">
        <v>6056</v>
      </c>
    </row>
    <row r="1034" spans="1:16" ht="15" customHeight="1" x14ac:dyDescent="0.2">
      <c r="A1034" s="1" t="s">
        <v>2978</v>
      </c>
      <c r="B1034" s="1" t="s">
        <v>2979</v>
      </c>
      <c r="C1034" s="1" t="s">
        <v>9</v>
      </c>
      <c r="D1034" s="1" t="s">
        <v>3</v>
      </c>
      <c r="E1034" s="5">
        <v>41955</v>
      </c>
      <c r="F1034" s="5">
        <v>46155</v>
      </c>
      <c r="G1034" s="2">
        <v>12.366289999999999</v>
      </c>
      <c r="H1034" s="1" t="s">
        <v>10</v>
      </c>
      <c r="I1034" s="2">
        <v>10950.96030767</v>
      </c>
      <c r="J1034" s="1" t="s">
        <v>61</v>
      </c>
      <c r="K1034" s="1" t="s">
        <v>2980</v>
      </c>
      <c r="L1034" s="2">
        <v>10382040</v>
      </c>
      <c r="M1034">
        <f t="shared" si="48"/>
        <v>128387317.43159999</v>
      </c>
      <c r="N1034">
        <f t="shared" si="49"/>
        <v>11361709.507221237</v>
      </c>
      <c r="O1034" t="str">
        <f t="shared" si="50"/>
        <v>BEHOLD</v>
      </c>
      <c r="P1034" s="1" t="s">
        <v>6057</v>
      </c>
    </row>
    <row r="1035" spans="1:16" ht="15" customHeight="1" x14ac:dyDescent="0.2">
      <c r="A1035" s="1" t="s">
        <v>2981</v>
      </c>
      <c r="B1035" s="1" t="s">
        <v>2982</v>
      </c>
      <c r="C1035" s="1" t="s">
        <v>9</v>
      </c>
      <c r="D1035" s="1" t="s">
        <v>3</v>
      </c>
      <c r="E1035" s="5">
        <v>42580</v>
      </c>
      <c r="F1035" s="5">
        <v>46155</v>
      </c>
      <c r="G1035" s="2">
        <v>11.402279999999999</v>
      </c>
      <c r="H1035" s="1" t="s">
        <v>10</v>
      </c>
      <c r="I1035" s="2">
        <v>1266.9577463000001</v>
      </c>
      <c r="J1035" s="1" t="s">
        <v>201</v>
      </c>
      <c r="K1035" s="1" t="s">
        <v>2983</v>
      </c>
      <c r="L1035" s="2">
        <v>556129.4</v>
      </c>
      <c r="M1035">
        <f t="shared" si="48"/>
        <v>6341143.135032</v>
      </c>
      <c r="N1035">
        <f t="shared" si="49"/>
        <v>561163.10929486726</v>
      </c>
      <c r="O1035" t="str">
        <f t="shared" si="50"/>
        <v>BEHOLD</v>
      </c>
      <c r="P1035" s="1" t="s">
        <v>6058</v>
      </c>
    </row>
    <row r="1036" spans="1:16" ht="15" customHeight="1" x14ac:dyDescent="0.2">
      <c r="A1036" s="1" t="s">
        <v>2984</v>
      </c>
      <c r="B1036" s="1" t="s">
        <v>2985</v>
      </c>
      <c r="C1036" s="1" t="s">
        <v>9</v>
      </c>
      <c r="D1036" s="1" t="s">
        <v>3</v>
      </c>
      <c r="E1036" s="5">
        <v>42548</v>
      </c>
      <c r="F1036" s="5">
        <v>44550</v>
      </c>
      <c r="G1036" s="2">
        <v>6.3432639999999996</v>
      </c>
      <c r="H1036" s="1" t="s">
        <v>10</v>
      </c>
      <c r="I1036" s="2"/>
      <c r="J1036" s="1" t="s">
        <v>366</v>
      </c>
      <c r="K1036" s="1" t="s">
        <v>2986</v>
      </c>
      <c r="L1036" s="2">
        <v>1937772</v>
      </c>
      <c r="M1036">
        <f t="shared" si="48"/>
        <v>12291799.367807999</v>
      </c>
      <c r="N1036">
        <f t="shared" si="49"/>
        <v>1087769.8555582298</v>
      </c>
      <c r="O1036" t="str">
        <f t="shared" si="50"/>
        <v>BEHOLD</v>
      </c>
      <c r="P1036" s="1" t="s">
        <v>6059</v>
      </c>
    </row>
    <row r="1037" spans="1:16" ht="15" customHeight="1" x14ac:dyDescent="0.2">
      <c r="A1037" s="1" t="s">
        <v>2987</v>
      </c>
      <c r="B1037" s="1" t="s">
        <v>2988</v>
      </c>
      <c r="C1037" s="1" t="s">
        <v>9</v>
      </c>
      <c r="D1037" s="1" t="s">
        <v>3</v>
      </c>
      <c r="E1037" s="5">
        <v>35570</v>
      </c>
      <c r="F1037" s="5">
        <v>46155</v>
      </c>
      <c r="G1037" s="2">
        <v>44.191090000000003</v>
      </c>
      <c r="H1037" s="1" t="s">
        <v>10</v>
      </c>
      <c r="I1037" s="2">
        <v>7326.6114693</v>
      </c>
      <c r="J1037" s="1" t="s">
        <v>23</v>
      </c>
      <c r="K1037" s="1" t="s">
        <v>2989</v>
      </c>
      <c r="L1037" s="2">
        <v>88682.68</v>
      </c>
      <c r="M1037">
        <f t="shared" si="48"/>
        <v>3918984.2933211997</v>
      </c>
      <c r="N1037">
        <f t="shared" si="49"/>
        <v>346812.76932046015</v>
      </c>
      <c r="O1037" t="str">
        <f t="shared" si="50"/>
        <v>BEHOLD</v>
      </c>
      <c r="P1037" s="1" t="s">
        <v>6060</v>
      </c>
    </row>
    <row r="1038" spans="1:16" ht="15" customHeight="1" x14ac:dyDescent="0.2">
      <c r="A1038" s="1" t="s">
        <v>2990</v>
      </c>
      <c r="B1038" s="1" t="s">
        <v>2991</v>
      </c>
      <c r="C1038" s="1" t="s">
        <v>9</v>
      </c>
      <c r="D1038" s="1" t="s">
        <v>3</v>
      </c>
      <c r="E1038" s="5">
        <v>43006</v>
      </c>
      <c r="F1038" s="5">
        <v>46155</v>
      </c>
      <c r="G1038" s="2">
        <v>62.538930000000001</v>
      </c>
      <c r="H1038" s="1" t="s">
        <v>10</v>
      </c>
      <c r="I1038" s="2">
        <v>1312.796593</v>
      </c>
      <c r="J1038" s="1" t="s">
        <v>366</v>
      </c>
      <c r="K1038" s="1" t="s">
        <v>2992</v>
      </c>
      <c r="L1038" s="2">
        <v>40245.33</v>
      </c>
      <c r="M1038">
        <f t="shared" si="48"/>
        <v>2516899.8756969003</v>
      </c>
      <c r="N1038">
        <f t="shared" si="49"/>
        <v>222734.50227406196</v>
      </c>
      <c r="O1038" t="str">
        <f t="shared" si="50"/>
        <v>BEHOLD</v>
      </c>
      <c r="P1038" s="1" t="s">
        <v>6061</v>
      </c>
    </row>
    <row r="1039" spans="1:16" ht="15" customHeight="1" x14ac:dyDescent="0.2">
      <c r="A1039" s="1" t="s">
        <v>2993</v>
      </c>
      <c r="B1039" s="1" t="s">
        <v>2994</v>
      </c>
      <c r="C1039" s="1" t="s">
        <v>9</v>
      </c>
      <c r="D1039" s="1" t="s">
        <v>3</v>
      </c>
      <c r="E1039" s="5">
        <v>42823</v>
      </c>
      <c r="F1039" s="5">
        <v>46155</v>
      </c>
      <c r="G1039" s="2">
        <v>13.054690000000001</v>
      </c>
      <c r="H1039" s="1" t="s">
        <v>10</v>
      </c>
      <c r="I1039" s="2">
        <v>68.450468799999697</v>
      </c>
      <c r="J1039" s="1" t="s">
        <v>34</v>
      </c>
      <c r="K1039" s="1" t="s">
        <v>2995</v>
      </c>
      <c r="L1039" s="2">
        <v>122478.6</v>
      </c>
      <c r="M1039">
        <f t="shared" si="48"/>
        <v>1598920.1546340003</v>
      </c>
      <c r="N1039">
        <f t="shared" si="49"/>
        <v>141497.35881716816</v>
      </c>
      <c r="O1039" t="str">
        <f t="shared" si="50"/>
        <v>BEHOLD</v>
      </c>
      <c r="P1039" s="1" t="s">
        <v>6062</v>
      </c>
    </row>
    <row r="1040" spans="1:16" ht="15" customHeight="1" x14ac:dyDescent="0.2">
      <c r="A1040" s="1" t="s">
        <v>2996</v>
      </c>
      <c r="B1040" s="1" t="s">
        <v>2997</v>
      </c>
      <c r="C1040" s="1" t="s">
        <v>9</v>
      </c>
      <c r="D1040" s="1" t="s">
        <v>3</v>
      </c>
      <c r="E1040" s="5">
        <v>42867</v>
      </c>
      <c r="F1040" s="5">
        <v>46155</v>
      </c>
      <c r="G1040" s="2">
        <v>192.4333</v>
      </c>
      <c r="H1040" s="1" t="s">
        <v>10</v>
      </c>
      <c r="I1040" s="2">
        <v>7283.0545146000004</v>
      </c>
      <c r="J1040" s="1" t="s">
        <v>23</v>
      </c>
      <c r="K1040" s="1" t="s">
        <v>2998</v>
      </c>
      <c r="L1040" s="2">
        <v>66100.05</v>
      </c>
      <c r="M1040">
        <f t="shared" si="48"/>
        <v>12719850.751665</v>
      </c>
      <c r="N1040">
        <f t="shared" si="49"/>
        <v>1125650.5089969025</v>
      </c>
      <c r="O1040" t="str">
        <f t="shared" si="50"/>
        <v>BEHOLD</v>
      </c>
      <c r="P1040" s="1" t="s">
        <v>6063</v>
      </c>
    </row>
    <row r="1041" spans="1:16" ht="15" customHeight="1" x14ac:dyDescent="0.2">
      <c r="A1041" s="1" t="s">
        <v>2999</v>
      </c>
      <c r="B1041" s="1" t="s">
        <v>3000</v>
      </c>
      <c r="C1041" s="1" t="s">
        <v>9</v>
      </c>
      <c r="D1041" s="1" t="s">
        <v>3</v>
      </c>
      <c r="E1041" s="5">
        <v>42901</v>
      </c>
      <c r="F1041" s="5">
        <v>46155</v>
      </c>
      <c r="G1041" s="2">
        <v>0.51468130000000001</v>
      </c>
      <c r="H1041" s="1" t="s">
        <v>10</v>
      </c>
      <c r="I1041" s="2">
        <v>10.5956561371002</v>
      </c>
      <c r="J1041" s="1" t="s">
        <v>30</v>
      </c>
      <c r="K1041" s="1" t="s">
        <v>3001</v>
      </c>
      <c r="L1041" s="2">
        <v>16778910</v>
      </c>
      <c r="M1041">
        <f t="shared" si="48"/>
        <v>8635791.211383</v>
      </c>
      <c r="N1041">
        <f t="shared" si="49"/>
        <v>764229.31074185832</v>
      </c>
      <c r="O1041" t="str">
        <f t="shared" si="50"/>
        <v>BEHOLD</v>
      </c>
      <c r="P1041" s="1" t="s">
        <v>6064</v>
      </c>
    </row>
    <row r="1042" spans="1:16" ht="15" customHeight="1" x14ac:dyDescent="0.2">
      <c r="A1042" s="1" t="s">
        <v>3002</v>
      </c>
      <c r="B1042" s="1" t="s">
        <v>3003</v>
      </c>
      <c r="C1042" s="1" t="s">
        <v>9</v>
      </c>
      <c r="D1042" s="1" t="s">
        <v>3</v>
      </c>
      <c r="E1042" s="5">
        <v>36339</v>
      </c>
      <c r="F1042" s="5">
        <v>46155</v>
      </c>
      <c r="G1042" s="2">
        <v>181.07220000000001</v>
      </c>
      <c r="H1042" s="1" t="s">
        <v>10</v>
      </c>
      <c r="I1042" s="2">
        <v>12320.003291532899</v>
      </c>
      <c r="J1042" s="1" t="s">
        <v>236</v>
      </c>
      <c r="K1042" s="1" t="s">
        <v>3004</v>
      </c>
      <c r="L1042" s="2">
        <v>31061.98</v>
      </c>
      <c r="M1042">
        <f t="shared" si="48"/>
        <v>5624461.0549560003</v>
      </c>
      <c r="N1042">
        <f t="shared" si="49"/>
        <v>497739.91636778758</v>
      </c>
      <c r="O1042" t="str">
        <f t="shared" si="50"/>
        <v>BEHOLD</v>
      </c>
      <c r="P1042" s="1" t="s">
        <v>6065</v>
      </c>
    </row>
    <row r="1043" spans="1:16" ht="15" customHeight="1" x14ac:dyDescent="0.2">
      <c r="A1043" s="1" t="s">
        <v>3005</v>
      </c>
      <c r="B1043" s="1" t="s">
        <v>3006</v>
      </c>
      <c r="C1043" s="1" t="s">
        <v>9</v>
      </c>
      <c r="D1043" s="1" t="s">
        <v>3</v>
      </c>
      <c r="E1043" s="5">
        <v>42516</v>
      </c>
      <c r="F1043" s="5">
        <v>46155</v>
      </c>
      <c r="G1043" s="2">
        <v>2.8970030000000002</v>
      </c>
      <c r="H1043" s="1" t="s">
        <v>10</v>
      </c>
      <c r="I1043" s="2">
        <v>20.114843835999999</v>
      </c>
      <c r="J1043" s="1" t="s">
        <v>548</v>
      </c>
      <c r="K1043" s="1" t="s">
        <v>3007</v>
      </c>
      <c r="L1043" s="2">
        <v>298162.8</v>
      </c>
      <c r="M1043">
        <f t="shared" si="48"/>
        <v>863778.52608840005</v>
      </c>
      <c r="N1043">
        <f t="shared" si="49"/>
        <v>76440.577529946895</v>
      </c>
      <c r="O1043" t="str">
        <f t="shared" si="50"/>
        <v>FJERN</v>
      </c>
      <c r="P1043" s="1"/>
    </row>
    <row r="1044" spans="1:16" ht="15" customHeight="1" x14ac:dyDescent="0.2">
      <c r="A1044" s="1" t="s">
        <v>3008</v>
      </c>
      <c r="B1044" s="1" t="s">
        <v>3009</v>
      </c>
      <c r="C1044" s="1" t="s">
        <v>9</v>
      </c>
      <c r="D1044" s="1" t="s">
        <v>3</v>
      </c>
      <c r="E1044" s="5">
        <v>42562</v>
      </c>
      <c r="F1044" s="5">
        <v>46155</v>
      </c>
      <c r="G1044" s="2">
        <v>30.68646</v>
      </c>
      <c r="H1044" s="1" t="s">
        <v>10</v>
      </c>
      <c r="I1044" s="2">
        <v>1205.2634918000001</v>
      </c>
      <c r="J1044" s="1" t="s">
        <v>366</v>
      </c>
      <c r="K1044" s="1" t="s">
        <v>3010</v>
      </c>
      <c r="L1044" s="2">
        <v>119438.1</v>
      </c>
      <c r="M1044">
        <f t="shared" si="48"/>
        <v>3665132.4781260001</v>
      </c>
      <c r="N1044">
        <f t="shared" si="49"/>
        <v>324348.00691380532</v>
      </c>
      <c r="O1044" t="str">
        <f t="shared" si="50"/>
        <v>BEHOLD</v>
      </c>
      <c r="P1044" s="1" t="s">
        <v>6066</v>
      </c>
    </row>
    <row r="1045" spans="1:16" ht="15" customHeight="1" x14ac:dyDescent="0.2">
      <c r="A1045" s="1" t="s">
        <v>3011</v>
      </c>
      <c r="B1045" s="1" t="s">
        <v>3012</v>
      </c>
      <c r="C1045" s="1" t="s">
        <v>2</v>
      </c>
      <c r="D1045" s="1" t="s">
        <v>3</v>
      </c>
      <c r="E1045" s="5">
        <v>33837</v>
      </c>
      <c r="F1045" s="5">
        <v>46155</v>
      </c>
      <c r="G1045" s="2">
        <v>80.534049999999993</v>
      </c>
      <c r="H1045" s="1" t="s">
        <v>4</v>
      </c>
      <c r="I1045" s="2">
        <v>24683.030410399999</v>
      </c>
      <c r="J1045" s="1" t="s">
        <v>34</v>
      </c>
      <c r="K1045" s="1" t="s">
        <v>3013</v>
      </c>
      <c r="L1045" s="2">
        <v>546727.69999999995</v>
      </c>
      <c r="M1045">
        <f t="shared" si="48"/>
        <v>44030195.928184994</v>
      </c>
      <c r="N1045">
        <f t="shared" si="49"/>
        <v>5910093.4131791936</v>
      </c>
      <c r="O1045" t="str">
        <f t="shared" si="50"/>
        <v>BEHOLD</v>
      </c>
      <c r="P1045" s="1" t="s">
        <v>6067</v>
      </c>
    </row>
    <row r="1046" spans="1:16" ht="15" customHeight="1" x14ac:dyDescent="0.2">
      <c r="A1046" s="1" t="s">
        <v>3014</v>
      </c>
      <c r="B1046" s="1" t="s">
        <v>3015</v>
      </c>
      <c r="C1046" s="1" t="s">
        <v>9</v>
      </c>
      <c r="D1046" s="1" t="s">
        <v>3</v>
      </c>
      <c r="E1046" s="5">
        <v>43417</v>
      </c>
      <c r="F1046" s="5">
        <v>45849</v>
      </c>
      <c r="G1046" s="2">
        <v>5.5145600000000004</v>
      </c>
      <c r="H1046" s="1" t="s">
        <v>10</v>
      </c>
      <c r="I1046" s="2">
        <v>17.489774661999999</v>
      </c>
      <c r="J1046" s="1" t="s">
        <v>366</v>
      </c>
      <c r="K1046" s="1" t="s">
        <v>3016</v>
      </c>
      <c r="L1046" s="2">
        <v>814165.1</v>
      </c>
      <c r="M1046">
        <f t="shared" si="48"/>
        <v>4489762.2938560005</v>
      </c>
      <c r="N1046">
        <f t="shared" si="49"/>
        <v>397324.09680141596</v>
      </c>
      <c r="O1046" t="str">
        <f t="shared" si="50"/>
        <v>BEHOLD</v>
      </c>
      <c r="P1046" s="1" t="s">
        <v>6068</v>
      </c>
    </row>
    <row r="1047" spans="1:16" ht="15" customHeight="1" x14ac:dyDescent="0.2">
      <c r="A1047" s="1" t="s">
        <v>3017</v>
      </c>
      <c r="B1047" s="1" t="s">
        <v>3018</v>
      </c>
      <c r="C1047" s="1" t="s">
        <v>9</v>
      </c>
      <c r="D1047" s="1" t="s">
        <v>3</v>
      </c>
      <c r="E1047" s="5">
        <v>42331</v>
      </c>
      <c r="F1047" s="5">
        <v>43861</v>
      </c>
      <c r="G1047" s="2">
        <v>4.2703470000000001</v>
      </c>
      <c r="H1047" s="1" t="s">
        <v>10</v>
      </c>
      <c r="I1047" s="2"/>
      <c r="J1047" s="1" t="s">
        <v>289</v>
      </c>
      <c r="K1047" s="1" t="s">
        <v>3019</v>
      </c>
      <c r="L1047" s="2">
        <v>9946.5969999999998</v>
      </c>
      <c r="M1047">
        <f t="shared" si="48"/>
        <v>42475.420659158997</v>
      </c>
      <c r="N1047">
        <f t="shared" si="49"/>
        <v>3758.8867839963714</v>
      </c>
      <c r="O1047" t="str">
        <f t="shared" si="50"/>
        <v>FJERN</v>
      </c>
      <c r="P1047" s="1" t="s">
        <v>6069</v>
      </c>
    </row>
    <row r="1048" spans="1:16" ht="15" customHeight="1" x14ac:dyDescent="0.2">
      <c r="A1048" s="1" t="s">
        <v>3020</v>
      </c>
      <c r="B1048" s="1" t="s">
        <v>3021</v>
      </c>
      <c r="C1048" s="1" t="s">
        <v>9</v>
      </c>
      <c r="D1048" s="1" t="s">
        <v>3</v>
      </c>
      <c r="E1048" s="5">
        <v>42534</v>
      </c>
      <c r="F1048" s="5">
        <v>46155</v>
      </c>
      <c r="G1048" s="2">
        <v>77.072999999999993</v>
      </c>
      <c r="H1048" s="1" t="s">
        <v>10</v>
      </c>
      <c r="I1048" s="2">
        <v>385.42271040000003</v>
      </c>
      <c r="J1048" s="1" t="s">
        <v>236</v>
      </c>
      <c r="K1048" s="1" t="s">
        <v>3022</v>
      </c>
      <c r="L1048" s="2">
        <v>15561.43</v>
      </c>
      <c r="M1048">
        <f t="shared" si="48"/>
        <v>1199366.09439</v>
      </c>
      <c r="N1048">
        <f t="shared" si="49"/>
        <v>106138.5924238938</v>
      </c>
      <c r="O1048" t="str">
        <f t="shared" si="50"/>
        <v>BEHOLD</v>
      </c>
      <c r="P1048" s="1" t="s">
        <v>6070</v>
      </c>
    </row>
    <row r="1049" spans="1:16" ht="15" customHeight="1" x14ac:dyDescent="0.2">
      <c r="A1049" s="1" t="s">
        <v>3023</v>
      </c>
      <c r="B1049" s="1" t="s">
        <v>3024</v>
      </c>
      <c r="C1049" s="1" t="s">
        <v>2</v>
      </c>
      <c r="D1049" s="1" t="s">
        <v>3</v>
      </c>
      <c r="E1049" s="5">
        <v>36049</v>
      </c>
      <c r="F1049" s="5">
        <v>46155</v>
      </c>
      <c r="G1049" s="2">
        <v>195.7406</v>
      </c>
      <c r="H1049" s="1" t="s">
        <v>4</v>
      </c>
      <c r="I1049" s="2">
        <v>75.414416000000003</v>
      </c>
      <c r="J1049" s="1" t="s">
        <v>167</v>
      </c>
      <c r="K1049" s="1" t="s">
        <v>3025</v>
      </c>
      <c r="L1049" s="2">
        <v>573.36720000000003</v>
      </c>
      <c r="M1049">
        <f t="shared" si="48"/>
        <v>112231.23974832</v>
      </c>
      <c r="N1049">
        <f t="shared" si="49"/>
        <v>15064.595939371813</v>
      </c>
      <c r="O1049" t="str">
        <f t="shared" si="50"/>
        <v>FJERN</v>
      </c>
      <c r="P1049" s="1" t="s">
        <v>6071</v>
      </c>
    </row>
    <row r="1050" spans="1:16" ht="15" customHeight="1" x14ac:dyDescent="0.2">
      <c r="A1050" s="1" t="s">
        <v>3026</v>
      </c>
      <c r="B1050" s="1" t="s">
        <v>3027</v>
      </c>
      <c r="C1050" s="1" t="s">
        <v>9</v>
      </c>
      <c r="D1050" s="1" t="s">
        <v>3</v>
      </c>
      <c r="E1050" s="5">
        <v>42767</v>
      </c>
      <c r="F1050" s="5">
        <v>43125</v>
      </c>
      <c r="G1050" s="2">
        <v>5.0008119999999998</v>
      </c>
      <c r="H1050" s="1" t="s">
        <v>10</v>
      </c>
      <c r="I1050" s="2"/>
      <c r="J1050" s="1" t="s">
        <v>30</v>
      </c>
      <c r="K1050" s="1" t="s">
        <v>3028</v>
      </c>
      <c r="L1050" s="2">
        <v>10005.91</v>
      </c>
      <c r="M1050">
        <f t="shared" si="48"/>
        <v>50037.674798919994</v>
      </c>
      <c r="N1050">
        <f t="shared" si="49"/>
        <v>4428.1128140637156</v>
      </c>
      <c r="O1050" t="str">
        <f t="shared" si="50"/>
        <v>FJERN</v>
      </c>
      <c r="P1050" s="1"/>
    </row>
    <row r="1051" spans="1:16" ht="15" customHeight="1" x14ac:dyDescent="0.2">
      <c r="A1051" s="1" t="s">
        <v>3029</v>
      </c>
      <c r="B1051" s="1" t="s">
        <v>3030</v>
      </c>
      <c r="C1051" s="1" t="s">
        <v>9</v>
      </c>
      <c r="D1051" s="1" t="s">
        <v>3</v>
      </c>
      <c r="E1051" s="5">
        <v>42831</v>
      </c>
      <c r="F1051" s="5">
        <v>44203</v>
      </c>
      <c r="G1051" s="2">
        <v>17.15785</v>
      </c>
      <c r="H1051" s="1" t="s">
        <v>10</v>
      </c>
      <c r="I1051" s="2"/>
      <c r="J1051" s="1" t="s">
        <v>61</v>
      </c>
      <c r="K1051" s="1" t="s">
        <v>3031</v>
      </c>
      <c r="L1051" s="2">
        <v>24813.25</v>
      </c>
      <c r="M1051">
        <f t="shared" si="48"/>
        <v>425742.02151250001</v>
      </c>
      <c r="N1051">
        <f t="shared" si="49"/>
        <v>37676.28508960177</v>
      </c>
      <c r="O1051" t="str">
        <f t="shared" si="50"/>
        <v>FJERN</v>
      </c>
      <c r="P1051" s="1" t="s">
        <v>6072</v>
      </c>
    </row>
    <row r="1052" spans="1:16" ht="15" customHeight="1" x14ac:dyDescent="0.2">
      <c r="A1052" s="1" t="s">
        <v>3032</v>
      </c>
      <c r="B1052" s="1" t="s">
        <v>3033</v>
      </c>
      <c r="C1052" s="1" t="s">
        <v>9</v>
      </c>
      <c r="D1052" s="1" t="s">
        <v>3</v>
      </c>
      <c r="E1052" s="5">
        <v>42832</v>
      </c>
      <c r="F1052" s="5">
        <v>46155</v>
      </c>
      <c r="G1052" s="2">
        <v>18.9633</v>
      </c>
      <c r="H1052" s="1" t="s">
        <v>10</v>
      </c>
      <c r="I1052" s="2">
        <v>812.37884699999995</v>
      </c>
      <c r="J1052" s="1" t="s">
        <v>167</v>
      </c>
      <c r="K1052" s="1" t="s">
        <v>3034</v>
      </c>
      <c r="L1052" s="2">
        <v>38459.24</v>
      </c>
      <c r="M1052">
        <f t="shared" si="48"/>
        <v>729314.10589200002</v>
      </c>
      <c r="N1052">
        <f t="shared" si="49"/>
        <v>64541.071317876107</v>
      </c>
      <c r="O1052" t="str">
        <f t="shared" si="50"/>
        <v>FJERN</v>
      </c>
      <c r="P1052" s="1" t="s">
        <v>6073</v>
      </c>
    </row>
    <row r="1053" spans="1:16" ht="15" customHeight="1" x14ac:dyDescent="0.2">
      <c r="A1053" s="1" t="s">
        <v>3035</v>
      </c>
      <c r="B1053" s="1" t="s">
        <v>3036</v>
      </c>
      <c r="C1053" s="1" t="s">
        <v>9</v>
      </c>
      <c r="D1053" s="1" t="s">
        <v>3</v>
      </c>
      <c r="E1053" s="5">
        <v>42710</v>
      </c>
      <c r="F1053" s="5">
        <v>46155</v>
      </c>
      <c r="G1053" s="2">
        <v>12.43737</v>
      </c>
      <c r="H1053" s="1" t="s">
        <v>10</v>
      </c>
      <c r="I1053" s="2">
        <v>127.77896955999999</v>
      </c>
      <c r="J1053" s="1" t="s">
        <v>64</v>
      </c>
      <c r="K1053" s="1" t="s">
        <v>3037</v>
      </c>
      <c r="L1053" s="2">
        <v>31788.9</v>
      </c>
      <c r="M1053">
        <f t="shared" si="48"/>
        <v>395370.311193</v>
      </c>
      <c r="N1053">
        <f t="shared" si="49"/>
        <v>34988.523114424774</v>
      </c>
      <c r="O1053" t="str">
        <f t="shared" si="50"/>
        <v>FJERN</v>
      </c>
      <c r="P1053" s="1" t="s">
        <v>6074</v>
      </c>
    </row>
    <row r="1054" spans="1:16" ht="15" customHeight="1" x14ac:dyDescent="0.2">
      <c r="A1054" s="1" t="s">
        <v>3038</v>
      </c>
      <c r="B1054" s="1" t="s">
        <v>3039</v>
      </c>
      <c r="C1054" s="1" t="s">
        <v>9</v>
      </c>
      <c r="D1054" s="1" t="s">
        <v>255</v>
      </c>
      <c r="E1054" s="5">
        <v>39449</v>
      </c>
      <c r="F1054" s="5">
        <v>43082</v>
      </c>
      <c r="G1054" s="2">
        <v>10.28877</v>
      </c>
      <c r="H1054" s="1" t="s">
        <v>10</v>
      </c>
      <c r="I1054" s="2"/>
      <c r="J1054" s="1" t="s">
        <v>5</v>
      </c>
      <c r="K1054" s="1" t="s">
        <v>3040</v>
      </c>
      <c r="L1054" s="2">
        <v>494450.8</v>
      </c>
      <c r="M1054">
        <f t="shared" si="48"/>
        <v>5087290.5575159993</v>
      </c>
      <c r="N1054">
        <f t="shared" si="49"/>
        <v>450202.70420495566</v>
      </c>
      <c r="O1054" t="str">
        <f t="shared" si="50"/>
        <v>FJERN</v>
      </c>
      <c r="P1054" s="1" t="s">
        <v>6075</v>
      </c>
    </row>
    <row r="1055" spans="1:16" ht="15" customHeight="1" x14ac:dyDescent="0.2">
      <c r="A1055" s="1" t="s">
        <v>3041</v>
      </c>
      <c r="B1055" s="1" t="s">
        <v>3042</v>
      </c>
      <c r="C1055" s="1" t="s">
        <v>9</v>
      </c>
      <c r="D1055" s="1" t="s">
        <v>3</v>
      </c>
      <c r="E1055" s="5">
        <v>42711</v>
      </c>
      <c r="F1055" s="5">
        <v>46155</v>
      </c>
      <c r="G1055" s="2">
        <v>77.885930000000002</v>
      </c>
      <c r="H1055" s="1" t="s">
        <v>10</v>
      </c>
      <c r="I1055" s="2">
        <v>2967.3069300000002</v>
      </c>
      <c r="J1055" s="1" t="s">
        <v>23</v>
      </c>
      <c r="K1055" s="1" t="s">
        <v>3043</v>
      </c>
      <c r="L1055" s="2">
        <v>118100.3</v>
      </c>
      <c r="M1055">
        <f t="shared" si="48"/>
        <v>9198351.698779</v>
      </c>
      <c r="N1055">
        <f t="shared" si="49"/>
        <v>814013.4246707079</v>
      </c>
      <c r="O1055" t="str">
        <f t="shared" si="50"/>
        <v>BEHOLD</v>
      </c>
      <c r="P1055" s="1" t="s">
        <v>6076</v>
      </c>
    </row>
    <row r="1056" spans="1:16" ht="15" customHeight="1" x14ac:dyDescent="0.2">
      <c r="A1056" s="1" t="s">
        <v>3044</v>
      </c>
      <c r="B1056" s="1" t="s">
        <v>3045</v>
      </c>
      <c r="C1056" s="1" t="s">
        <v>9</v>
      </c>
      <c r="D1056" s="1" t="s">
        <v>3</v>
      </c>
      <c r="E1056" s="5">
        <v>42713</v>
      </c>
      <c r="F1056" s="5">
        <v>44203</v>
      </c>
      <c r="G1056" s="2">
        <v>16.978470000000002</v>
      </c>
      <c r="H1056" s="1" t="s">
        <v>10</v>
      </c>
      <c r="I1056" s="2"/>
      <c r="J1056" s="1" t="s">
        <v>256</v>
      </c>
      <c r="K1056" s="1" t="s">
        <v>3046</v>
      </c>
      <c r="L1056" s="2">
        <v>77096.63</v>
      </c>
      <c r="M1056">
        <f t="shared" si="48"/>
        <v>1308982.8195561003</v>
      </c>
      <c r="N1056">
        <f t="shared" si="49"/>
        <v>115839.1875713363</v>
      </c>
      <c r="O1056" t="str">
        <f t="shared" si="50"/>
        <v>BEHOLD</v>
      </c>
      <c r="P1056" s="1" t="s">
        <v>6077</v>
      </c>
    </row>
    <row r="1057" spans="1:16" ht="15" customHeight="1" x14ac:dyDescent="0.2">
      <c r="A1057" s="1" t="s">
        <v>3047</v>
      </c>
      <c r="B1057" s="1" t="s">
        <v>3048</v>
      </c>
      <c r="C1057" s="1" t="s">
        <v>9</v>
      </c>
      <c r="D1057" s="1" t="s">
        <v>3</v>
      </c>
      <c r="E1057" s="5">
        <v>40161</v>
      </c>
      <c r="F1057" s="5">
        <v>46155</v>
      </c>
      <c r="G1057" s="2">
        <v>9.4246320000000008</v>
      </c>
      <c r="H1057" s="1" t="s">
        <v>10</v>
      </c>
      <c r="I1057" s="2">
        <v>450.89551519999998</v>
      </c>
      <c r="J1057" s="1" t="s">
        <v>86</v>
      </c>
      <c r="K1057" s="1" t="s">
        <v>3049</v>
      </c>
      <c r="L1057" s="2">
        <v>28178.87</v>
      </c>
      <c r="M1057">
        <f t="shared" si="48"/>
        <v>265575.47992583999</v>
      </c>
      <c r="N1057">
        <f t="shared" si="49"/>
        <v>23502.254860693803</v>
      </c>
      <c r="O1057" t="str">
        <f t="shared" si="50"/>
        <v>FJERN</v>
      </c>
      <c r="P1057" s="1" t="s">
        <v>6078</v>
      </c>
    </row>
    <row r="1058" spans="1:16" ht="15" customHeight="1" x14ac:dyDescent="0.2">
      <c r="A1058" s="1" t="s">
        <v>3050</v>
      </c>
      <c r="B1058" s="1" t="s">
        <v>3051</v>
      </c>
      <c r="C1058" s="1" t="s">
        <v>9</v>
      </c>
      <c r="D1058" s="1" t="s">
        <v>3</v>
      </c>
      <c r="E1058" s="5">
        <v>43280</v>
      </c>
      <c r="F1058" s="5">
        <v>45575</v>
      </c>
      <c r="G1058" s="2">
        <v>97.508099999999999</v>
      </c>
      <c r="H1058" s="1" t="s">
        <v>10</v>
      </c>
      <c r="I1058" s="2">
        <v>6821.7199699000003</v>
      </c>
      <c r="J1058" s="1" t="s">
        <v>366</v>
      </c>
      <c r="K1058" s="1" t="s">
        <v>3052</v>
      </c>
      <c r="L1058" s="2">
        <v>218223.5</v>
      </c>
      <c r="M1058">
        <f t="shared" si="48"/>
        <v>21278558.860350002</v>
      </c>
      <c r="N1058">
        <f t="shared" si="49"/>
        <v>1883058.3062256637</v>
      </c>
      <c r="O1058" t="str">
        <f t="shared" si="50"/>
        <v>BEHOLD</v>
      </c>
      <c r="P1058" s="1" t="s">
        <v>6079</v>
      </c>
    </row>
    <row r="1059" spans="1:16" ht="15" customHeight="1" x14ac:dyDescent="0.2">
      <c r="A1059" s="1" t="s">
        <v>3053</v>
      </c>
      <c r="B1059" s="1" t="s">
        <v>3054</v>
      </c>
      <c r="C1059" s="1" t="s">
        <v>9</v>
      </c>
      <c r="D1059" s="1" t="s">
        <v>3</v>
      </c>
      <c r="E1059" s="5">
        <v>38373</v>
      </c>
      <c r="F1059" s="5">
        <v>46155</v>
      </c>
      <c r="G1059" s="2">
        <v>41.773449999999997</v>
      </c>
      <c r="H1059" s="1" t="s">
        <v>10</v>
      </c>
      <c r="I1059" s="2">
        <v>321.3492675</v>
      </c>
      <c r="J1059" s="1" t="s">
        <v>19</v>
      </c>
      <c r="K1059" s="1" t="s">
        <v>3055</v>
      </c>
      <c r="L1059" s="2">
        <v>21113.16</v>
      </c>
      <c r="M1059">
        <f t="shared" si="48"/>
        <v>881969.53360199998</v>
      </c>
      <c r="N1059">
        <f t="shared" si="49"/>
        <v>78050.401203716814</v>
      </c>
      <c r="O1059" t="str">
        <f t="shared" si="50"/>
        <v>FJERN</v>
      </c>
      <c r="P1059" s="1" t="s">
        <v>6080</v>
      </c>
    </row>
    <row r="1060" spans="1:16" ht="15" customHeight="1" x14ac:dyDescent="0.2">
      <c r="A1060" s="1" t="s">
        <v>3056</v>
      </c>
      <c r="B1060" s="1" t="s">
        <v>3057</v>
      </c>
      <c r="C1060" s="1" t="s">
        <v>9</v>
      </c>
      <c r="D1060" s="1" t="s">
        <v>3</v>
      </c>
      <c r="E1060" s="5">
        <v>43021</v>
      </c>
      <c r="F1060" s="5">
        <v>46155</v>
      </c>
      <c r="G1060" s="2">
        <v>17.92088</v>
      </c>
      <c r="H1060" s="1" t="s">
        <v>10</v>
      </c>
      <c r="I1060" s="2">
        <v>19.978902720000001</v>
      </c>
      <c r="J1060" s="1" t="s">
        <v>236</v>
      </c>
      <c r="K1060" s="1" t="s">
        <v>3058</v>
      </c>
      <c r="L1060" s="2">
        <v>26486.95</v>
      </c>
      <c r="M1060">
        <f t="shared" si="48"/>
        <v>474669.45251600002</v>
      </c>
      <c r="N1060">
        <f t="shared" si="49"/>
        <v>42006.146240353984</v>
      </c>
      <c r="O1060" t="str">
        <f t="shared" si="50"/>
        <v>FJERN</v>
      </c>
      <c r="P1060" s="1"/>
    </row>
    <row r="1061" spans="1:16" ht="15" customHeight="1" x14ac:dyDescent="0.2">
      <c r="A1061" s="1" t="s">
        <v>3059</v>
      </c>
      <c r="B1061" s="1" t="s">
        <v>3060</v>
      </c>
      <c r="C1061" s="1" t="s">
        <v>9</v>
      </c>
      <c r="D1061" s="1" t="s">
        <v>3</v>
      </c>
      <c r="E1061" s="5">
        <v>42536</v>
      </c>
      <c r="F1061" s="5">
        <v>46155</v>
      </c>
      <c r="G1061" s="2">
        <v>61.16386</v>
      </c>
      <c r="H1061" s="1" t="s">
        <v>10</v>
      </c>
      <c r="I1061" s="2">
        <v>8247.6770257000007</v>
      </c>
      <c r="J1061" s="1" t="s">
        <v>2390</v>
      </c>
      <c r="K1061" s="1" t="s">
        <v>3061</v>
      </c>
      <c r="L1061" s="2">
        <v>197405.9</v>
      </c>
      <c r="M1061">
        <f t="shared" si="48"/>
        <v>12074106.830774</v>
      </c>
      <c r="N1061">
        <f t="shared" si="49"/>
        <v>1068505.0292720352</v>
      </c>
      <c r="O1061" t="str">
        <f t="shared" si="50"/>
        <v>BEHOLD</v>
      </c>
      <c r="P1061" s="1" t="s">
        <v>6081</v>
      </c>
    </row>
    <row r="1062" spans="1:16" ht="15" customHeight="1" x14ac:dyDescent="0.2">
      <c r="A1062" s="1" t="s">
        <v>3062</v>
      </c>
      <c r="B1062" s="1" t="s">
        <v>3063</v>
      </c>
      <c r="C1062" s="1" t="s">
        <v>9</v>
      </c>
      <c r="D1062" s="1" t="s">
        <v>3</v>
      </c>
      <c r="E1062" s="5">
        <v>31049</v>
      </c>
      <c r="F1062" s="5">
        <v>46155</v>
      </c>
      <c r="G1062" s="2">
        <v>230.42500000000001</v>
      </c>
      <c r="H1062" s="1" t="s">
        <v>10</v>
      </c>
      <c r="I1062" s="2">
        <v>54377.1973152547</v>
      </c>
      <c r="J1062" s="1" t="s">
        <v>19</v>
      </c>
      <c r="K1062" s="1" t="s">
        <v>3064</v>
      </c>
      <c r="L1062" s="2">
        <v>309127</v>
      </c>
      <c r="M1062">
        <f t="shared" si="48"/>
        <v>71230588.975000009</v>
      </c>
      <c r="N1062">
        <f t="shared" si="49"/>
        <v>6303591.9446902657</v>
      </c>
      <c r="O1062" t="str">
        <f t="shared" si="50"/>
        <v>BEHOLD</v>
      </c>
      <c r="P1062" s="1" t="s">
        <v>6082</v>
      </c>
    </row>
    <row r="1063" spans="1:16" ht="15" customHeight="1" x14ac:dyDescent="0.2">
      <c r="A1063" s="1" t="s">
        <v>3065</v>
      </c>
      <c r="B1063" s="1" t="s">
        <v>3066</v>
      </c>
      <c r="C1063" s="1" t="s">
        <v>9</v>
      </c>
      <c r="D1063" s="1" t="s">
        <v>3</v>
      </c>
      <c r="E1063" s="5">
        <v>42668</v>
      </c>
      <c r="F1063" s="5">
        <v>46155</v>
      </c>
      <c r="G1063" s="2">
        <v>10.68656</v>
      </c>
      <c r="H1063" s="1" t="s">
        <v>10</v>
      </c>
      <c r="I1063" s="2">
        <v>69.962280079999999</v>
      </c>
      <c r="J1063" s="1" t="s">
        <v>23</v>
      </c>
      <c r="K1063" s="1" t="s">
        <v>3067</v>
      </c>
      <c r="L1063" s="2">
        <v>9764.65</v>
      </c>
      <c r="M1063">
        <f t="shared" si="48"/>
        <v>104350.518104</v>
      </c>
      <c r="N1063">
        <f t="shared" si="49"/>
        <v>9234.5591242477876</v>
      </c>
      <c r="O1063" t="str">
        <f t="shared" si="50"/>
        <v>FJERN</v>
      </c>
      <c r="P1063" s="1" t="s">
        <v>6083</v>
      </c>
    </row>
    <row r="1064" spans="1:16" ht="15" customHeight="1" x14ac:dyDescent="0.2">
      <c r="A1064" s="1" t="s">
        <v>3068</v>
      </c>
      <c r="B1064" s="1" t="s">
        <v>3069</v>
      </c>
      <c r="C1064" s="1" t="s">
        <v>9</v>
      </c>
      <c r="D1064" s="1" t="s">
        <v>3</v>
      </c>
      <c r="E1064" s="5">
        <v>35935</v>
      </c>
      <c r="F1064" s="5">
        <v>46155</v>
      </c>
      <c r="G1064" s="2">
        <v>17.672280000000001</v>
      </c>
      <c r="H1064" s="1" t="s">
        <v>10</v>
      </c>
      <c r="I1064" s="2">
        <v>369.57593472000002</v>
      </c>
      <c r="J1064" s="1" t="s">
        <v>236</v>
      </c>
      <c r="K1064" s="1" t="s">
        <v>3070</v>
      </c>
      <c r="L1064" s="2">
        <v>13291.02</v>
      </c>
      <c r="M1064">
        <f t="shared" si="48"/>
        <v>234882.62692560002</v>
      </c>
      <c r="N1064">
        <f t="shared" si="49"/>
        <v>20786.073179256637</v>
      </c>
      <c r="O1064" t="str">
        <f t="shared" si="50"/>
        <v>FJERN</v>
      </c>
      <c r="P1064" s="1" t="s">
        <v>6084</v>
      </c>
    </row>
    <row r="1065" spans="1:16" ht="15" customHeight="1" x14ac:dyDescent="0.2">
      <c r="A1065" s="1" t="s">
        <v>3071</v>
      </c>
      <c r="B1065" s="1" t="s">
        <v>3072</v>
      </c>
      <c r="C1065" s="1" t="s">
        <v>9</v>
      </c>
      <c r="D1065" s="1" t="s">
        <v>3</v>
      </c>
      <c r="E1065" s="5">
        <v>44384</v>
      </c>
      <c r="F1065" s="5">
        <v>46155</v>
      </c>
      <c r="G1065" s="2">
        <v>5.0536810000000001</v>
      </c>
      <c r="H1065" s="1" t="s">
        <v>10</v>
      </c>
      <c r="I1065" s="2">
        <v>275.58310153999997</v>
      </c>
      <c r="J1065" s="1" t="s">
        <v>38</v>
      </c>
      <c r="K1065" s="1" t="s">
        <v>3073</v>
      </c>
      <c r="L1065" s="2">
        <v>275987.3</v>
      </c>
      <c r="M1065">
        <f t="shared" si="48"/>
        <v>1394751.7742512999</v>
      </c>
      <c r="N1065">
        <f t="shared" si="49"/>
        <v>123429.36055321238</v>
      </c>
      <c r="O1065" t="str">
        <f t="shared" si="50"/>
        <v>BEHOLD</v>
      </c>
      <c r="P1065" s="1" t="s">
        <v>6085</v>
      </c>
    </row>
    <row r="1066" spans="1:16" ht="15" customHeight="1" x14ac:dyDescent="0.2">
      <c r="A1066" s="1" t="s">
        <v>3074</v>
      </c>
      <c r="B1066" s="1" t="s">
        <v>3075</v>
      </c>
      <c r="C1066" s="1" t="s">
        <v>9</v>
      </c>
      <c r="D1066" s="1" t="s">
        <v>3</v>
      </c>
      <c r="E1066" s="5">
        <v>43427</v>
      </c>
      <c r="F1066" s="5">
        <v>46155</v>
      </c>
      <c r="G1066" s="2">
        <v>11.43172</v>
      </c>
      <c r="H1066" s="1" t="s">
        <v>10</v>
      </c>
      <c r="I1066" s="2">
        <v>12.675317696</v>
      </c>
      <c r="J1066" s="1" t="s">
        <v>236</v>
      </c>
      <c r="K1066" s="1" t="s">
        <v>3076</v>
      </c>
      <c r="L1066" s="2">
        <v>77839.28</v>
      </c>
      <c r="M1066">
        <f t="shared" si="48"/>
        <v>889836.85396159999</v>
      </c>
      <c r="N1066">
        <f t="shared" si="49"/>
        <v>78746.624244389372</v>
      </c>
      <c r="O1066" t="str">
        <f t="shared" si="50"/>
        <v>FJERN</v>
      </c>
      <c r="P1066" s="1" t="s">
        <v>6086</v>
      </c>
    </row>
    <row r="1067" spans="1:16" ht="15" customHeight="1" x14ac:dyDescent="0.2">
      <c r="A1067" s="1" t="s">
        <v>3077</v>
      </c>
      <c r="B1067" s="1" t="s">
        <v>3078</v>
      </c>
      <c r="C1067" s="1" t="s">
        <v>9</v>
      </c>
      <c r="D1067" s="1" t="s">
        <v>3</v>
      </c>
      <c r="E1067" s="5">
        <v>43196</v>
      </c>
      <c r="F1067" s="5">
        <v>46155</v>
      </c>
      <c r="G1067" s="2">
        <v>33.42257</v>
      </c>
      <c r="H1067" s="1" t="s">
        <v>10</v>
      </c>
      <c r="I1067" s="2">
        <v>60.489825000000003</v>
      </c>
      <c r="J1067" s="1" t="s">
        <v>34</v>
      </c>
      <c r="K1067" s="1" t="s">
        <v>3079</v>
      </c>
      <c r="L1067" s="2">
        <v>23113.58</v>
      </c>
      <c r="M1067">
        <f t="shared" si="48"/>
        <v>772515.24550060008</v>
      </c>
      <c r="N1067">
        <f t="shared" si="49"/>
        <v>68364.181017752213</v>
      </c>
      <c r="O1067" t="str">
        <f t="shared" si="50"/>
        <v>FJERN</v>
      </c>
      <c r="P1067" s="1" t="s">
        <v>6087</v>
      </c>
    </row>
    <row r="1068" spans="1:16" ht="15" customHeight="1" x14ac:dyDescent="0.2">
      <c r="A1068" s="1" t="s">
        <v>3080</v>
      </c>
      <c r="B1068" s="1" t="s">
        <v>3081</v>
      </c>
      <c r="C1068" s="1" t="s">
        <v>9</v>
      </c>
      <c r="D1068" s="1" t="s">
        <v>3</v>
      </c>
      <c r="E1068" s="5">
        <v>42877</v>
      </c>
      <c r="F1068" s="5">
        <v>45302</v>
      </c>
      <c r="G1068" s="2">
        <v>9.7303709999999999</v>
      </c>
      <c r="H1068" s="1" t="s">
        <v>10</v>
      </c>
      <c r="I1068" s="2"/>
      <c r="J1068" s="1" t="s">
        <v>122</v>
      </c>
      <c r="K1068" s="1" t="s">
        <v>3082</v>
      </c>
      <c r="L1068" s="2">
        <v>125220.7</v>
      </c>
      <c r="M1068">
        <f t="shared" si="48"/>
        <v>1218443.8678796999</v>
      </c>
      <c r="N1068">
        <f t="shared" si="49"/>
        <v>107826.89096280529</v>
      </c>
      <c r="O1068" t="str">
        <f t="shared" si="50"/>
        <v>BEHOLD</v>
      </c>
      <c r="P1068" s="1" t="s">
        <v>6088</v>
      </c>
    </row>
    <row r="1069" spans="1:16" ht="15" customHeight="1" x14ac:dyDescent="0.2">
      <c r="A1069" s="1" t="s">
        <v>3083</v>
      </c>
      <c r="B1069" s="1" t="s">
        <v>3084</v>
      </c>
      <c r="C1069" s="1" t="s">
        <v>9</v>
      </c>
      <c r="D1069" s="1" t="s">
        <v>3</v>
      </c>
      <c r="E1069" s="5">
        <v>32133</v>
      </c>
      <c r="F1069" s="5">
        <v>46155</v>
      </c>
      <c r="G1069" s="2">
        <v>80.051900000000003</v>
      </c>
      <c r="H1069" s="1" t="s">
        <v>10</v>
      </c>
      <c r="I1069" s="2">
        <v>12379.255142924399</v>
      </c>
      <c r="J1069" s="1" t="s">
        <v>197</v>
      </c>
      <c r="K1069" s="1" t="s">
        <v>3085</v>
      </c>
      <c r="L1069" s="2">
        <v>216576.5</v>
      </c>
      <c r="M1069">
        <f t="shared" si="48"/>
        <v>17337360.320350002</v>
      </c>
      <c r="N1069">
        <f t="shared" si="49"/>
        <v>1534279.6743672567</v>
      </c>
      <c r="O1069" t="str">
        <f t="shared" si="50"/>
        <v>BEHOLD</v>
      </c>
      <c r="P1069" s="1" t="s">
        <v>6089</v>
      </c>
    </row>
    <row r="1070" spans="1:16" ht="15" customHeight="1" x14ac:dyDescent="0.2">
      <c r="A1070" s="1" t="s">
        <v>3086</v>
      </c>
      <c r="B1070" s="1" t="s">
        <v>3087</v>
      </c>
      <c r="C1070" s="1" t="s">
        <v>9</v>
      </c>
      <c r="D1070" s="1" t="s">
        <v>3</v>
      </c>
      <c r="E1070" s="5">
        <v>43020</v>
      </c>
      <c r="F1070" s="5">
        <v>46155</v>
      </c>
      <c r="G1070" s="2">
        <v>153.01679999999999</v>
      </c>
      <c r="H1070" s="1" t="s">
        <v>10</v>
      </c>
      <c r="I1070" s="2">
        <v>27549.772651585201</v>
      </c>
      <c r="J1070" s="1" t="s">
        <v>366</v>
      </c>
      <c r="K1070" s="1" t="s">
        <v>3088</v>
      </c>
      <c r="L1070" s="2">
        <v>193615.6</v>
      </c>
      <c r="M1070">
        <f t="shared" si="48"/>
        <v>29626439.54208</v>
      </c>
      <c r="N1070">
        <f t="shared" si="49"/>
        <v>2621808.8090336281</v>
      </c>
      <c r="O1070" t="str">
        <f t="shared" si="50"/>
        <v>BEHOLD</v>
      </c>
      <c r="P1070" s="1" t="s">
        <v>6090</v>
      </c>
    </row>
    <row r="1071" spans="1:16" ht="15" customHeight="1" x14ac:dyDescent="0.2">
      <c r="A1071" s="1" t="s">
        <v>3089</v>
      </c>
      <c r="B1071" s="1" t="s">
        <v>3090</v>
      </c>
      <c r="C1071" s="1" t="s">
        <v>9</v>
      </c>
      <c r="D1071" s="1" t="s">
        <v>3</v>
      </c>
      <c r="E1071" s="5">
        <v>33669</v>
      </c>
      <c r="F1071" s="5">
        <v>46094</v>
      </c>
      <c r="G1071" s="2">
        <v>5.2031900000000002</v>
      </c>
      <c r="H1071" s="1" t="s">
        <v>10</v>
      </c>
      <c r="I1071" s="2"/>
      <c r="J1071" s="1" t="s">
        <v>289</v>
      </c>
      <c r="K1071" s="1" t="s">
        <v>3091</v>
      </c>
      <c r="L1071" s="2">
        <v>79151.23</v>
      </c>
      <c r="M1071">
        <f t="shared" si="48"/>
        <v>411838.8884237</v>
      </c>
      <c r="N1071">
        <f t="shared" si="49"/>
        <v>36445.919329530974</v>
      </c>
      <c r="O1071" t="str">
        <f t="shared" si="50"/>
        <v>FJERN</v>
      </c>
      <c r="P1071" s="1" t="s">
        <v>6091</v>
      </c>
    </row>
    <row r="1072" spans="1:16" ht="15" customHeight="1" x14ac:dyDescent="0.2">
      <c r="A1072" s="1" t="s">
        <v>3092</v>
      </c>
      <c r="B1072" s="1" t="s">
        <v>3093</v>
      </c>
      <c r="C1072" s="1" t="s">
        <v>9</v>
      </c>
      <c r="D1072" s="1" t="s">
        <v>3</v>
      </c>
      <c r="E1072" s="5">
        <v>39869</v>
      </c>
      <c r="F1072" s="5">
        <v>43902</v>
      </c>
      <c r="G1072" s="2">
        <v>361.63709999999998</v>
      </c>
      <c r="H1072" s="1" t="s">
        <v>10</v>
      </c>
      <c r="I1072" s="2"/>
      <c r="J1072" s="1" t="s">
        <v>115</v>
      </c>
      <c r="K1072" s="1" t="s">
        <v>3094</v>
      </c>
      <c r="L1072" s="2">
        <v>8792.6669999999995</v>
      </c>
      <c r="M1072">
        <f t="shared" si="48"/>
        <v>3179754.5951456996</v>
      </c>
      <c r="N1072">
        <f t="shared" si="49"/>
        <v>281394.21195979638</v>
      </c>
      <c r="O1072" t="str">
        <f t="shared" si="50"/>
        <v>BEHOLD</v>
      </c>
      <c r="P1072" s="1"/>
    </row>
    <row r="1073" spans="1:16" ht="15" customHeight="1" x14ac:dyDescent="0.2">
      <c r="A1073" s="1" t="s">
        <v>3095</v>
      </c>
      <c r="B1073" s="1" t="s">
        <v>3096</v>
      </c>
      <c r="C1073" s="1" t="s">
        <v>9</v>
      </c>
      <c r="D1073" s="1" t="s">
        <v>3</v>
      </c>
      <c r="E1073" s="5">
        <v>32932</v>
      </c>
      <c r="F1073" s="5">
        <v>46155</v>
      </c>
      <c r="G1073" s="2">
        <v>125.93219999999999</v>
      </c>
      <c r="H1073" s="1" t="s">
        <v>10</v>
      </c>
      <c r="I1073" s="2">
        <v>17928.004499999999</v>
      </c>
      <c r="J1073" s="1" t="s">
        <v>86</v>
      </c>
      <c r="K1073" s="1" t="s">
        <v>3097</v>
      </c>
      <c r="L1073" s="2">
        <v>37657.08</v>
      </c>
      <c r="M1073">
        <f t="shared" si="48"/>
        <v>4742238.9299760005</v>
      </c>
      <c r="N1073">
        <f t="shared" si="49"/>
        <v>419667.16194477875</v>
      </c>
      <c r="O1073" t="str">
        <f t="shared" si="50"/>
        <v>BEHOLD</v>
      </c>
      <c r="P1073" s="1" t="s">
        <v>6092</v>
      </c>
    </row>
    <row r="1074" spans="1:16" ht="15" customHeight="1" x14ac:dyDescent="0.2">
      <c r="A1074" s="1" t="s">
        <v>3098</v>
      </c>
      <c r="B1074" s="1" t="s">
        <v>3099</v>
      </c>
      <c r="C1074" s="1" t="s">
        <v>9</v>
      </c>
      <c r="D1074" s="1" t="s">
        <v>3</v>
      </c>
      <c r="E1074" s="5">
        <v>42845</v>
      </c>
      <c r="F1074" s="5">
        <v>43629</v>
      </c>
      <c r="G1074" s="2">
        <v>4.79976</v>
      </c>
      <c r="H1074" s="1" t="s">
        <v>10</v>
      </c>
      <c r="I1074" s="2"/>
      <c r="J1074" s="1" t="s">
        <v>236</v>
      </c>
      <c r="K1074" s="1" t="s">
        <v>3100</v>
      </c>
      <c r="L1074" s="2">
        <v>23950.34</v>
      </c>
      <c r="M1074">
        <f t="shared" si="48"/>
        <v>114955.8839184</v>
      </c>
      <c r="N1074">
        <f t="shared" si="49"/>
        <v>10173.087072424778</v>
      </c>
      <c r="O1074" t="str">
        <f t="shared" si="50"/>
        <v>FJERN</v>
      </c>
      <c r="P1074" s="1" t="s">
        <v>6093</v>
      </c>
    </row>
    <row r="1075" spans="1:16" ht="15" customHeight="1" x14ac:dyDescent="0.2">
      <c r="A1075" s="1" t="s">
        <v>3101</v>
      </c>
      <c r="B1075" s="1" t="s">
        <v>3102</v>
      </c>
      <c r="C1075" s="1" t="s">
        <v>9</v>
      </c>
      <c r="D1075" s="1" t="s">
        <v>3</v>
      </c>
      <c r="E1075" s="5">
        <v>42884</v>
      </c>
      <c r="F1075" s="5">
        <v>45450</v>
      </c>
      <c r="G1075" s="2">
        <v>12.591799999999999</v>
      </c>
      <c r="H1075" s="1" t="s">
        <v>10</v>
      </c>
      <c r="I1075" s="2"/>
      <c r="J1075" s="1" t="s">
        <v>289</v>
      </c>
      <c r="K1075" s="1" t="s">
        <v>3103</v>
      </c>
      <c r="L1075" s="2">
        <v>20107.88</v>
      </c>
      <c r="M1075">
        <f t="shared" si="48"/>
        <v>253194.403384</v>
      </c>
      <c r="N1075">
        <f t="shared" si="49"/>
        <v>22406.584370265486</v>
      </c>
      <c r="O1075" t="str">
        <f t="shared" si="50"/>
        <v>FJERN</v>
      </c>
      <c r="P1075" s="1" t="s">
        <v>6094</v>
      </c>
    </row>
    <row r="1076" spans="1:16" ht="15" customHeight="1" x14ac:dyDescent="0.2">
      <c r="A1076" s="1" t="s">
        <v>3104</v>
      </c>
      <c r="B1076" s="1" t="s">
        <v>3105</v>
      </c>
      <c r="C1076" s="1" t="s">
        <v>9</v>
      </c>
      <c r="D1076" s="1" t="s">
        <v>3</v>
      </c>
      <c r="E1076" s="5">
        <v>42829</v>
      </c>
      <c r="F1076" s="5">
        <v>46155</v>
      </c>
      <c r="G1076" s="2">
        <v>6.6497409999999997</v>
      </c>
      <c r="H1076" s="1" t="s">
        <v>10</v>
      </c>
      <c r="I1076" s="2">
        <v>204.927166296</v>
      </c>
      <c r="J1076" s="1" t="s">
        <v>366</v>
      </c>
      <c r="K1076" s="1" t="s">
        <v>3106</v>
      </c>
      <c r="L1076" s="2">
        <v>692513.6</v>
      </c>
      <c r="M1076">
        <f t="shared" si="48"/>
        <v>4605036.0789775997</v>
      </c>
      <c r="N1076">
        <f t="shared" si="49"/>
        <v>407525.31672368135</v>
      </c>
      <c r="O1076" t="str">
        <f t="shared" si="50"/>
        <v>BEHOLD</v>
      </c>
      <c r="P1076" s="1" t="s">
        <v>6095</v>
      </c>
    </row>
    <row r="1077" spans="1:16" ht="15" customHeight="1" x14ac:dyDescent="0.2">
      <c r="A1077" s="1" t="s">
        <v>3107</v>
      </c>
      <c r="B1077" s="1" t="s">
        <v>3108</v>
      </c>
      <c r="C1077" s="1" t="s">
        <v>9</v>
      </c>
      <c r="D1077" s="1" t="s">
        <v>3</v>
      </c>
      <c r="E1077" s="5">
        <v>42929</v>
      </c>
      <c r="F1077" s="5">
        <v>46155</v>
      </c>
      <c r="G1077" s="2">
        <v>4.8891119999999999</v>
      </c>
      <c r="H1077" s="1" t="s">
        <v>10</v>
      </c>
      <c r="I1077" s="2">
        <v>81.428253029000004</v>
      </c>
      <c r="J1077" s="1" t="s">
        <v>366</v>
      </c>
      <c r="K1077" s="1" t="s">
        <v>3109</v>
      </c>
      <c r="L1077" s="2">
        <v>174124.5</v>
      </c>
      <c r="M1077">
        <f t="shared" si="48"/>
        <v>851314.18244400003</v>
      </c>
      <c r="N1077">
        <f t="shared" si="49"/>
        <v>75337.53826938053</v>
      </c>
      <c r="O1077" t="str">
        <f t="shared" si="50"/>
        <v>FJERN</v>
      </c>
      <c r="P1077" s="1" t="s">
        <v>6096</v>
      </c>
    </row>
    <row r="1078" spans="1:16" ht="15" customHeight="1" x14ac:dyDescent="0.2">
      <c r="A1078" s="1" t="s">
        <v>3110</v>
      </c>
      <c r="B1078" s="1" t="s">
        <v>3111</v>
      </c>
      <c r="C1078" s="1" t="s">
        <v>9</v>
      </c>
      <c r="D1078" s="1" t="s">
        <v>3</v>
      </c>
      <c r="E1078" s="5">
        <v>42898</v>
      </c>
      <c r="F1078" s="5">
        <v>46155</v>
      </c>
      <c r="G1078" s="2">
        <v>43.849690000000002</v>
      </c>
      <c r="H1078" s="1" t="s">
        <v>10</v>
      </c>
      <c r="I1078" s="2">
        <v>1307.9659792</v>
      </c>
      <c r="J1078" s="1" t="s">
        <v>34</v>
      </c>
      <c r="K1078" s="1" t="s">
        <v>3112</v>
      </c>
      <c r="L1078" s="2">
        <v>15962.31</v>
      </c>
      <c r="M1078">
        <f t="shared" si="48"/>
        <v>699942.34518389998</v>
      </c>
      <c r="N1078">
        <f t="shared" si="49"/>
        <v>61941.800458752208</v>
      </c>
      <c r="O1078" t="str">
        <f t="shared" si="50"/>
        <v>FJERN</v>
      </c>
      <c r="P1078" s="1" t="s">
        <v>6097</v>
      </c>
    </row>
    <row r="1079" spans="1:16" ht="15" customHeight="1" x14ac:dyDescent="0.2">
      <c r="A1079" s="1" t="s">
        <v>3113</v>
      </c>
      <c r="B1079" s="1" t="s">
        <v>3114</v>
      </c>
      <c r="C1079" s="1" t="s">
        <v>9</v>
      </c>
      <c r="D1079" s="1" t="s">
        <v>3</v>
      </c>
      <c r="E1079" s="5">
        <v>42923</v>
      </c>
      <c r="F1079" s="5">
        <v>45266</v>
      </c>
      <c r="G1079" s="2">
        <v>1.9234739999999999</v>
      </c>
      <c r="H1079" s="1" t="s">
        <v>10</v>
      </c>
      <c r="I1079" s="2"/>
      <c r="J1079" s="1" t="s">
        <v>11</v>
      </c>
      <c r="K1079" s="1" t="s">
        <v>3115</v>
      </c>
      <c r="L1079" s="2">
        <v>4183552</v>
      </c>
      <c r="M1079">
        <f t="shared" si="48"/>
        <v>8046953.4996479992</v>
      </c>
      <c r="N1079">
        <f t="shared" si="49"/>
        <v>712119.77872991143</v>
      </c>
      <c r="O1079" t="str">
        <f t="shared" si="50"/>
        <v>BEHOLD</v>
      </c>
      <c r="P1079" s="1" t="s">
        <v>6098</v>
      </c>
    </row>
    <row r="1080" spans="1:16" ht="15" customHeight="1" x14ac:dyDescent="0.2">
      <c r="A1080" s="1" t="s">
        <v>3116</v>
      </c>
      <c r="B1080" s="1" t="s">
        <v>3117</v>
      </c>
      <c r="C1080" s="1" t="s">
        <v>9</v>
      </c>
      <c r="D1080" s="1" t="s">
        <v>3</v>
      </c>
      <c r="E1080" s="5">
        <v>33708</v>
      </c>
      <c r="F1080" s="5">
        <v>46155</v>
      </c>
      <c r="G1080" s="2">
        <v>320.59469999999999</v>
      </c>
      <c r="H1080" s="1" t="s">
        <v>10</v>
      </c>
      <c r="I1080" s="2">
        <v>1381.73721</v>
      </c>
      <c r="J1080" s="1" t="s">
        <v>201</v>
      </c>
      <c r="K1080" s="1" t="s">
        <v>3118</v>
      </c>
      <c r="L1080" s="2">
        <v>6145.1620000000003</v>
      </c>
      <c r="M1080">
        <f t="shared" si="48"/>
        <v>1970106.3678414</v>
      </c>
      <c r="N1080">
        <f t="shared" si="49"/>
        <v>174345.69626915042</v>
      </c>
      <c r="O1080" t="str">
        <f t="shared" si="50"/>
        <v>BEHOLD</v>
      </c>
      <c r="P1080" s="1" t="s">
        <v>6099</v>
      </c>
    </row>
    <row r="1081" spans="1:16" ht="15" customHeight="1" x14ac:dyDescent="0.2">
      <c r="A1081" s="1" t="s">
        <v>3119</v>
      </c>
      <c r="B1081" s="1" t="s">
        <v>3120</v>
      </c>
      <c r="C1081" s="1" t="s">
        <v>9</v>
      </c>
      <c r="D1081" s="1" t="s">
        <v>3</v>
      </c>
      <c r="E1081" s="5">
        <v>43385</v>
      </c>
      <c r="F1081" s="5">
        <v>46155</v>
      </c>
      <c r="G1081" s="2">
        <v>1.2481040000000001</v>
      </c>
      <c r="H1081" s="1" t="s">
        <v>10</v>
      </c>
      <c r="I1081" s="2">
        <v>546.11755550099997</v>
      </c>
      <c r="J1081" s="1" t="s">
        <v>23</v>
      </c>
      <c r="K1081" s="1" t="s">
        <v>3121</v>
      </c>
      <c r="L1081" s="2">
        <v>3395078</v>
      </c>
      <c r="M1081">
        <f t="shared" si="48"/>
        <v>4237410.432112</v>
      </c>
      <c r="N1081">
        <f t="shared" si="49"/>
        <v>374992.07363823004</v>
      </c>
      <c r="O1081" t="str">
        <f t="shared" si="50"/>
        <v>BEHOLD</v>
      </c>
      <c r="P1081" s="1" t="s">
        <v>6100</v>
      </c>
    </row>
    <row r="1082" spans="1:16" ht="15" customHeight="1" x14ac:dyDescent="0.2">
      <c r="A1082" s="1" t="s">
        <v>3122</v>
      </c>
      <c r="B1082" s="1" t="s">
        <v>3123</v>
      </c>
      <c r="C1082" s="1" t="s">
        <v>9</v>
      </c>
      <c r="D1082" s="1" t="s">
        <v>3</v>
      </c>
      <c r="E1082" s="5">
        <v>43817</v>
      </c>
      <c r="F1082" s="5">
        <v>46155</v>
      </c>
      <c r="G1082" s="2">
        <v>0.49813990000000002</v>
      </c>
      <c r="H1082" s="1" t="s">
        <v>10</v>
      </c>
      <c r="I1082" s="2">
        <v>42.617769690000202</v>
      </c>
      <c r="J1082" s="1" t="s">
        <v>236</v>
      </c>
      <c r="K1082" s="1" t="s">
        <v>3124</v>
      </c>
      <c r="L1082" s="2">
        <v>858590.5</v>
      </c>
      <c r="M1082">
        <f t="shared" si="48"/>
        <v>427698.18581095</v>
      </c>
      <c r="N1082">
        <f t="shared" si="49"/>
        <v>37849.39697442035</v>
      </c>
      <c r="O1082" t="str">
        <f t="shared" si="50"/>
        <v>FJERN</v>
      </c>
      <c r="P1082" s="1" t="s">
        <v>6101</v>
      </c>
    </row>
    <row r="1083" spans="1:16" ht="15" customHeight="1" x14ac:dyDescent="0.2">
      <c r="A1083" s="1" t="s">
        <v>3125</v>
      </c>
      <c r="B1083" s="1" t="s">
        <v>3126</v>
      </c>
      <c r="C1083" s="1" t="s">
        <v>9</v>
      </c>
      <c r="D1083" s="1" t="s">
        <v>3</v>
      </c>
      <c r="E1083" s="5">
        <v>43081</v>
      </c>
      <c r="F1083" s="5">
        <v>46155</v>
      </c>
      <c r="G1083" s="2">
        <v>47.891489999999997</v>
      </c>
      <c r="H1083" s="1" t="s">
        <v>10</v>
      </c>
      <c r="I1083" s="2">
        <v>8721.2737274600004</v>
      </c>
      <c r="J1083" s="1" t="s">
        <v>34</v>
      </c>
      <c r="K1083" s="1" t="s">
        <v>3127</v>
      </c>
      <c r="L1083" s="2">
        <v>596626.80000000005</v>
      </c>
      <c r="M1083">
        <f t="shared" si="48"/>
        <v>28573346.425932001</v>
      </c>
      <c r="N1083">
        <f t="shared" si="49"/>
        <v>2528614.7279585842</v>
      </c>
      <c r="O1083" t="str">
        <f t="shared" si="50"/>
        <v>BEHOLD</v>
      </c>
      <c r="P1083" s="1" t="s">
        <v>6102</v>
      </c>
    </row>
    <row r="1084" spans="1:16" ht="15" customHeight="1" x14ac:dyDescent="0.2">
      <c r="A1084" s="1" t="s">
        <v>3128</v>
      </c>
      <c r="B1084" s="1" t="s">
        <v>3129</v>
      </c>
      <c r="C1084" s="1" t="s">
        <v>9</v>
      </c>
      <c r="D1084" s="1" t="s">
        <v>3</v>
      </c>
      <c r="E1084" s="5">
        <v>43182</v>
      </c>
      <c r="F1084" s="5">
        <v>46155</v>
      </c>
      <c r="G1084" s="2">
        <v>54.6248</v>
      </c>
      <c r="H1084" s="1" t="s">
        <v>10</v>
      </c>
      <c r="I1084" s="2">
        <v>2579.5961842000002</v>
      </c>
      <c r="J1084" s="1" t="s">
        <v>289</v>
      </c>
      <c r="K1084" s="1" t="s">
        <v>3130</v>
      </c>
      <c r="L1084" s="2">
        <v>50563.28</v>
      </c>
      <c r="M1084">
        <f t="shared" si="48"/>
        <v>2762009.0573439999</v>
      </c>
      <c r="N1084">
        <f t="shared" si="49"/>
        <v>244425.58029592916</v>
      </c>
      <c r="O1084" t="str">
        <f t="shared" si="50"/>
        <v>BEHOLD</v>
      </c>
      <c r="P1084" s="1" t="s">
        <v>6103</v>
      </c>
    </row>
    <row r="1085" spans="1:16" ht="15" customHeight="1" x14ac:dyDescent="0.2">
      <c r="A1085" s="1" t="s">
        <v>3131</v>
      </c>
      <c r="B1085" s="1" t="s">
        <v>3132</v>
      </c>
      <c r="C1085" s="1" t="s">
        <v>9</v>
      </c>
      <c r="D1085" s="1" t="s">
        <v>3</v>
      </c>
      <c r="E1085" s="5">
        <v>42901</v>
      </c>
      <c r="F1085" s="5">
        <v>46155</v>
      </c>
      <c r="G1085" s="2">
        <v>266.2441</v>
      </c>
      <c r="H1085" s="1" t="s">
        <v>10</v>
      </c>
      <c r="I1085" s="2">
        <v>181144.51225808699</v>
      </c>
      <c r="J1085" s="1" t="s">
        <v>176</v>
      </c>
      <c r="K1085" s="1" t="s">
        <v>3133</v>
      </c>
      <c r="L1085" s="2">
        <v>1418522</v>
      </c>
      <c r="M1085">
        <f t="shared" si="48"/>
        <v>377673113.2202</v>
      </c>
      <c r="N1085">
        <f t="shared" si="49"/>
        <v>33422399.400017697</v>
      </c>
      <c r="O1085" t="str">
        <f t="shared" si="50"/>
        <v>BEHOLD</v>
      </c>
      <c r="P1085" s="1" t="s">
        <v>6104</v>
      </c>
    </row>
    <row r="1086" spans="1:16" ht="15" customHeight="1" x14ac:dyDescent="0.2">
      <c r="A1086" s="1" t="s">
        <v>3134</v>
      </c>
      <c r="B1086" s="1" t="s">
        <v>3135</v>
      </c>
      <c r="C1086" s="1" t="s">
        <v>2</v>
      </c>
      <c r="D1086" s="1" t="s">
        <v>3</v>
      </c>
      <c r="E1086" s="5">
        <v>32107</v>
      </c>
      <c r="F1086" s="5">
        <v>46155</v>
      </c>
      <c r="G1086" s="2">
        <v>496.6463</v>
      </c>
      <c r="H1086" s="1" t="s">
        <v>4</v>
      </c>
      <c r="I1086" s="2">
        <v>37446.793360000003</v>
      </c>
      <c r="J1086" s="1" t="s">
        <v>15</v>
      </c>
      <c r="K1086" s="1" t="s">
        <v>3136</v>
      </c>
      <c r="L1086" s="2">
        <v>22709.34</v>
      </c>
      <c r="M1086">
        <f t="shared" si="48"/>
        <v>11278509.686442001</v>
      </c>
      <c r="N1086">
        <f t="shared" si="49"/>
        <v>1513893.9176432216</v>
      </c>
      <c r="O1086" t="str">
        <f t="shared" si="50"/>
        <v>BEHOLD</v>
      </c>
      <c r="P1086" s="1" t="s">
        <v>6105</v>
      </c>
    </row>
    <row r="1087" spans="1:16" ht="15" customHeight="1" x14ac:dyDescent="0.2">
      <c r="A1087" s="1" t="s">
        <v>3137</v>
      </c>
      <c r="B1087" s="1" t="s">
        <v>3138</v>
      </c>
      <c r="C1087" s="1" t="s">
        <v>9</v>
      </c>
      <c r="D1087" s="1" t="s">
        <v>3</v>
      </c>
      <c r="E1087" s="5">
        <v>43080</v>
      </c>
      <c r="F1087" s="5">
        <v>46091</v>
      </c>
      <c r="G1087" s="2">
        <v>3.7873920000000001</v>
      </c>
      <c r="H1087" s="1" t="s">
        <v>10</v>
      </c>
      <c r="I1087" s="2">
        <v>29.613861804999999</v>
      </c>
      <c r="J1087" s="1" t="s">
        <v>167</v>
      </c>
      <c r="K1087" s="1" t="s">
        <v>3139</v>
      </c>
      <c r="L1087" s="2">
        <v>182391</v>
      </c>
      <c r="M1087">
        <f t="shared" si="48"/>
        <v>690786.21427200001</v>
      </c>
      <c r="N1087">
        <f t="shared" si="49"/>
        <v>61131.523386902649</v>
      </c>
      <c r="O1087" t="str">
        <f t="shared" si="50"/>
        <v>FJERN</v>
      </c>
      <c r="P1087" s="1"/>
    </row>
    <row r="1088" spans="1:16" ht="15" customHeight="1" x14ac:dyDescent="0.2">
      <c r="A1088" s="1" t="s">
        <v>3140</v>
      </c>
      <c r="B1088" s="1" t="s">
        <v>3141</v>
      </c>
      <c r="C1088" s="1" t="s">
        <v>9</v>
      </c>
      <c r="D1088" s="1" t="s">
        <v>3</v>
      </c>
      <c r="E1088" s="5">
        <v>38771</v>
      </c>
      <c r="F1088" s="5">
        <v>43768</v>
      </c>
      <c r="G1088" s="2">
        <v>44.747320000000002</v>
      </c>
      <c r="H1088" s="1" t="s">
        <v>10</v>
      </c>
      <c r="I1088" s="2"/>
      <c r="J1088" s="1" t="s">
        <v>184</v>
      </c>
      <c r="K1088" s="1" t="s">
        <v>3142</v>
      </c>
      <c r="L1088" s="2">
        <v>225743.1</v>
      </c>
      <c r="M1088">
        <f t="shared" si="48"/>
        <v>10101398.733492</v>
      </c>
      <c r="N1088">
        <f t="shared" si="49"/>
        <v>893929.09145946894</v>
      </c>
      <c r="O1088" t="str">
        <f t="shared" si="50"/>
        <v>BEHOLD</v>
      </c>
      <c r="P1088" s="1" t="s">
        <v>6106</v>
      </c>
    </row>
    <row r="1089" spans="1:16" ht="15" customHeight="1" x14ac:dyDescent="0.2">
      <c r="A1089" s="1" t="s">
        <v>3143</v>
      </c>
      <c r="B1089" s="1" t="s">
        <v>3144</v>
      </c>
      <c r="C1089" s="1" t="s">
        <v>9</v>
      </c>
      <c r="D1089" s="1" t="s">
        <v>3</v>
      </c>
      <c r="E1089" s="5">
        <v>43076</v>
      </c>
      <c r="F1089" s="5">
        <v>46155</v>
      </c>
      <c r="G1089" s="2">
        <v>27.5929</v>
      </c>
      <c r="H1089" s="1" t="s">
        <v>10</v>
      </c>
      <c r="I1089" s="2">
        <v>148.1386914</v>
      </c>
      <c r="J1089" s="1" t="s">
        <v>548</v>
      </c>
      <c r="K1089" s="1" t="s">
        <v>3145</v>
      </c>
      <c r="L1089" s="2">
        <v>10579.77</v>
      </c>
      <c r="M1089">
        <f t="shared" si="48"/>
        <v>291926.53563300002</v>
      </c>
      <c r="N1089">
        <f t="shared" si="49"/>
        <v>25834.206693185843</v>
      </c>
      <c r="O1089" t="str">
        <f t="shared" si="50"/>
        <v>FJERN</v>
      </c>
      <c r="P1089" s="1" t="s">
        <v>6107</v>
      </c>
    </row>
    <row r="1090" spans="1:16" ht="15" customHeight="1" x14ac:dyDescent="0.2">
      <c r="A1090" s="1" t="s">
        <v>3146</v>
      </c>
      <c r="B1090" s="1" t="s">
        <v>3147</v>
      </c>
      <c r="C1090" s="1" t="s">
        <v>2</v>
      </c>
      <c r="D1090" s="1" t="s">
        <v>3</v>
      </c>
      <c r="E1090" s="5">
        <v>42914</v>
      </c>
      <c r="F1090" s="5">
        <v>46155</v>
      </c>
      <c r="G1090" s="2">
        <v>0.65313220000000005</v>
      </c>
      <c r="H1090" s="1" t="s">
        <v>4</v>
      </c>
      <c r="I1090" s="2">
        <v>91.684046249999994</v>
      </c>
      <c r="J1090" s="1" t="s">
        <v>236</v>
      </c>
      <c r="K1090" s="1" t="s">
        <v>3148</v>
      </c>
      <c r="L1090" s="2">
        <v>834933</v>
      </c>
      <c r="M1090">
        <f t="shared" si="48"/>
        <v>545321.62714260002</v>
      </c>
      <c r="N1090">
        <f t="shared" si="49"/>
        <v>73197.533844644291</v>
      </c>
      <c r="O1090" t="str">
        <f t="shared" si="50"/>
        <v>FJERN</v>
      </c>
      <c r="P1090" s="1"/>
    </row>
    <row r="1091" spans="1:16" ht="15" customHeight="1" x14ac:dyDescent="0.2">
      <c r="A1091" s="1" t="s">
        <v>3149</v>
      </c>
      <c r="B1091" s="1" t="s">
        <v>3150</v>
      </c>
      <c r="C1091" s="1" t="s">
        <v>9</v>
      </c>
      <c r="D1091" s="1" t="s">
        <v>3</v>
      </c>
      <c r="E1091" s="5">
        <v>42928</v>
      </c>
      <c r="F1091" s="5">
        <v>44746</v>
      </c>
      <c r="G1091" s="2">
        <v>48.007280000000002</v>
      </c>
      <c r="H1091" s="1" t="s">
        <v>10</v>
      </c>
      <c r="I1091" s="2"/>
      <c r="J1091" s="1" t="s">
        <v>167</v>
      </c>
      <c r="K1091" s="1" t="s">
        <v>3151</v>
      </c>
      <c r="L1091" s="2">
        <v>72029.27</v>
      </c>
      <c r="M1091">
        <f t="shared" ref="M1091:M1154" si="51">IF(OR(G1091="",L1091=""),"",G1091*L1091)</f>
        <v>3457929.3330856003</v>
      </c>
      <c r="N1091">
        <f t="shared" ref="N1091:N1154" si="52">IF(M1091="","",IF(H1091="DKK",M1091/7.45,IF(H1091="SEK",M1091/11.3,M1091)))</f>
        <v>306011.44540580531</v>
      </c>
      <c r="O1091" t="str">
        <f t="shared" ref="O1091:O1154" si="53">IF(AND(E1091&lt;=DATE(2024,12,31),F1091&gt;=DATE(2010,1,1),D1091="SHARE",N1091&gt;=100000),"BEHOLD","FJERN")</f>
        <v>BEHOLD</v>
      </c>
      <c r="P1091" s="1" t="s">
        <v>6108</v>
      </c>
    </row>
    <row r="1092" spans="1:16" ht="15" customHeight="1" x14ac:dyDescent="0.2">
      <c r="A1092" s="1" t="s">
        <v>3152</v>
      </c>
      <c r="B1092" s="1" t="s">
        <v>3153</v>
      </c>
      <c r="C1092" s="1" t="s">
        <v>9</v>
      </c>
      <c r="D1092" s="1"/>
      <c r="E1092" s="1"/>
      <c r="F1092" s="1"/>
      <c r="G1092" s="2"/>
      <c r="H1092" s="1"/>
      <c r="I1092" s="2"/>
      <c r="J1092" s="1"/>
      <c r="K1092" s="1"/>
      <c r="L1092" s="2"/>
      <c r="M1092" t="str">
        <f t="shared" si="51"/>
        <v/>
      </c>
      <c r="N1092" t="str">
        <f t="shared" si="52"/>
        <v/>
      </c>
      <c r="O1092" t="str">
        <f t="shared" si="53"/>
        <v>FJERN</v>
      </c>
      <c r="P1092" s="1"/>
    </row>
    <row r="1093" spans="1:16" ht="15" customHeight="1" x14ac:dyDescent="0.2">
      <c r="A1093" s="1" t="s">
        <v>3154</v>
      </c>
      <c r="B1093" s="1" t="s">
        <v>3155</v>
      </c>
      <c r="C1093" s="1" t="s">
        <v>9</v>
      </c>
      <c r="D1093" s="1" t="s">
        <v>3</v>
      </c>
      <c r="E1093" s="5">
        <v>42817</v>
      </c>
      <c r="F1093" s="5">
        <v>46155</v>
      </c>
      <c r="G1093" s="2">
        <v>368.23520000000002</v>
      </c>
      <c r="H1093" s="1" t="s">
        <v>10</v>
      </c>
      <c r="I1093" s="2">
        <v>9361.9622498887802</v>
      </c>
      <c r="J1093" s="1" t="s">
        <v>122</v>
      </c>
      <c r="K1093" s="1" t="s">
        <v>3156</v>
      </c>
      <c r="L1093" s="2">
        <v>85246.76</v>
      </c>
      <c r="M1093">
        <f t="shared" si="51"/>
        <v>31390857.717951998</v>
      </c>
      <c r="N1093">
        <f t="shared" si="52"/>
        <v>2777952.0104382299</v>
      </c>
      <c r="O1093" t="str">
        <f t="shared" si="53"/>
        <v>BEHOLD</v>
      </c>
      <c r="P1093" s="1" t="s">
        <v>6109</v>
      </c>
    </row>
    <row r="1094" spans="1:16" ht="15" customHeight="1" x14ac:dyDescent="0.2">
      <c r="A1094" s="1" t="s">
        <v>3157</v>
      </c>
      <c r="B1094" s="1" t="s">
        <v>3158</v>
      </c>
      <c r="C1094" s="1" t="s">
        <v>9</v>
      </c>
      <c r="D1094" s="1" t="s">
        <v>3</v>
      </c>
      <c r="E1094" s="5">
        <v>38624</v>
      </c>
      <c r="F1094" s="5">
        <v>46155</v>
      </c>
      <c r="G1094" s="2">
        <v>127.1819</v>
      </c>
      <c r="H1094" s="1" t="s">
        <v>10</v>
      </c>
      <c r="I1094" s="2">
        <v>68706.971723089999</v>
      </c>
      <c r="J1094" s="1" t="s">
        <v>51</v>
      </c>
      <c r="K1094" s="1" t="s">
        <v>3159</v>
      </c>
      <c r="L1094" s="2">
        <v>338402.1</v>
      </c>
      <c r="M1094">
        <f t="shared" si="51"/>
        <v>43038622.041989997</v>
      </c>
      <c r="N1094">
        <f t="shared" si="52"/>
        <v>3808727.6143353977</v>
      </c>
      <c r="O1094" t="str">
        <f t="shared" si="53"/>
        <v>BEHOLD</v>
      </c>
      <c r="P1094" s="1" t="s">
        <v>6110</v>
      </c>
    </row>
    <row r="1095" spans="1:16" ht="15" customHeight="1" x14ac:dyDescent="0.2">
      <c r="A1095" s="1" t="s">
        <v>3160</v>
      </c>
      <c r="B1095" s="1" t="s">
        <v>3161</v>
      </c>
      <c r="C1095" s="1" t="s">
        <v>2</v>
      </c>
      <c r="D1095" s="1" t="s">
        <v>3</v>
      </c>
      <c r="E1095" s="5">
        <v>42902</v>
      </c>
      <c r="F1095" s="5">
        <v>46155</v>
      </c>
      <c r="G1095" s="2">
        <v>79.848600000000005</v>
      </c>
      <c r="H1095" s="1" t="s">
        <v>4</v>
      </c>
      <c r="I1095" s="2">
        <v>739.92837499999996</v>
      </c>
      <c r="J1095" s="1" t="s">
        <v>11</v>
      </c>
      <c r="K1095" s="1" t="s">
        <v>3162</v>
      </c>
      <c r="L1095" s="2">
        <v>3938.3380000000002</v>
      </c>
      <c r="M1095">
        <f t="shared" si="51"/>
        <v>314470.77562680002</v>
      </c>
      <c r="N1095">
        <f t="shared" si="52"/>
        <v>42210.842366013421</v>
      </c>
      <c r="O1095" t="str">
        <f t="shared" si="53"/>
        <v>FJERN</v>
      </c>
      <c r="P1095" s="1" t="s">
        <v>6111</v>
      </c>
    </row>
    <row r="1096" spans="1:16" ht="15" customHeight="1" x14ac:dyDescent="0.2">
      <c r="A1096" s="1" t="s">
        <v>3163</v>
      </c>
      <c r="B1096" s="1" t="s">
        <v>3164</v>
      </c>
      <c r="C1096" s="1" t="s">
        <v>9</v>
      </c>
      <c r="D1096" s="1" t="s">
        <v>3</v>
      </c>
      <c r="E1096" s="5">
        <v>43083</v>
      </c>
      <c r="F1096" s="5">
        <v>46155</v>
      </c>
      <c r="G1096" s="2">
        <v>34.54034</v>
      </c>
      <c r="H1096" s="1" t="s">
        <v>10</v>
      </c>
      <c r="I1096" s="2">
        <v>179.09174400000001</v>
      </c>
      <c r="J1096" s="1" t="s">
        <v>23</v>
      </c>
      <c r="K1096" s="1" t="s">
        <v>3165</v>
      </c>
      <c r="L1096" s="2">
        <v>8587.9680000000008</v>
      </c>
      <c r="M1096">
        <f t="shared" si="51"/>
        <v>296631.33462912001</v>
      </c>
      <c r="N1096">
        <f t="shared" si="52"/>
        <v>26250.560586647789</v>
      </c>
      <c r="O1096" t="str">
        <f t="shared" si="53"/>
        <v>FJERN</v>
      </c>
      <c r="P1096" s="1" t="s">
        <v>6112</v>
      </c>
    </row>
    <row r="1097" spans="1:16" ht="15" customHeight="1" x14ac:dyDescent="0.2">
      <c r="A1097" s="1" t="s">
        <v>3166</v>
      </c>
      <c r="B1097" s="1" t="s">
        <v>3167</v>
      </c>
      <c r="C1097" s="1" t="s">
        <v>2</v>
      </c>
      <c r="D1097" s="1" t="s">
        <v>3</v>
      </c>
      <c r="E1097" s="5">
        <v>43283</v>
      </c>
      <c r="F1097" s="5">
        <v>45366</v>
      </c>
      <c r="G1097" s="2">
        <v>7.0044599999999999</v>
      </c>
      <c r="H1097" s="1" t="s">
        <v>4</v>
      </c>
      <c r="I1097" s="2">
        <v>22.1396400900001</v>
      </c>
      <c r="J1097" s="1" t="s">
        <v>289</v>
      </c>
      <c r="K1097" s="1" t="s">
        <v>3168</v>
      </c>
      <c r="L1097" s="2">
        <v>39209.879999999997</v>
      </c>
      <c r="M1097">
        <f t="shared" si="51"/>
        <v>274644.03606479999</v>
      </c>
      <c r="N1097">
        <f t="shared" si="52"/>
        <v>36864.971283865772</v>
      </c>
      <c r="O1097" t="str">
        <f t="shared" si="53"/>
        <v>FJERN</v>
      </c>
      <c r="P1097" s="1"/>
    </row>
    <row r="1098" spans="1:16" ht="15" customHeight="1" x14ac:dyDescent="0.2">
      <c r="A1098" s="1" t="s">
        <v>3169</v>
      </c>
      <c r="B1098" s="1" t="s">
        <v>3170</v>
      </c>
      <c r="C1098" s="1" t="s">
        <v>9</v>
      </c>
      <c r="D1098" s="1" t="s">
        <v>3</v>
      </c>
      <c r="E1098" s="5">
        <v>39363</v>
      </c>
      <c r="F1098" s="5">
        <v>46155</v>
      </c>
      <c r="G1098" s="2">
        <v>15.9765</v>
      </c>
      <c r="H1098" s="1" t="s">
        <v>10</v>
      </c>
      <c r="I1098" s="2">
        <v>693.56980124999995</v>
      </c>
      <c r="J1098" s="1" t="s">
        <v>11</v>
      </c>
      <c r="K1098" s="1" t="s">
        <v>3171</v>
      </c>
      <c r="L1098" s="2">
        <v>20095.599999999999</v>
      </c>
      <c r="M1098">
        <f t="shared" si="51"/>
        <v>321057.35339999996</v>
      </c>
      <c r="N1098">
        <f t="shared" si="52"/>
        <v>28412.155168141588</v>
      </c>
      <c r="O1098" t="str">
        <f t="shared" si="53"/>
        <v>FJERN</v>
      </c>
      <c r="P1098" s="1" t="s">
        <v>6113</v>
      </c>
    </row>
    <row r="1099" spans="1:16" ht="15" customHeight="1" x14ac:dyDescent="0.2">
      <c r="A1099" s="1" t="s">
        <v>3172</v>
      </c>
      <c r="B1099" s="1" t="s">
        <v>3173</v>
      </c>
      <c r="C1099" s="1" t="s">
        <v>9</v>
      </c>
      <c r="D1099" s="1" t="s">
        <v>3</v>
      </c>
      <c r="E1099" s="5">
        <v>42907</v>
      </c>
      <c r="F1099" s="5">
        <v>46155</v>
      </c>
      <c r="G1099" s="2">
        <v>97.638580000000005</v>
      </c>
      <c r="H1099" s="1" t="s">
        <v>10</v>
      </c>
      <c r="I1099" s="2">
        <v>6421.2672415999996</v>
      </c>
      <c r="J1099" s="1" t="s">
        <v>11</v>
      </c>
      <c r="K1099" s="1" t="s">
        <v>3174</v>
      </c>
      <c r="L1099" s="2">
        <v>30305.59</v>
      </c>
      <c r="M1099">
        <f t="shared" si="51"/>
        <v>2958994.7736622002</v>
      </c>
      <c r="N1099">
        <f t="shared" si="52"/>
        <v>261857.94457187611</v>
      </c>
      <c r="O1099" t="str">
        <f t="shared" si="53"/>
        <v>BEHOLD</v>
      </c>
      <c r="P1099" s="1" t="s">
        <v>6114</v>
      </c>
    </row>
    <row r="1100" spans="1:16" ht="15" customHeight="1" x14ac:dyDescent="0.2">
      <c r="A1100" s="1" t="s">
        <v>3175</v>
      </c>
      <c r="B1100" s="1" t="s">
        <v>3176</v>
      </c>
      <c r="C1100" s="1" t="s">
        <v>9</v>
      </c>
      <c r="D1100" s="1" t="s">
        <v>3</v>
      </c>
      <c r="E1100" s="5">
        <v>42885</v>
      </c>
      <c r="F1100" s="5">
        <v>46155</v>
      </c>
      <c r="G1100" s="2">
        <v>1.8463590000000001</v>
      </c>
      <c r="H1100" s="1" t="s">
        <v>10</v>
      </c>
      <c r="I1100" s="2">
        <v>159.78721939319999</v>
      </c>
      <c r="J1100" s="1" t="s">
        <v>197</v>
      </c>
      <c r="K1100" s="1" t="s">
        <v>3177</v>
      </c>
      <c r="L1100" s="2">
        <v>3468799</v>
      </c>
      <c r="M1100">
        <f t="shared" si="51"/>
        <v>6404648.2528410004</v>
      </c>
      <c r="N1100">
        <f t="shared" si="52"/>
        <v>566783.03122486721</v>
      </c>
      <c r="O1100" t="str">
        <f t="shared" si="53"/>
        <v>BEHOLD</v>
      </c>
      <c r="P1100" s="1" t="s">
        <v>6115</v>
      </c>
    </row>
    <row r="1101" spans="1:16" ht="15" customHeight="1" x14ac:dyDescent="0.2">
      <c r="A1101" s="1" t="s">
        <v>3178</v>
      </c>
      <c r="B1101" s="1" t="s">
        <v>3179</v>
      </c>
      <c r="C1101" s="1" t="s">
        <v>9</v>
      </c>
      <c r="D1101" s="1" t="s">
        <v>3</v>
      </c>
      <c r="E1101" s="5">
        <v>42907</v>
      </c>
      <c r="F1101" s="5">
        <v>46155</v>
      </c>
      <c r="G1101" s="2">
        <v>109.9807</v>
      </c>
      <c r="H1101" s="1" t="s">
        <v>10</v>
      </c>
      <c r="I1101" s="2">
        <v>12381.52866</v>
      </c>
      <c r="J1101" s="1" t="s">
        <v>34</v>
      </c>
      <c r="K1101" s="1" t="s">
        <v>3180</v>
      </c>
      <c r="L1101" s="2">
        <v>150693.70000000001</v>
      </c>
      <c r="M1101">
        <f t="shared" si="51"/>
        <v>16573398.611590002</v>
      </c>
      <c r="N1101">
        <f t="shared" si="52"/>
        <v>1466672.4435035398</v>
      </c>
      <c r="O1101" t="str">
        <f t="shared" si="53"/>
        <v>BEHOLD</v>
      </c>
      <c r="P1101" s="1" t="s">
        <v>6116</v>
      </c>
    </row>
    <row r="1102" spans="1:16" ht="15" customHeight="1" x14ac:dyDescent="0.2">
      <c r="A1102" s="1" t="s">
        <v>3181</v>
      </c>
      <c r="B1102" s="1" t="s">
        <v>3182</v>
      </c>
      <c r="C1102" s="1" t="s">
        <v>9</v>
      </c>
      <c r="D1102" s="1" t="s">
        <v>3</v>
      </c>
      <c r="E1102" s="5">
        <v>43090</v>
      </c>
      <c r="F1102" s="5">
        <v>46155</v>
      </c>
      <c r="G1102" s="2">
        <v>6.0227649999999997</v>
      </c>
      <c r="H1102" s="1" t="s">
        <v>10</v>
      </c>
      <c r="I1102" s="2">
        <v>569.08605420000004</v>
      </c>
      <c r="J1102" s="1" t="s">
        <v>236</v>
      </c>
      <c r="K1102" s="1" t="s">
        <v>3183</v>
      </c>
      <c r="L1102" s="2">
        <v>85224.3</v>
      </c>
      <c r="M1102">
        <f t="shared" si="51"/>
        <v>513285.93118949997</v>
      </c>
      <c r="N1102">
        <f t="shared" si="52"/>
        <v>45423.533733584067</v>
      </c>
      <c r="O1102" t="str">
        <f t="shared" si="53"/>
        <v>FJERN</v>
      </c>
      <c r="P1102" s="1" t="s">
        <v>6117</v>
      </c>
    </row>
    <row r="1103" spans="1:16" ht="15" customHeight="1" x14ac:dyDescent="0.2">
      <c r="A1103" s="1" t="s">
        <v>3184</v>
      </c>
      <c r="B1103" s="1" t="s">
        <v>3185</v>
      </c>
      <c r="C1103" s="1" t="s">
        <v>9</v>
      </c>
      <c r="D1103" s="1" t="s">
        <v>3</v>
      </c>
      <c r="E1103" s="5">
        <v>43063</v>
      </c>
      <c r="F1103" s="5">
        <v>46155</v>
      </c>
      <c r="G1103" s="2">
        <v>9.3276990000000009</v>
      </c>
      <c r="H1103" s="1" t="s">
        <v>10</v>
      </c>
      <c r="I1103" s="2">
        <v>12.902898823999999</v>
      </c>
      <c r="J1103" s="1" t="s">
        <v>34</v>
      </c>
      <c r="K1103" s="1" t="s">
        <v>3186</v>
      </c>
      <c r="L1103" s="2">
        <v>63487</v>
      </c>
      <c r="M1103">
        <f t="shared" si="51"/>
        <v>592187.62641300005</v>
      </c>
      <c r="N1103">
        <f t="shared" si="52"/>
        <v>52405.984638318587</v>
      </c>
      <c r="O1103" t="str">
        <f t="shared" si="53"/>
        <v>FJERN</v>
      </c>
      <c r="P1103" s="1" t="s">
        <v>6118</v>
      </c>
    </row>
    <row r="1104" spans="1:16" ht="15" customHeight="1" x14ac:dyDescent="0.2">
      <c r="A1104" s="1" t="s">
        <v>3187</v>
      </c>
      <c r="B1104" s="1" t="s">
        <v>3188</v>
      </c>
      <c r="C1104" s="1" t="s">
        <v>2</v>
      </c>
      <c r="D1104" s="1" t="s">
        <v>3</v>
      </c>
      <c r="E1104" s="5">
        <v>43216</v>
      </c>
      <c r="F1104" s="5">
        <v>45159</v>
      </c>
      <c r="G1104" s="2">
        <v>1.9392640000000001</v>
      </c>
      <c r="H1104" s="1" t="s">
        <v>4</v>
      </c>
      <c r="I1104" s="2"/>
      <c r="J1104" s="1" t="s">
        <v>289</v>
      </c>
      <c r="K1104" s="1" t="s">
        <v>3189</v>
      </c>
      <c r="L1104" s="2">
        <v>15690.11</v>
      </c>
      <c r="M1104">
        <f t="shared" si="51"/>
        <v>30427.265479040001</v>
      </c>
      <c r="N1104">
        <f t="shared" si="52"/>
        <v>4084.1967085959732</v>
      </c>
      <c r="O1104" t="str">
        <f t="shared" si="53"/>
        <v>FJERN</v>
      </c>
      <c r="P1104" s="1"/>
    </row>
    <row r="1105" spans="1:16" ht="15" customHeight="1" x14ac:dyDescent="0.2">
      <c r="A1105" s="1" t="s">
        <v>3190</v>
      </c>
      <c r="B1105" s="1" t="s">
        <v>3191</v>
      </c>
      <c r="C1105" s="1" t="s">
        <v>9</v>
      </c>
      <c r="D1105" s="1" t="s">
        <v>3</v>
      </c>
      <c r="E1105" s="5">
        <v>43480</v>
      </c>
      <c r="F1105" s="5">
        <v>45503</v>
      </c>
      <c r="G1105" s="2">
        <v>2.4998809999999998</v>
      </c>
      <c r="H1105" s="1" t="s">
        <v>10</v>
      </c>
      <c r="I1105" s="2">
        <v>6.6657538199999999</v>
      </c>
      <c r="J1105" s="1" t="s">
        <v>23</v>
      </c>
      <c r="K1105" s="1" t="s">
        <v>3192</v>
      </c>
      <c r="L1105" s="2">
        <v>176424.4</v>
      </c>
      <c r="M1105">
        <f t="shared" si="51"/>
        <v>441040.00549639994</v>
      </c>
      <c r="N1105">
        <f t="shared" si="52"/>
        <v>39030.088981982291</v>
      </c>
      <c r="O1105" t="str">
        <f t="shared" si="53"/>
        <v>FJERN</v>
      </c>
      <c r="P1105" s="1" t="s">
        <v>6119</v>
      </c>
    </row>
    <row r="1106" spans="1:16" ht="15" customHeight="1" x14ac:dyDescent="0.2">
      <c r="A1106" s="1" t="s">
        <v>3193</v>
      </c>
      <c r="B1106" s="1" t="s">
        <v>3194</v>
      </c>
      <c r="C1106" s="1" t="s">
        <v>2</v>
      </c>
      <c r="D1106" s="1" t="s">
        <v>3</v>
      </c>
      <c r="E1106" s="5">
        <v>43346</v>
      </c>
      <c r="F1106" s="5">
        <v>45426</v>
      </c>
      <c r="G1106" s="2">
        <v>4.5657649999999999</v>
      </c>
      <c r="H1106" s="1" t="s">
        <v>4</v>
      </c>
      <c r="I1106" s="2">
        <v>19.454340999999999</v>
      </c>
      <c r="J1106" s="1" t="s">
        <v>236</v>
      </c>
      <c r="K1106" s="1" t="s">
        <v>3195</v>
      </c>
      <c r="L1106" s="2">
        <v>13643.89</v>
      </c>
      <c r="M1106">
        <f t="shared" si="51"/>
        <v>62294.795425849996</v>
      </c>
      <c r="N1106">
        <f t="shared" si="52"/>
        <v>8361.7175068255019</v>
      </c>
      <c r="O1106" t="str">
        <f t="shared" si="53"/>
        <v>FJERN</v>
      </c>
      <c r="P1106" s="1"/>
    </row>
    <row r="1107" spans="1:16" ht="15" customHeight="1" x14ac:dyDescent="0.2">
      <c r="A1107" s="1" t="s">
        <v>3196</v>
      </c>
      <c r="B1107" s="1" t="s">
        <v>3197</v>
      </c>
      <c r="C1107" s="1" t="s">
        <v>9</v>
      </c>
      <c r="D1107" s="1" t="s">
        <v>3</v>
      </c>
      <c r="E1107" s="5">
        <v>42930</v>
      </c>
      <c r="F1107" s="5">
        <v>45345</v>
      </c>
      <c r="G1107" s="2">
        <v>1.197479</v>
      </c>
      <c r="H1107" s="1" t="s">
        <v>10</v>
      </c>
      <c r="I1107" s="2"/>
      <c r="J1107" s="1" t="s">
        <v>391</v>
      </c>
      <c r="K1107" s="1" t="s">
        <v>3198</v>
      </c>
      <c r="L1107" s="2">
        <v>150266.79999999999</v>
      </c>
      <c r="M1107">
        <f t="shared" si="51"/>
        <v>179941.33739719997</v>
      </c>
      <c r="N1107">
        <f t="shared" si="52"/>
        <v>15924.012159044243</v>
      </c>
      <c r="O1107" t="str">
        <f t="shared" si="53"/>
        <v>FJERN</v>
      </c>
      <c r="P1107" s="1" t="s">
        <v>6120</v>
      </c>
    </row>
    <row r="1108" spans="1:16" ht="15" customHeight="1" x14ac:dyDescent="0.2">
      <c r="A1108" s="1" t="s">
        <v>3199</v>
      </c>
      <c r="B1108" s="1" t="s">
        <v>3200</v>
      </c>
      <c r="C1108" s="1" t="s">
        <v>9</v>
      </c>
      <c r="D1108" s="1" t="s">
        <v>3</v>
      </c>
      <c r="E1108" s="5">
        <v>42913</v>
      </c>
      <c r="F1108" s="5">
        <v>46155</v>
      </c>
      <c r="G1108" s="2">
        <v>10.529070000000001</v>
      </c>
      <c r="H1108" s="1" t="s">
        <v>10</v>
      </c>
      <c r="I1108" s="2">
        <v>251.10024749999999</v>
      </c>
      <c r="J1108" s="1" t="s">
        <v>5</v>
      </c>
      <c r="K1108" s="1" t="s">
        <v>3201</v>
      </c>
      <c r="L1108" s="2">
        <v>26546.61</v>
      </c>
      <c r="M1108">
        <f t="shared" si="51"/>
        <v>279511.11495270004</v>
      </c>
      <c r="N1108">
        <f t="shared" si="52"/>
        <v>24735.496898469028</v>
      </c>
      <c r="O1108" t="str">
        <f t="shared" si="53"/>
        <v>FJERN</v>
      </c>
      <c r="P1108" s="1" t="s">
        <v>6121</v>
      </c>
    </row>
    <row r="1109" spans="1:16" ht="15" customHeight="1" x14ac:dyDescent="0.2">
      <c r="A1109" s="1" t="s">
        <v>3202</v>
      </c>
      <c r="B1109" s="1" t="s">
        <v>3203</v>
      </c>
      <c r="C1109" s="1" t="s">
        <v>9</v>
      </c>
      <c r="D1109" s="1" t="s">
        <v>3</v>
      </c>
      <c r="E1109" s="5">
        <v>43027</v>
      </c>
      <c r="F1109" s="5">
        <v>44176</v>
      </c>
      <c r="G1109" s="2">
        <v>18.189599999999999</v>
      </c>
      <c r="H1109" s="1" t="s">
        <v>10</v>
      </c>
      <c r="I1109" s="2"/>
      <c r="J1109" s="1" t="s">
        <v>167</v>
      </c>
      <c r="K1109" s="1" t="s">
        <v>3204</v>
      </c>
      <c r="L1109" s="2">
        <v>273346.3</v>
      </c>
      <c r="M1109">
        <f t="shared" si="51"/>
        <v>4972059.858479999</v>
      </c>
      <c r="N1109">
        <f t="shared" si="52"/>
        <v>440005.29721061938</v>
      </c>
      <c r="O1109" t="str">
        <f t="shared" si="53"/>
        <v>BEHOLD</v>
      </c>
      <c r="P1109" s="1" t="s">
        <v>6122</v>
      </c>
    </row>
    <row r="1110" spans="1:16" ht="15" customHeight="1" x14ac:dyDescent="0.2">
      <c r="A1110" s="1" t="s">
        <v>3205</v>
      </c>
      <c r="B1110" s="1" t="s">
        <v>3206</v>
      </c>
      <c r="C1110" s="1" t="s">
        <v>9</v>
      </c>
      <c r="D1110" s="1" t="s">
        <v>3</v>
      </c>
      <c r="E1110" s="5">
        <v>43432</v>
      </c>
      <c r="F1110" s="5">
        <v>46155</v>
      </c>
      <c r="G1110" s="2">
        <v>1.099696</v>
      </c>
      <c r="H1110" s="1" t="s">
        <v>10</v>
      </c>
      <c r="I1110" s="2">
        <v>9.7025626278000008</v>
      </c>
      <c r="J1110" s="1" t="s">
        <v>34</v>
      </c>
      <c r="K1110" s="1" t="s">
        <v>3207</v>
      </c>
      <c r="L1110" s="2">
        <v>2887242</v>
      </c>
      <c r="M1110">
        <f t="shared" si="51"/>
        <v>3175088.4784320001</v>
      </c>
      <c r="N1110">
        <f t="shared" si="52"/>
        <v>280981.28127716813</v>
      </c>
      <c r="O1110" t="str">
        <f t="shared" si="53"/>
        <v>BEHOLD</v>
      </c>
      <c r="P1110" s="1" t="s">
        <v>6123</v>
      </c>
    </row>
    <row r="1111" spans="1:16" ht="15" customHeight="1" x14ac:dyDescent="0.2">
      <c r="A1111" s="1" t="s">
        <v>3208</v>
      </c>
      <c r="B1111" s="1" t="s">
        <v>3209</v>
      </c>
      <c r="C1111" s="1" t="s">
        <v>9</v>
      </c>
      <c r="D1111" s="1" t="s">
        <v>3</v>
      </c>
      <c r="E1111" s="5">
        <v>41652</v>
      </c>
      <c r="F1111" s="5">
        <v>46155</v>
      </c>
      <c r="G1111" s="2">
        <v>8.0431179999999998</v>
      </c>
      <c r="H1111" s="1" t="s">
        <v>10</v>
      </c>
      <c r="I1111" s="2">
        <v>726.53056488000004</v>
      </c>
      <c r="J1111" s="1" t="s">
        <v>236</v>
      </c>
      <c r="K1111" s="1" t="s">
        <v>3210</v>
      </c>
      <c r="L1111" s="2">
        <v>187625.3</v>
      </c>
      <c r="M1111">
        <f t="shared" si="51"/>
        <v>1509092.4276853998</v>
      </c>
      <c r="N1111">
        <f t="shared" si="52"/>
        <v>133548.00245003536</v>
      </c>
      <c r="O1111" t="str">
        <f t="shared" si="53"/>
        <v>BEHOLD</v>
      </c>
      <c r="P1111" s="1" t="s">
        <v>6124</v>
      </c>
    </row>
    <row r="1112" spans="1:16" ht="15" customHeight="1" x14ac:dyDescent="0.2">
      <c r="A1112" s="1" t="s">
        <v>3211</v>
      </c>
      <c r="B1112" s="1" t="s">
        <v>3212</v>
      </c>
      <c r="C1112" s="1" t="s">
        <v>9</v>
      </c>
      <c r="D1112" s="1" t="s">
        <v>3</v>
      </c>
      <c r="E1112" s="5">
        <v>43014</v>
      </c>
      <c r="F1112" s="5">
        <v>46155</v>
      </c>
      <c r="G1112" s="2">
        <v>63.989460000000001</v>
      </c>
      <c r="H1112" s="1" t="s">
        <v>10</v>
      </c>
      <c r="I1112" s="2">
        <v>398.2745104</v>
      </c>
      <c r="J1112" s="1" t="s">
        <v>11</v>
      </c>
      <c r="K1112" s="1" t="s">
        <v>3213</v>
      </c>
      <c r="L1112" s="2">
        <v>31112.61</v>
      </c>
      <c r="M1112">
        <f t="shared" si="51"/>
        <v>1990879.1130906001</v>
      </c>
      <c r="N1112">
        <f t="shared" si="52"/>
        <v>176183.99230890264</v>
      </c>
      <c r="O1112" t="str">
        <f t="shared" si="53"/>
        <v>BEHOLD</v>
      </c>
      <c r="P1112" s="1" t="s">
        <v>6125</v>
      </c>
    </row>
    <row r="1113" spans="1:16" ht="15" customHeight="1" x14ac:dyDescent="0.2">
      <c r="A1113" s="1" t="s">
        <v>3214</v>
      </c>
      <c r="B1113" s="1" t="s">
        <v>3215</v>
      </c>
      <c r="C1113" s="1" t="s">
        <v>9</v>
      </c>
      <c r="D1113" s="1" t="s">
        <v>3</v>
      </c>
      <c r="E1113" s="5">
        <v>43077</v>
      </c>
      <c r="F1113" s="5">
        <v>46155</v>
      </c>
      <c r="G1113" s="2">
        <v>18.000800000000002</v>
      </c>
      <c r="H1113" s="1" t="s">
        <v>10</v>
      </c>
      <c r="I1113" s="2">
        <v>388.14666645</v>
      </c>
      <c r="J1113" s="1" t="s">
        <v>236</v>
      </c>
      <c r="K1113" s="1" t="s">
        <v>3216</v>
      </c>
      <c r="L1113" s="2">
        <v>45416.01</v>
      </c>
      <c r="M1113">
        <f t="shared" si="51"/>
        <v>817524.51280800009</v>
      </c>
      <c r="N1113">
        <f t="shared" si="52"/>
        <v>72347.302018407077</v>
      </c>
      <c r="O1113" t="str">
        <f t="shared" si="53"/>
        <v>FJERN</v>
      </c>
      <c r="P1113" s="1" t="s">
        <v>6126</v>
      </c>
    </row>
    <row r="1114" spans="1:16" ht="15" customHeight="1" x14ac:dyDescent="0.2">
      <c r="A1114" s="1" t="s">
        <v>3217</v>
      </c>
      <c r="B1114" s="1" t="s">
        <v>3218</v>
      </c>
      <c r="C1114" s="1" t="s">
        <v>9</v>
      </c>
      <c r="D1114" s="1" t="s">
        <v>3</v>
      </c>
      <c r="E1114" s="5">
        <v>43035</v>
      </c>
      <c r="F1114" s="5">
        <v>46155</v>
      </c>
      <c r="G1114" s="2">
        <v>113.63930000000001</v>
      </c>
      <c r="H1114" s="1" t="s">
        <v>10</v>
      </c>
      <c r="I1114" s="2">
        <v>635.56198034489398</v>
      </c>
      <c r="J1114" s="1" t="s">
        <v>11</v>
      </c>
      <c r="K1114" s="1" t="s">
        <v>3219</v>
      </c>
      <c r="L1114" s="2">
        <v>41801.29</v>
      </c>
      <c r="M1114">
        <f t="shared" si="51"/>
        <v>4750269.3346970007</v>
      </c>
      <c r="N1114">
        <f t="shared" si="52"/>
        <v>420377.81722982303</v>
      </c>
      <c r="O1114" t="str">
        <f t="shared" si="53"/>
        <v>BEHOLD</v>
      </c>
      <c r="P1114" s="1" t="s">
        <v>6127</v>
      </c>
    </row>
    <row r="1115" spans="1:16" ht="15" customHeight="1" x14ac:dyDescent="0.2">
      <c r="A1115" s="1" t="s">
        <v>3220</v>
      </c>
      <c r="B1115" s="1" t="s">
        <v>3221</v>
      </c>
      <c r="C1115" s="1" t="s">
        <v>9</v>
      </c>
      <c r="D1115" s="1" t="s">
        <v>3</v>
      </c>
      <c r="E1115" s="5">
        <v>43082</v>
      </c>
      <c r="F1115" s="5">
        <v>44813</v>
      </c>
      <c r="G1115" s="2">
        <v>74.107050000000001</v>
      </c>
      <c r="H1115" s="1" t="s">
        <v>10</v>
      </c>
      <c r="I1115" s="2">
        <v>1037.0376492</v>
      </c>
      <c r="J1115" s="1" t="s">
        <v>2390</v>
      </c>
      <c r="K1115" s="1" t="s">
        <v>3222</v>
      </c>
      <c r="L1115" s="2">
        <v>3811.3679999999999</v>
      </c>
      <c r="M1115">
        <f t="shared" si="51"/>
        <v>282449.23894439999</v>
      </c>
      <c r="N1115">
        <f t="shared" si="52"/>
        <v>24995.507871185837</v>
      </c>
      <c r="O1115" t="str">
        <f t="shared" si="53"/>
        <v>FJERN</v>
      </c>
      <c r="P1115" s="1" t="s">
        <v>6128</v>
      </c>
    </row>
    <row r="1116" spans="1:16" ht="15" customHeight="1" x14ac:dyDescent="0.2">
      <c r="A1116" s="1" t="s">
        <v>3223</v>
      </c>
      <c r="B1116" s="1" t="s">
        <v>3224</v>
      </c>
      <c r="C1116" s="1" t="s">
        <v>9</v>
      </c>
      <c r="D1116" s="1" t="s">
        <v>3</v>
      </c>
      <c r="E1116" s="5">
        <v>43427</v>
      </c>
      <c r="F1116" s="5">
        <v>46155</v>
      </c>
      <c r="G1116" s="2">
        <v>86.304829999999995</v>
      </c>
      <c r="H1116" s="1" t="s">
        <v>10</v>
      </c>
      <c r="I1116" s="2">
        <v>15462.296306800001</v>
      </c>
      <c r="J1116" s="1" t="s">
        <v>61</v>
      </c>
      <c r="K1116" s="1" t="s">
        <v>3225</v>
      </c>
      <c r="L1116" s="2">
        <v>384673.5</v>
      </c>
      <c r="M1116">
        <f t="shared" si="51"/>
        <v>33199181.023004998</v>
      </c>
      <c r="N1116">
        <f t="shared" si="52"/>
        <v>2937980.621504867</v>
      </c>
      <c r="O1116" t="str">
        <f t="shared" si="53"/>
        <v>BEHOLD</v>
      </c>
      <c r="P1116" s="1" t="s">
        <v>6129</v>
      </c>
    </row>
    <row r="1117" spans="1:16" ht="15" customHeight="1" x14ac:dyDescent="0.2">
      <c r="A1117" s="1" t="s">
        <v>3226</v>
      </c>
      <c r="B1117" s="1" t="s">
        <v>3227</v>
      </c>
      <c r="C1117" s="1" t="s">
        <v>9</v>
      </c>
      <c r="D1117" s="1" t="s">
        <v>3</v>
      </c>
      <c r="E1117" s="5">
        <v>43080</v>
      </c>
      <c r="F1117" s="5">
        <v>46155</v>
      </c>
      <c r="G1117" s="2">
        <v>19.245840000000001</v>
      </c>
      <c r="H1117" s="1" t="s">
        <v>10</v>
      </c>
      <c r="I1117" s="2">
        <v>965.20422240000005</v>
      </c>
      <c r="J1117" s="1" t="s">
        <v>115</v>
      </c>
      <c r="K1117" s="1" t="s">
        <v>3228</v>
      </c>
      <c r="L1117" s="2">
        <v>132771.1</v>
      </c>
      <c r="M1117">
        <f t="shared" si="51"/>
        <v>2555291.3472240004</v>
      </c>
      <c r="N1117">
        <f t="shared" si="52"/>
        <v>226131.9776304425</v>
      </c>
      <c r="O1117" t="str">
        <f t="shared" si="53"/>
        <v>BEHOLD</v>
      </c>
      <c r="P1117" s="1" t="s">
        <v>6130</v>
      </c>
    </row>
    <row r="1118" spans="1:16" ht="15" customHeight="1" x14ac:dyDescent="0.2">
      <c r="A1118" s="1" t="s">
        <v>3229</v>
      </c>
      <c r="B1118" s="1" t="s">
        <v>3230</v>
      </c>
      <c r="C1118" s="1" t="s">
        <v>9</v>
      </c>
      <c r="D1118" s="1" t="s">
        <v>3</v>
      </c>
      <c r="E1118" s="5">
        <v>43081</v>
      </c>
      <c r="F1118" s="5">
        <v>46155</v>
      </c>
      <c r="G1118" s="2">
        <v>150.666</v>
      </c>
      <c r="H1118" s="1" t="s">
        <v>10</v>
      </c>
      <c r="I1118" s="2">
        <v>2137.2778283001198</v>
      </c>
      <c r="J1118" s="1" t="s">
        <v>222</v>
      </c>
      <c r="K1118" s="1" t="s">
        <v>3231</v>
      </c>
      <c r="L1118" s="2">
        <v>11675.78</v>
      </c>
      <c r="M1118">
        <f t="shared" si="51"/>
        <v>1759143.0694800001</v>
      </c>
      <c r="N1118">
        <f t="shared" si="52"/>
        <v>155676.37783008849</v>
      </c>
      <c r="O1118" t="str">
        <f t="shared" si="53"/>
        <v>BEHOLD</v>
      </c>
      <c r="P1118" s="1" t="s">
        <v>6131</v>
      </c>
    </row>
    <row r="1119" spans="1:16" ht="15" customHeight="1" x14ac:dyDescent="0.2">
      <c r="A1119" s="1" t="s">
        <v>3232</v>
      </c>
      <c r="B1119" s="1" t="s">
        <v>3233</v>
      </c>
      <c r="C1119" s="1" t="s">
        <v>9</v>
      </c>
      <c r="D1119" s="1" t="s">
        <v>3</v>
      </c>
      <c r="E1119" s="5">
        <v>43082</v>
      </c>
      <c r="F1119" s="5">
        <v>46155</v>
      </c>
      <c r="G1119" s="2">
        <v>27.243099999999998</v>
      </c>
      <c r="H1119" s="1" t="s">
        <v>10</v>
      </c>
      <c r="I1119" s="2">
        <v>1199.69174204</v>
      </c>
      <c r="J1119" s="1" t="s">
        <v>236</v>
      </c>
      <c r="K1119" s="1" t="s">
        <v>3234</v>
      </c>
      <c r="L1119" s="2">
        <v>241226.2</v>
      </c>
      <c r="M1119">
        <f t="shared" si="51"/>
        <v>6571749.4892199999</v>
      </c>
      <c r="N1119">
        <f t="shared" si="52"/>
        <v>581570.75125840702</v>
      </c>
      <c r="O1119" t="str">
        <f t="shared" si="53"/>
        <v>BEHOLD</v>
      </c>
      <c r="P1119" s="1" t="s">
        <v>6132</v>
      </c>
    </row>
    <row r="1120" spans="1:16" ht="15" customHeight="1" x14ac:dyDescent="0.2">
      <c r="A1120" s="1" t="s">
        <v>3235</v>
      </c>
      <c r="B1120" s="1" t="s">
        <v>3236</v>
      </c>
      <c r="C1120" s="1" t="s">
        <v>9</v>
      </c>
      <c r="D1120" s="1" t="s">
        <v>3</v>
      </c>
      <c r="E1120" s="5">
        <v>33834</v>
      </c>
      <c r="F1120" s="5">
        <v>46155</v>
      </c>
      <c r="G1120" s="2">
        <v>75.643270000000001</v>
      </c>
      <c r="H1120" s="1" t="s">
        <v>10</v>
      </c>
      <c r="I1120" s="2">
        <v>25968.339274800001</v>
      </c>
      <c r="J1120" s="1" t="s">
        <v>61</v>
      </c>
      <c r="K1120" s="1" t="s">
        <v>3237</v>
      </c>
      <c r="L1120" s="2">
        <v>849458.1</v>
      </c>
      <c r="M1120">
        <f t="shared" si="51"/>
        <v>64255788.411986999</v>
      </c>
      <c r="N1120">
        <f t="shared" si="52"/>
        <v>5686352.9568130085</v>
      </c>
      <c r="O1120" t="str">
        <f t="shared" si="53"/>
        <v>BEHOLD</v>
      </c>
      <c r="P1120" s="1" t="s">
        <v>6133</v>
      </c>
    </row>
    <row r="1121" spans="1:16" ht="15" customHeight="1" x14ac:dyDescent="0.2">
      <c r="A1121" s="1" t="s">
        <v>3238</v>
      </c>
      <c r="B1121" s="1" t="s">
        <v>3239</v>
      </c>
      <c r="C1121" s="1" t="s">
        <v>2</v>
      </c>
      <c r="D1121" s="1" t="s">
        <v>3</v>
      </c>
      <c r="E1121" s="5">
        <v>43063</v>
      </c>
      <c r="F1121" s="5">
        <v>46155</v>
      </c>
      <c r="G1121" s="2">
        <v>95.944810000000004</v>
      </c>
      <c r="H1121" s="1" t="s">
        <v>4</v>
      </c>
      <c r="I1121" s="2">
        <v>702.55838800000004</v>
      </c>
      <c r="J1121" s="1" t="s">
        <v>176</v>
      </c>
      <c r="K1121" s="1" t="s">
        <v>3240</v>
      </c>
      <c r="L1121" s="2">
        <v>14344.4</v>
      </c>
      <c r="M1121">
        <f t="shared" si="51"/>
        <v>1376270.7325639999</v>
      </c>
      <c r="N1121">
        <f t="shared" si="52"/>
        <v>184734.3265186577</v>
      </c>
      <c r="O1121" t="str">
        <f t="shared" si="53"/>
        <v>BEHOLD</v>
      </c>
      <c r="P1121" s="1" t="s">
        <v>6134</v>
      </c>
    </row>
    <row r="1122" spans="1:16" ht="15" customHeight="1" x14ac:dyDescent="0.2">
      <c r="A1122" s="1" t="s">
        <v>3241</v>
      </c>
      <c r="B1122" s="1" t="s">
        <v>3242</v>
      </c>
      <c r="C1122" s="1" t="s">
        <v>9</v>
      </c>
      <c r="D1122" s="1" t="s">
        <v>3</v>
      </c>
      <c r="E1122" s="5">
        <v>43061</v>
      </c>
      <c r="F1122" s="5">
        <v>45233</v>
      </c>
      <c r="G1122" s="2">
        <v>4.3800420000000004</v>
      </c>
      <c r="H1122" s="1" t="s">
        <v>10</v>
      </c>
      <c r="I1122" s="2"/>
      <c r="J1122" s="1" t="s">
        <v>34</v>
      </c>
      <c r="K1122" s="1" t="s">
        <v>3243</v>
      </c>
      <c r="L1122" s="2">
        <v>1508940</v>
      </c>
      <c r="M1122">
        <f t="shared" si="51"/>
        <v>6609220.575480001</v>
      </c>
      <c r="N1122">
        <f t="shared" si="52"/>
        <v>584886.77659115056</v>
      </c>
      <c r="O1122" t="str">
        <f t="shared" si="53"/>
        <v>BEHOLD</v>
      </c>
      <c r="P1122" s="1" t="s">
        <v>6135</v>
      </c>
    </row>
    <row r="1123" spans="1:16" ht="15" customHeight="1" x14ac:dyDescent="0.2">
      <c r="A1123" s="1" t="s">
        <v>3244</v>
      </c>
      <c r="B1123" s="1" t="s">
        <v>3245</v>
      </c>
      <c r="C1123" s="1" t="s">
        <v>9</v>
      </c>
      <c r="D1123" s="1" t="s">
        <v>3</v>
      </c>
      <c r="E1123" s="5">
        <v>41570</v>
      </c>
      <c r="F1123" s="5">
        <v>46155</v>
      </c>
      <c r="G1123" s="2">
        <v>11.24099</v>
      </c>
      <c r="H1123" s="1" t="s">
        <v>10</v>
      </c>
      <c r="I1123" s="2"/>
      <c r="J1123" s="1" t="s">
        <v>236</v>
      </c>
      <c r="K1123" s="1" t="s">
        <v>3246</v>
      </c>
      <c r="L1123" s="2">
        <v>139706.79999999999</v>
      </c>
      <c r="M1123">
        <f t="shared" si="51"/>
        <v>1570442.7417319999</v>
      </c>
      <c r="N1123">
        <f t="shared" si="52"/>
        <v>138977.23378159289</v>
      </c>
      <c r="O1123" t="str">
        <f t="shared" si="53"/>
        <v>BEHOLD</v>
      </c>
      <c r="P1123" s="1" t="s">
        <v>6136</v>
      </c>
    </row>
    <row r="1124" spans="1:16" ht="15" customHeight="1" x14ac:dyDescent="0.2">
      <c r="A1124" s="1" t="s">
        <v>3247</v>
      </c>
      <c r="B1124" s="1" t="s">
        <v>3248</v>
      </c>
      <c r="C1124" s="1" t="s">
        <v>2</v>
      </c>
      <c r="D1124" s="1" t="s">
        <v>3</v>
      </c>
      <c r="E1124" s="5">
        <v>43181</v>
      </c>
      <c r="F1124" s="5">
        <v>46154</v>
      </c>
      <c r="G1124" s="2">
        <v>20.58896</v>
      </c>
      <c r="H1124" s="1" t="s">
        <v>4</v>
      </c>
      <c r="I1124" s="2">
        <v>78.629002499999999</v>
      </c>
      <c r="J1124" s="1" t="s">
        <v>236</v>
      </c>
      <c r="K1124" s="1" t="s">
        <v>3249</v>
      </c>
      <c r="L1124" s="2">
        <v>4215.0079999999998</v>
      </c>
      <c r="M1124">
        <f t="shared" si="51"/>
        <v>86782.631111679992</v>
      </c>
      <c r="N1124">
        <f t="shared" si="52"/>
        <v>11648.675317004025</v>
      </c>
      <c r="O1124" t="str">
        <f t="shared" si="53"/>
        <v>FJERN</v>
      </c>
      <c r="P1124" s="1"/>
    </row>
    <row r="1125" spans="1:16" ht="15" customHeight="1" x14ac:dyDescent="0.2">
      <c r="A1125" s="1" t="s">
        <v>3250</v>
      </c>
      <c r="B1125" s="1" t="s">
        <v>3251</v>
      </c>
      <c r="C1125" s="1" t="s">
        <v>9</v>
      </c>
      <c r="D1125" s="1" t="s">
        <v>3</v>
      </c>
      <c r="E1125" s="5">
        <v>43154</v>
      </c>
      <c r="F1125" s="5">
        <v>44491</v>
      </c>
      <c r="G1125" s="2">
        <v>8.2053429999999992</v>
      </c>
      <c r="H1125" s="1" t="s">
        <v>10</v>
      </c>
      <c r="I1125" s="2"/>
      <c r="J1125" s="1" t="s">
        <v>64</v>
      </c>
      <c r="K1125" s="1" t="s">
        <v>3252</v>
      </c>
      <c r="L1125" s="2">
        <v>18788.14</v>
      </c>
      <c r="M1125">
        <f t="shared" si="51"/>
        <v>154163.13303201998</v>
      </c>
      <c r="N1125">
        <f t="shared" si="52"/>
        <v>13642.755135576988</v>
      </c>
      <c r="O1125" t="str">
        <f t="shared" si="53"/>
        <v>FJERN</v>
      </c>
      <c r="P1125" s="1" t="s">
        <v>6137</v>
      </c>
    </row>
    <row r="1126" spans="1:16" ht="15" customHeight="1" x14ac:dyDescent="0.2">
      <c r="A1126" s="1" t="s">
        <v>3253</v>
      </c>
      <c r="B1126" s="1" t="s">
        <v>3254</v>
      </c>
      <c r="C1126" s="1" t="s">
        <v>9</v>
      </c>
      <c r="D1126" s="1" t="s">
        <v>3</v>
      </c>
      <c r="E1126" s="5">
        <v>43210</v>
      </c>
      <c r="F1126" s="5">
        <v>46155</v>
      </c>
      <c r="G1126" s="2">
        <v>20.304120000000001</v>
      </c>
      <c r="H1126" s="1" t="s">
        <v>10</v>
      </c>
      <c r="I1126" s="2">
        <v>425.76697799999999</v>
      </c>
      <c r="J1126" s="1" t="s">
        <v>11</v>
      </c>
      <c r="K1126" s="1" t="s">
        <v>3255</v>
      </c>
      <c r="L1126" s="2">
        <v>18486.86</v>
      </c>
      <c r="M1126">
        <f t="shared" si="51"/>
        <v>375359.42386320001</v>
      </c>
      <c r="N1126">
        <f t="shared" si="52"/>
        <v>33217.648129486726</v>
      </c>
      <c r="O1126" t="str">
        <f t="shared" si="53"/>
        <v>FJERN</v>
      </c>
      <c r="P1126" s="1" t="s">
        <v>6138</v>
      </c>
    </row>
    <row r="1127" spans="1:16" ht="15" customHeight="1" x14ac:dyDescent="0.2">
      <c r="A1127" s="1" t="s">
        <v>3256</v>
      </c>
      <c r="B1127" s="1" t="s">
        <v>3257</v>
      </c>
      <c r="C1127" s="1" t="s">
        <v>9</v>
      </c>
      <c r="D1127" s="1" t="s">
        <v>3</v>
      </c>
      <c r="E1127" s="5">
        <v>39218</v>
      </c>
      <c r="F1127" s="5">
        <v>46155</v>
      </c>
      <c r="G1127" s="2">
        <v>101.5119</v>
      </c>
      <c r="H1127" s="1" t="s">
        <v>10</v>
      </c>
      <c r="I1127" s="2">
        <v>5955.0615255238899</v>
      </c>
      <c r="J1127" s="1" t="s">
        <v>23</v>
      </c>
      <c r="K1127" s="1" t="s">
        <v>3258</v>
      </c>
      <c r="L1127" s="2">
        <v>13546.54</v>
      </c>
      <c r="M1127">
        <f t="shared" si="51"/>
        <v>1375135.013826</v>
      </c>
      <c r="N1127">
        <f t="shared" si="52"/>
        <v>121693.36405539823</v>
      </c>
      <c r="O1127" t="str">
        <f t="shared" si="53"/>
        <v>BEHOLD</v>
      </c>
      <c r="P1127" s="1" t="s">
        <v>6139</v>
      </c>
    </row>
    <row r="1128" spans="1:16" ht="15" customHeight="1" x14ac:dyDescent="0.2">
      <c r="A1128" s="1" t="s">
        <v>3259</v>
      </c>
      <c r="B1128" s="1" t="s">
        <v>3260</v>
      </c>
      <c r="C1128" s="1" t="s">
        <v>9</v>
      </c>
      <c r="D1128" s="1" t="s">
        <v>3</v>
      </c>
      <c r="E1128" s="5">
        <v>43280</v>
      </c>
      <c r="F1128" s="5">
        <v>46155</v>
      </c>
      <c r="G1128" s="2">
        <v>13.999969999999999</v>
      </c>
      <c r="H1128" s="1" t="s">
        <v>10</v>
      </c>
      <c r="I1128" s="2">
        <v>197.70180483671001</v>
      </c>
      <c r="J1128" s="1" t="s">
        <v>236</v>
      </c>
      <c r="K1128" s="1" t="s">
        <v>3261</v>
      </c>
      <c r="L1128" s="2">
        <v>98232.19</v>
      </c>
      <c r="M1128">
        <f t="shared" si="51"/>
        <v>1375247.7130342999</v>
      </c>
      <c r="N1128">
        <f t="shared" si="52"/>
        <v>121703.3374366637</v>
      </c>
      <c r="O1128" t="str">
        <f t="shared" si="53"/>
        <v>BEHOLD</v>
      </c>
      <c r="P1128" s="1" t="s">
        <v>6140</v>
      </c>
    </row>
    <row r="1129" spans="1:16" ht="15" customHeight="1" x14ac:dyDescent="0.2">
      <c r="A1129" s="1" t="s">
        <v>3262</v>
      </c>
      <c r="B1129" s="1" t="s">
        <v>3263</v>
      </c>
      <c r="C1129" s="1" t="s">
        <v>2</v>
      </c>
      <c r="D1129" s="1" t="s">
        <v>3</v>
      </c>
      <c r="E1129" s="5">
        <v>43258</v>
      </c>
      <c r="F1129" s="5">
        <v>46155</v>
      </c>
      <c r="G1129" s="2">
        <v>360.87049999999999</v>
      </c>
      <c r="H1129" s="1" t="s">
        <v>4</v>
      </c>
      <c r="I1129" s="2">
        <v>16388.01743</v>
      </c>
      <c r="J1129" s="1" t="s">
        <v>289</v>
      </c>
      <c r="K1129" s="1" t="s">
        <v>3264</v>
      </c>
      <c r="L1129" s="2">
        <v>131606.20000000001</v>
      </c>
      <c r="M1129">
        <f t="shared" si="51"/>
        <v>47492795.197100006</v>
      </c>
      <c r="N1129">
        <f t="shared" si="52"/>
        <v>6374871.8385369135</v>
      </c>
      <c r="O1129" t="str">
        <f t="shared" si="53"/>
        <v>BEHOLD</v>
      </c>
      <c r="P1129" s="1" t="s">
        <v>6141</v>
      </c>
    </row>
    <row r="1130" spans="1:16" ht="15" customHeight="1" x14ac:dyDescent="0.2">
      <c r="A1130" s="1" t="s">
        <v>3265</v>
      </c>
      <c r="B1130" s="1" t="s">
        <v>3266</v>
      </c>
      <c r="C1130" s="1" t="s">
        <v>9</v>
      </c>
      <c r="D1130" s="1" t="s">
        <v>3</v>
      </c>
      <c r="E1130" s="5">
        <v>43248</v>
      </c>
      <c r="F1130" s="5">
        <v>46155</v>
      </c>
      <c r="G1130" s="2">
        <v>59.383749999999999</v>
      </c>
      <c r="H1130" s="1" t="s">
        <v>10</v>
      </c>
      <c r="I1130" s="2">
        <v>626.28395939999996</v>
      </c>
      <c r="J1130" s="1" t="s">
        <v>51</v>
      </c>
      <c r="K1130" s="1" t="s">
        <v>3267</v>
      </c>
      <c r="L1130" s="2">
        <v>20601.62</v>
      </c>
      <c r="M1130">
        <f t="shared" si="51"/>
        <v>1223401.4516749999</v>
      </c>
      <c r="N1130">
        <f t="shared" si="52"/>
        <v>108265.61519247787</v>
      </c>
      <c r="O1130" t="str">
        <f t="shared" si="53"/>
        <v>BEHOLD</v>
      </c>
      <c r="P1130" s="1" t="s">
        <v>6142</v>
      </c>
    </row>
    <row r="1131" spans="1:16" ht="15" customHeight="1" x14ac:dyDescent="0.2">
      <c r="A1131" s="1" t="s">
        <v>3268</v>
      </c>
      <c r="B1131" s="1" t="s">
        <v>3269</v>
      </c>
      <c r="C1131" s="1" t="s">
        <v>9</v>
      </c>
      <c r="D1131" s="1" t="s">
        <v>3</v>
      </c>
      <c r="E1131" s="5">
        <v>41453</v>
      </c>
      <c r="F1131" s="5">
        <v>43511</v>
      </c>
      <c r="G1131" s="2">
        <v>39.319989999999997</v>
      </c>
      <c r="H1131" s="1" t="s">
        <v>10</v>
      </c>
      <c r="I1131" s="2"/>
      <c r="J1131" s="1" t="s">
        <v>167</v>
      </c>
      <c r="K1131" s="1" t="s">
        <v>3270</v>
      </c>
      <c r="L1131" s="2">
        <v>116155.4</v>
      </c>
      <c r="M1131">
        <f t="shared" si="51"/>
        <v>4567229.1664459994</v>
      </c>
      <c r="N1131">
        <f t="shared" si="52"/>
        <v>404179.57225185831</v>
      </c>
      <c r="O1131" t="str">
        <f t="shared" si="53"/>
        <v>BEHOLD</v>
      </c>
      <c r="P1131" s="1" t="s">
        <v>6143</v>
      </c>
    </row>
    <row r="1132" spans="1:16" ht="15" customHeight="1" x14ac:dyDescent="0.2">
      <c r="A1132" s="1" t="s">
        <v>3271</v>
      </c>
      <c r="B1132" s="1" t="s">
        <v>3272</v>
      </c>
      <c r="C1132" s="1" t="s">
        <v>2</v>
      </c>
      <c r="D1132" s="1" t="s">
        <v>3</v>
      </c>
      <c r="E1132" s="5">
        <v>43277</v>
      </c>
      <c r="F1132" s="5">
        <v>46155</v>
      </c>
      <c r="G1132" s="2">
        <v>43.407400000000003</v>
      </c>
      <c r="H1132" s="1" t="s">
        <v>4</v>
      </c>
      <c r="I1132" s="2">
        <v>124.84143395</v>
      </c>
      <c r="J1132" s="1" t="s">
        <v>34</v>
      </c>
      <c r="K1132" s="1" t="s">
        <v>3273</v>
      </c>
      <c r="L1132" s="2">
        <v>4808.1319999999996</v>
      </c>
      <c r="M1132">
        <f t="shared" si="51"/>
        <v>208708.50897679999</v>
      </c>
      <c r="N1132">
        <f t="shared" si="52"/>
        <v>28014.564963328856</v>
      </c>
      <c r="O1132" t="str">
        <f t="shared" si="53"/>
        <v>FJERN</v>
      </c>
      <c r="P1132" s="1" t="s">
        <v>6144</v>
      </c>
    </row>
    <row r="1133" spans="1:16" ht="15" customHeight="1" x14ac:dyDescent="0.2">
      <c r="A1133" s="1" t="s">
        <v>3274</v>
      </c>
      <c r="B1133" s="1" t="s">
        <v>3275</v>
      </c>
      <c r="C1133" s="1" t="s">
        <v>9</v>
      </c>
      <c r="D1133" s="1" t="s">
        <v>3</v>
      </c>
      <c r="E1133" s="5">
        <v>43259</v>
      </c>
      <c r="F1133" s="5">
        <v>46155</v>
      </c>
      <c r="G1133" s="2">
        <v>151.67420000000001</v>
      </c>
      <c r="H1133" s="1" t="s">
        <v>10</v>
      </c>
      <c r="I1133" s="2">
        <v>6739.52973040693</v>
      </c>
      <c r="J1133" s="1" t="s">
        <v>236</v>
      </c>
      <c r="K1133" s="1" t="s">
        <v>3276</v>
      </c>
      <c r="L1133" s="2">
        <v>68013.02</v>
      </c>
      <c r="M1133">
        <f t="shared" si="51"/>
        <v>10315820.398084002</v>
      </c>
      <c r="N1133">
        <f t="shared" si="52"/>
        <v>912904.46000743366</v>
      </c>
      <c r="O1133" t="str">
        <f t="shared" si="53"/>
        <v>BEHOLD</v>
      </c>
      <c r="P1133" s="1" t="s">
        <v>6145</v>
      </c>
    </row>
    <row r="1134" spans="1:16" ht="15" customHeight="1" x14ac:dyDescent="0.2">
      <c r="A1134" s="1" t="s">
        <v>3277</v>
      </c>
      <c r="B1134" s="1" t="s">
        <v>3278</v>
      </c>
      <c r="C1134" s="1" t="s">
        <v>9</v>
      </c>
      <c r="D1134" s="1" t="s">
        <v>3</v>
      </c>
      <c r="E1134" s="5">
        <v>42794</v>
      </c>
      <c r="F1134" s="5">
        <v>46155</v>
      </c>
      <c r="G1134" s="2">
        <v>26.970690000000001</v>
      </c>
      <c r="H1134" s="1" t="s">
        <v>10</v>
      </c>
      <c r="I1134" s="2">
        <v>167.32789940000001</v>
      </c>
      <c r="J1134" s="1" t="s">
        <v>366</v>
      </c>
      <c r="K1134" s="1" t="s">
        <v>3279</v>
      </c>
      <c r="L1134" s="2">
        <v>57631.17</v>
      </c>
      <c r="M1134">
        <f t="shared" si="51"/>
        <v>1554352.4204073001</v>
      </c>
      <c r="N1134">
        <f t="shared" si="52"/>
        <v>137553.31154046903</v>
      </c>
      <c r="O1134" t="str">
        <f t="shared" si="53"/>
        <v>BEHOLD</v>
      </c>
      <c r="P1134" s="1" t="s">
        <v>6146</v>
      </c>
    </row>
    <row r="1135" spans="1:16" ht="15" customHeight="1" x14ac:dyDescent="0.2">
      <c r="A1135" s="1" t="s">
        <v>3280</v>
      </c>
      <c r="B1135" s="1" t="s">
        <v>3281</v>
      </c>
      <c r="C1135" s="1" t="s">
        <v>9</v>
      </c>
      <c r="D1135" s="1" t="s">
        <v>3</v>
      </c>
      <c r="E1135" s="5">
        <v>43270</v>
      </c>
      <c r="F1135" s="5">
        <v>45869</v>
      </c>
      <c r="G1135" s="2">
        <v>18.712389999999999</v>
      </c>
      <c r="H1135" s="1" t="s">
        <v>10</v>
      </c>
      <c r="I1135" s="2">
        <v>205.44253562</v>
      </c>
      <c r="J1135" s="1" t="s">
        <v>11</v>
      </c>
      <c r="K1135" s="1" t="s">
        <v>3282</v>
      </c>
      <c r="L1135" s="2">
        <v>16389.810000000001</v>
      </c>
      <c r="M1135">
        <f t="shared" si="51"/>
        <v>306692.51674590004</v>
      </c>
      <c r="N1135">
        <f t="shared" si="52"/>
        <v>27140.930685477877</v>
      </c>
      <c r="O1135" t="str">
        <f t="shared" si="53"/>
        <v>FJERN</v>
      </c>
      <c r="P1135" s="1" t="s">
        <v>6147</v>
      </c>
    </row>
    <row r="1136" spans="1:16" ht="15" customHeight="1" x14ac:dyDescent="0.2">
      <c r="A1136" s="1" t="s">
        <v>3283</v>
      </c>
      <c r="B1136" s="1" t="s">
        <v>3284</v>
      </c>
      <c r="C1136" s="1" t="s">
        <v>9</v>
      </c>
      <c r="D1136" s="1" t="s">
        <v>3</v>
      </c>
      <c r="E1136" s="5">
        <v>37069</v>
      </c>
      <c r="F1136" s="5">
        <v>46155</v>
      </c>
      <c r="G1136" s="2">
        <v>117.87179999999999</v>
      </c>
      <c r="H1136" s="1" t="s">
        <v>10</v>
      </c>
      <c r="I1136" s="2">
        <v>18552.899214000001</v>
      </c>
      <c r="J1136" s="1" t="s">
        <v>34</v>
      </c>
      <c r="K1136" s="1" t="s">
        <v>3285</v>
      </c>
      <c r="L1136" s="2">
        <v>151842.5</v>
      </c>
      <c r="M1136">
        <f t="shared" si="51"/>
        <v>17897948.791499998</v>
      </c>
      <c r="N1136">
        <f t="shared" si="52"/>
        <v>1583889.2735840706</v>
      </c>
      <c r="O1136" t="str">
        <f t="shared" si="53"/>
        <v>BEHOLD</v>
      </c>
      <c r="P1136" s="1" t="s">
        <v>6148</v>
      </c>
    </row>
    <row r="1137" spans="1:16" ht="15" customHeight="1" x14ac:dyDescent="0.2">
      <c r="A1137" s="1" t="s">
        <v>3286</v>
      </c>
      <c r="B1137" s="1" t="s">
        <v>3287</v>
      </c>
      <c r="C1137" s="1" t="s">
        <v>9</v>
      </c>
      <c r="D1137" s="1"/>
      <c r="E1137" s="5">
        <v>43210</v>
      </c>
      <c r="F1137" s="5">
        <v>43210</v>
      </c>
      <c r="G1137" s="2">
        <v>19</v>
      </c>
      <c r="H1137" s="1" t="s">
        <v>10</v>
      </c>
      <c r="I1137" s="2"/>
      <c r="J1137" s="1"/>
      <c r="K1137" s="1"/>
      <c r="L1137" s="2">
        <v>2160</v>
      </c>
      <c r="M1137">
        <f t="shared" si="51"/>
        <v>41040</v>
      </c>
      <c r="N1137">
        <f t="shared" si="52"/>
        <v>3631.858407079646</v>
      </c>
      <c r="O1137" t="str">
        <f t="shared" si="53"/>
        <v>FJERN</v>
      </c>
      <c r="P1137" s="1"/>
    </row>
    <row r="1138" spans="1:16" ht="15" customHeight="1" x14ac:dyDescent="0.2">
      <c r="A1138" s="1" t="s">
        <v>3288</v>
      </c>
      <c r="B1138" s="1" t="s">
        <v>3289</v>
      </c>
      <c r="C1138" s="1" t="s">
        <v>2</v>
      </c>
      <c r="D1138" s="1" t="s">
        <v>3</v>
      </c>
      <c r="E1138" s="5">
        <v>43413</v>
      </c>
      <c r="F1138" s="5">
        <v>45468</v>
      </c>
      <c r="G1138" s="2">
        <v>7.8676890000000004</v>
      </c>
      <c r="H1138" s="1" t="s">
        <v>4</v>
      </c>
      <c r="I1138" s="2">
        <v>28.898883000000001</v>
      </c>
      <c r="J1138" s="1" t="s">
        <v>30</v>
      </c>
      <c r="K1138" s="1" t="s">
        <v>3290</v>
      </c>
      <c r="L1138" s="2">
        <v>12111.85</v>
      </c>
      <c r="M1138">
        <f t="shared" si="51"/>
        <v>95292.26901465001</v>
      </c>
      <c r="N1138">
        <f t="shared" si="52"/>
        <v>12790.908592570471</v>
      </c>
      <c r="O1138" t="str">
        <f t="shared" si="53"/>
        <v>FJERN</v>
      </c>
      <c r="P1138" s="1"/>
    </row>
    <row r="1139" spans="1:16" ht="15" customHeight="1" x14ac:dyDescent="0.2">
      <c r="A1139" s="1" t="s">
        <v>3291</v>
      </c>
      <c r="B1139" s="1" t="s">
        <v>3292</v>
      </c>
      <c r="C1139" s="1" t="s">
        <v>9</v>
      </c>
      <c r="D1139" s="1" t="s">
        <v>3</v>
      </c>
      <c r="E1139" s="5">
        <v>43305</v>
      </c>
      <c r="F1139" s="5">
        <v>46155</v>
      </c>
      <c r="G1139" s="2">
        <v>0.56290890000000005</v>
      </c>
      <c r="H1139" s="1" t="s">
        <v>10</v>
      </c>
      <c r="I1139" s="2">
        <v>616.86814811399995</v>
      </c>
      <c r="J1139" s="1" t="s">
        <v>366</v>
      </c>
      <c r="K1139" s="1" t="s">
        <v>3293</v>
      </c>
      <c r="L1139" s="2">
        <v>3696643</v>
      </c>
      <c r="M1139">
        <f t="shared" si="51"/>
        <v>2080873.2448227003</v>
      </c>
      <c r="N1139">
        <f t="shared" si="52"/>
        <v>184148.07476307082</v>
      </c>
      <c r="O1139" t="str">
        <f t="shared" si="53"/>
        <v>BEHOLD</v>
      </c>
      <c r="P1139" s="1" t="s">
        <v>6149</v>
      </c>
    </row>
    <row r="1140" spans="1:16" ht="15" customHeight="1" x14ac:dyDescent="0.2">
      <c r="A1140" s="1" t="s">
        <v>3294</v>
      </c>
      <c r="B1140" s="1" t="s">
        <v>3295</v>
      </c>
      <c r="C1140" s="1" t="s">
        <v>9</v>
      </c>
      <c r="D1140" s="1" t="s">
        <v>3</v>
      </c>
      <c r="E1140" s="5">
        <v>43174</v>
      </c>
      <c r="F1140" s="5">
        <v>45219</v>
      </c>
      <c r="G1140" s="2">
        <v>4.9996260000000001</v>
      </c>
      <c r="H1140" s="1" t="s">
        <v>10</v>
      </c>
      <c r="I1140" s="2">
        <v>189.51730932000001</v>
      </c>
      <c r="J1140" s="1" t="s">
        <v>61</v>
      </c>
      <c r="K1140" s="1" t="s">
        <v>3296</v>
      </c>
      <c r="L1140" s="2">
        <v>85329.77</v>
      </c>
      <c r="M1140">
        <f t="shared" si="51"/>
        <v>426616.93666602002</v>
      </c>
      <c r="N1140">
        <f t="shared" si="52"/>
        <v>37753.711209382302</v>
      </c>
      <c r="O1140" t="str">
        <f t="shared" si="53"/>
        <v>FJERN</v>
      </c>
      <c r="P1140" s="1" t="s">
        <v>6150</v>
      </c>
    </row>
    <row r="1141" spans="1:16" ht="15" customHeight="1" x14ac:dyDescent="0.2">
      <c r="A1141" s="1" t="s">
        <v>3297</v>
      </c>
      <c r="B1141" s="1" t="s">
        <v>3298</v>
      </c>
      <c r="C1141" s="1" t="s">
        <v>9</v>
      </c>
      <c r="D1141" s="1" t="s">
        <v>3</v>
      </c>
      <c r="E1141" s="5">
        <v>40717</v>
      </c>
      <c r="F1141" s="5">
        <v>46155</v>
      </c>
      <c r="G1141" s="2">
        <v>22.899059999999999</v>
      </c>
      <c r="H1141" s="1" t="s">
        <v>10</v>
      </c>
      <c r="I1141" s="2">
        <v>190.67054064000001</v>
      </c>
      <c r="J1141" s="1" t="s">
        <v>34</v>
      </c>
      <c r="K1141" s="1" t="s">
        <v>3299</v>
      </c>
      <c r="L1141" s="2">
        <v>39180.67</v>
      </c>
      <c r="M1141">
        <f t="shared" si="51"/>
        <v>897200.51317019993</v>
      </c>
      <c r="N1141">
        <f t="shared" si="52"/>
        <v>79398.275501787604</v>
      </c>
      <c r="O1141" t="str">
        <f t="shared" si="53"/>
        <v>FJERN</v>
      </c>
      <c r="P1141" s="1" t="s">
        <v>6151</v>
      </c>
    </row>
    <row r="1142" spans="1:16" ht="15" customHeight="1" x14ac:dyDescent="0.2">
      <c r="A1142" s="1" t="s">
        <v>3300</v>
      </c>
      <c r="B1142" s="1" t="s">
        <v>3301</v>
      </c>
      <c r="C1142" s="1" t="s">
        <v>9</v>
      </c>
      <c r="D1142" s="1" t="s">
        <v>3</v>
      </c>
      <c r="E1142" s="5">
        <v>41625</v>
      </c>
      <c r="F1142" s="5">
        <v>46155</v>
      </c>
      <c r="G1142" s="2">
        <v>25.1248</v>
      </c>
      <c r="H1142" s="1" t="s">
        <v>10</v>
      </c>
      <c r="I1142" s="2">
        <v>1606.4107839999999</v>
      </c>
      <c r="J1142" s="1" t="s">
        <v>366</v>
      </c>
      <c r="K1142" s="1" t="s">
        <v>3302</v>
      </c>
      <c r="L1142" s="2">
        <v>23930</v>
      </c>
      <c r="M1142">
        <f t="shared" si="51"/>
        <v>601236.46400000004</v>
      </c>
      <c r="N1142">
        <f t="shared" si="52"/>
        <v>53206.766725663714</v>
      </c>
      <c r="O1142" t="str">
        <f t="shared" si="53"/>
        <v>FJERN</v>
      </c>
      <c r="P1142" s="1" t="s">
        <v>6152</v>
      </c>
    </row>
    <row r="1143" spans="1:16" ht="15" customHeight="1" x14ac:dyDescent="0.2">
      <c r="A1143" s="1" t="s">
        <v>3303</v>
      </c>
      <c r="B1143" s="1" t="s">
        <v>3304</v>
      </c>
      <c r="C1143" s="1" t="s">
        <v>9</v>
      </c>
      <c r="D1143" s="1" t="s">
        <v>3</v>
      </c>
      <c r="E1143" s="5">
        <v>43272</v>
      </c>
      <c r="F1143" s="5">
        <v>46155</v>
      </c>
      <c r="G1143" s="2">
        <v>7.5641829999999999</v>
      </c>
      <c r="H1143" s="1" t="s">
        <v>10</v>
      </c>
      <c r="I1143" s="2">
        <v>464.20528911999997</v>
      </c>
      <c r="J1143" s="1" t="s">
        <v>23</v>
      </c>
      <c r="K1143" s="1" t="s">
        <v>3305</v>
      </c>
      <c r="L1143" s="2">
        <v>381605.9</v>
      </c>
      <c r="M1143">
        <f t="shared" si="51"/>
        <v>2886536.8614797001</v>
      </c>
      <c r="N1143">
        <f t="shared" si="52"/>
        <v>255445.73995395575</v>
      </c>
      <c r="O1143" t="str">
        <f t="shared" si="53"/>
        <v>BEHOLD</v>
      </c>
      <c r="P1143" s="1" t="s">
        <v>6153</v>
      </c>
    </row>
    <row r="1144" spans="1:16" ht="15" customHeight="1" x14ac:dyDescent="0.2">
      <c r="A1144" s="1" t="s">
        <v>3306</v>
      </c>
      <c r="B1144" s="1" t="s">
        <v>3307</v>
      </c>
      <c r="C1144" s="1" t="s">
        <v>2</v>
      </c>
      <c r="D1144" s="1" t="s">
        <v>3</v>
      </c>
      <c r="E1144" s="5">
        <v>32232</v>
      </c>
      <c r="F1144" s="5">
        <v>46155</v>
      </c>
      <c r="G1144" s="2">
        <v>159.37440000000001</v>
      </c>
      <c r="H1144" s="1" t="s">
        <v>4</v>
      </c>
      <c r="I1144" s="2">
        <v>4097.7708860000002</v>
      </c>
      <c r="J1144" s="1" t="s">
        <v>51</v>
      </c>
      <c r="K1144" s="1" t="s">
        <v>3308</v>
      </c>
      <c r="L1144" s="2">
        <v>11278.49</v>
      </c>
      <c r="M1144">
        <f t="shared" si="51"/>
        <v>1797502.576656</v>
      </c>
      <c r="N1144">
        <f t="shared" si="52"/>
        <v>241275.51364510067</v>
      </c>
      <c r="O1144" t="str">
        <f t="shared" si="53"/>
        <v>BEHOLD</v>
      </c>
      <c r="P1144" s="1" t="s">
        <v>6154</v>
      </c>
    </row>
    <row r="1145" spans="1:16" ht="15" customHeight="1" x14ac:dyDescent="0.2">
      <c r="A1145" s="1" t="s">
        <v>3309</v>
      </c>
      <c r="B1145" s="1" t="s">
        <v>3310</v>
      </c>
      <c r="C1145" s="1" t="s">
        <v>9</v>
      </c>
      <c r="D1145" s="1" t="s">
        <v>3</v>
      </c>
      <c r="E1145" s="5">
        <v>43374</v>
      </c>
      <c r="F1145" s="5">
        <v>46155</v>
      </c>
      <c r="G1145" s="2">
        <v>5.0146769999999998</v>
      </c>
      <c r="H1145" s="1" t="s">
        <v>10</v>
      </c>
      <c r="I1145" s="2">
        <v>368.10080676000001</v>
      </c>
      <c r="J1145" s="1" t="s">
        <v>86</v>
      </c>
      <c r="K1145" s="1" t="s">
        <v>3311</v>
      </c>
      <c r="L1145" s="2">
        <v>46041.02</v>
      </c>
      <c r="M1145">
        <f t="shared" si="51"/>
        <v>230880.84405053998</v>
      </c>
      <c r="N1145">
        <f t="shared" si="52"/>
        <v>20431.933101817696</v>
      </c>
      <c r="O1145" t="str">
        <f t="shared" si="53"/>
        <v>FJERN</v>
      </c>
      <c r="P1145" s="1" t="s">
        <v>6155</v>
      </c>
    </row>
    <row r="1146" spans="1:16" ht="15" customHeight="1" x14ac:dyDescent="0.2">
      <c r="A1146" s="1" t="s">
        <v>3312</v>
      </c>
      <c r="B1146" s="1" t="s">
        <v>3313</v>
      </c>
      <c r="C1146" s="1" t="s">
        <v>2</v>
      </c>
      <c r="D1146" s="1" t="s">
        <v>3</v>
      </c>
      <c r="E1146" s="5">
        <v>43426</v>
      </c>
      <c r="F1146" s="5">
        <v>44210</v>
      </c>
      <c r="G1146" s="2">
        <v>74.656710000000004</v>
      </c>
      <c r="H1146" s="1" t="s">
        <v>4</v>
      </c>
      <c r="I1146" s="2"/>
      <c r="J1146" s="1" t="s">
        <v>15</v>
      </c>
      <c r="K1146" s="1" t="s">
        <v>3314</v>
      </c>
      <c r="L1146" s="2">
        <v>4839.3379999999997</v>
      </c>
      <c r="M1146">
        <f t="shared" si="51"/>
        <v>361289.05365798</v>
      </c>
      <c r="N1146">
        <f t="shared" si="52"/>
        <v>48495.174987648323</v>
      </c>
      <c r="O1146" t="str">
        <f t="shared" si="53"/>
        <v>FJERN</v>
      </c>
      <c r="P1146" s="1" t="s">
        <v>6156</v>
      </c>
    </row>
    <row r="1147" spans="1:16" ht="15" customHeight="1" x14ac:dyDescent="0.2">
      <c r="A1147" s="1" t="s">
        <v>3315</v>
      </c>
      <c r="B1147" s="1" t="s">
        <v>3316</v>
      </c>
      <c r="C1147" s="1" t="s">
        <v>2</v>
      </c>
      <c r="D1147" s="1" t="s">
        <v>3</v>
      </c>
      <c r="E1147" s="5">
        <v>41635</v>
      </c>
      <c r="F1147" s="5">
        <v>46155</v>
      </c>
      <c r="G1147" s="2">
        <v>105.932</v>
      </c>
      <c r="H1147" s="1" t="s">
        <v>4</v>
      </c>
      <c r="I1147" s="2">
        <v>562.72732399999995</v>
      </c>
      <c r="J1147" s="1" t="s">
        <v>61</v>
      </c>
      <c r="K1147" s="1" t="s">
        <v>3317</v>
      </c>
      <c r="L1147" s="2">
        <v>1854.12</v>
      </c>
      <c r="M1147">
        <f t="shared" si="51"/>
        <v>196410.63983999999</v>
      </c>
      <c r="N1147">
        <f t="shared" si="52"/>
        <v>26363.8442738255</v>
      </c>
      <c r="O1147" t="str">
        <f t="shared" si="53"/>
        <v>FJERN</v>
      </c>
      <c r="P1147" s="1" t="s">
        <v>6157</v>
      </c>
    </row>
    <row r="1148" spans="1:16" ht="15" customHeight="1" x14ac:dyDescent="0.2">
      <c r="A1148" s="1" t="s">
        <v>3318</v>
      </c>
      <c r="B1148" s="1" t="s">
        <v>3319</v>
      </c>
      <c r="C1148" s="1" t="s">
        <v>9</v>
      </c>
      <c r="D1148" s="1" t="s">
        <v>3</v>
      </c>
      <c r="E1148" s="5">
        <v>41754</v>
      </c>
      <c r="F1148" s="5">
        <v>42783</v>
      </c>
      <c r="G1148" s="2">
        <v>11.590859999999999</v>
      </c>
      <c r="H1148" s="1" t="s">
        <v>10</v>
      </c>
      <c r="I1148" s="2"/>
      <c r="J1148" s="1" t="s">
        <v>222</v>
      </c>
      <c r="K1148" s="1" t="s">
        <v>3320</v>
      </c>
      <c r="L1148" s="2">
        <v>16993.150000000001</v>
      </c>
      <c r="M1148">
        <f t="shared" si="51"/>
        <v>196965.22260900002</v>
      </c>
      <c r="N1148">
        <f t="shared" si="52"/>
        <v>17430.550673362832</v>
      </c>
      <c r="O1148" t="str">
        <f t="shared" si="53"/>
        <v>FJERN</v>
      </c>
      <c r="P1148" s="1"/>
    </row>
    <row r="1149" spans="1:16" ht="15" customHeight="1" x14ac:dyDescent="0.2">
      <c r="A1149" s="1" t="s">
        <v>3321</v>
      </c>
      <c r="B1149" s="1" t="s">
        <v>3322</v>
      </c>
      <c r="C1149" s="1" t="s">
        <v>9</v>
      </c>
      <c r="D1149" s="1" t="s">
        <v>3</v>
      </c>
      <c r="E1149" s="5">
        <v>41820</v>
      </c>
      <c r="F1149" s="5">
        <v>46155</v>
      </c>
      <c r="G1149" s="2">
        <v>5.7306850000000003</v>
      </c>
      <c r="H1149" s="1" t="s">
        <v>10</v>
      </c>
      <c r="I1149" s="2">
        <v>29.303859599999999</v>
      </c>
      <c r="J1149" s="1" t="s">
        <v>5</v>
      </c>
      <c r="K1149" s="1" t="s">
        <v>3323</v>
      </c>
      <c r="L1149" s="2">
        <v>9435.3070000000007</v>
      </c>
      <c r="M1149">
        <f t="shared" si="51"/>
        <v>54070.772295295006</v>
      </c>
      <c r="N1149">
        <f t="shared" si="52"/>
        <v>4785.0240969287615</v>
      </c>
      <c r="O1149" t="str">
        <f t="shared" si="53"/>
        <v>FJERN</v>
      </c>
      <c r="P1149" s="1"/>
    </row>
    <row r="1150" spans="1:16" ht="15" customHeight="1" x14ac:dyDescent="0.2">
      <c r="A1150" s="1" t="s">
        <v>3324</v>
      </c>
      <c r="B1150" s="1" t="s">
        <v>3325</v>
      </c>
      <c r="C1150" s="1" t="s">
        <v>9</v>
      </c>
      <c r="D1150" s="1" t="s">
        <v>3</v>
      </c>
      <c r="E1150" s="5">
        <v>42045</v>
      </c>
      <c r="F1150" s="5">
        <v>43892</v>
      </c>
      <c r="G1150" s="2">
        <v>11.40537</v>
      </c>
      <c r="H1150" s="1" t="s">
        <v>10</v>
      </c>
      <c r="I1150" s="2"/>
      <c r="J1150" s="1" t="s">
        <v>366</v>
      </c>
      <c r="K1150" s="1" t="s">
        <v>3326</v>
      </c>
      <c r="L1150" s="2">
        <v>9568.5300000000007</v>
      </c>
      <c r="M1150">
        <f t="shared" si="51"/>
        <v>109132.6250061</v>
      </c>
      <c r="N1150">
        <f t="shared" si="52"/>
        <v>9657.7544253185843</v>
      </c>
      <c r="O1150" t="str">
        <f t="shared" si="53"/>
        <v>FJERN</v>
      </c>
      <c r="P1150" s="1" t="s">
        <v>6158</v>
      </c>
    </row>
    <row r="1151" spans="1:16" ht="15" customHeight="1" x14ac:dyDescent="0.2">
      <c r="A1151" s="1" t="s">
        <v>3327</v>
      </c>
      <c r="B1151" s="1" t="s">
        <v>3328</v>
      </c>
      <c r="C1151" s="1" t="s">
        <v>9</v>
      </c>
      <c r="D1151" s="1" t="s">
        <v>3</v>
      </c>
      <c r="E1151" s="5">
        <v>41786</v>
      </c>
      <c r="F1151" s="5">
        <v>44739</v>
      </c>
      <c r="G1151" s="2">
        <v>6.8405570000000004</v>
      </c>
      <c r="H1151" s="1" t="s">
        <v>10</v>
      </c>
      <c r="I1151" s="2"/>
      <c r="J1151" s="1" t="s">
        <v>176</v>
      </c>
      <c r="K1151" s="1" t="s">
        <v>3329</v>
      </c>
      <c r="L1151" s="2">
        <v>566280.19999999995</v>
      </c>
      <c r="M1151">
        <f t="shared" si="51"/>
        <v>3873671.9860713999</v>
      </c>
      <c r="N1151">
        <f t="shared" si="52"/>
        <v>342802.83062578755</v>
      </c>
      <c r="O1151" t="str">
        <f t="shared" si="53"/>
        <v>BEHOLD</v>
      </c>
      <c r="P1151" s="1" t="s">
        <v>6159</v>
      </c>
    </row>
    <row r="1152" spans="1:16" ht="15" customHeight="1" x14ac:dyDescent="0.2">
      <c r="A1152" s="1" t="s">
        <v>3330</v>
      </c>
      <c r="B1152" s="1" t="s">
        <v>3331</v>
      </c>
      <c r="C1152" s="1" t="s">
        <v>2</v>
      </c>
      <c r="D1152" s="1" t="s">
        <v>3</v>
      </c>
      <c r="E1152" s="5">
        <v>43559</v>
      </c>
      <c r="F1152" s="5">
        <v>44837</v>
      </c>
      <c r="G1152" s="2">
        <v>291.51620000000003</v>
      </c>
      <c r="H1152" s="1" t="s">
        <v>4</v>
      </c>
      <c r="I1152" s="2"/>
      <c r="J1152" s="1" t="s">
        <v>201</v>
      </c>
      <c r="K1152" s="1" t="s">
        <v>3332</v>
      </c>
      <c r="L1152" s="2">
        <v>115195.2</v>
      </c>
      <c r="M1152">
        <f t="shared" si="51"/>
        <v>33581266.962240003</v>
      </c>
      <c r="N1152">
        <f t="shared" si="52"/>
        <v>4507552.6123812087</v>
      </c>
      <c r="O1152" t="str">
        <f t="shared" si="53"/>
        <v>BEHOLD</v>
      </c>
      <c r="P1152" s="1" t="s">
        <v>6160</v>
      </c>
    </row>
    <row r="1153" spans="1:16" ht="15" customHeight="1" x14ac:dyDescent="0.2">
      <c r="A1153" s="1" t="s">
        <v>3333</v>
      </c>
      <c r="B1153" s="1" t="s">
        <v>3334</v>
      </c>
      <c r="C1153" s="1" t="s">
        <v>2</v>
      </c>
      <c r="D1153" s="1" t="s">
        <v>3</v>
      </c>
      <c r="E1153" s="5">
        <v>43430</v>
      </c>
      <c r="F1153" s="5">
        <v>45517</v>
      </c>
      <c r="G1153" s="2">
        <v>5.4965739999999998</v>
      </c>
      <c r="H1153" s="1" t="s">
        <v>4</v>
      </c>
      <c r="I1153" s="2">
        <v>33.256050827999999</v>
      </c>
      <c r="J1153" s="1" t="s">
        <v>23</v>
      </c>
      <c r="K1153" s="1" t="s">
        <v>3335</v>
      </c>
      <c r="L1153" s="2">
        <v>45308.82</v>
      </c>
      <c r="M1153">
        <f t="shared" si="51"/>
        <v>249043.28198268</v>
      </c>
      <c r="N1153">
        <f t="shared" si="52"/>
        <v>33428.628454051002</v>
      </c>
      <c r="O1153" t="str">
        <f t="shared" si="53"/>
        <v>FJERN</v>
      </c>
      <c r="P1153" s="1"/>
    </row>
    <row r="1154" spans="1:16" ht="15" customHeight="1" x14ac:dyDescent="0.2">
      <c r="A1154" s="1" t="s">
        <v>3336</v>
      </c>
      <c r="B1154" s="1" t="s">
        <v>3337</v>
      </c>
      <c r="C1154" s="1" t="s">
        <v>9</v>
      </c>
      <c r="D1154" s="1" t="s">
        <v>3</v>
      </c>
      <c r="E1154" s="5">
        <v>43398</v>
      </c>
      <c r="F1154" s="5">
        <v>45666</v>
      </c>
      <c r="G1154" s="2">
        <v>10.310779999999999</v>
      </c>
      <c r="H1154" s="1" t="s">
        <v>10</v>
      </c>
      <c r="I1154" s="2">
        <v>105.755047720006</v>
      </c>
      <c r="J1154" s="1" t="s">
        <v>34</v>
      </c>
      <c r="K1154" s="1" t="s">
        <v>3338</v>
      </c>
      <c r="L1154" s="2">
        <v>71318.600000000006</v>
      </c>
      <c r="M1154">
        <f t="shared" si="51"/>
        <v>735350.394508</v>
      </c>
      <c r="N1154">
        <f t="shared" si="52"/>
        <v>65075.256151150439</v>
      </c>
      <c r="O1154" t="str">
        <f t="shared" si="53"/>
        <v>FJERN</v>
      </c>
      <c r="P1154" s="1" t="s">
        <v>6161</v>
      </c>
    </row>
    <row r="1155" spans="1:16" ht="15" customHeight="1" x14ac:dyDescent="0.2">
      <c r="A1155" s="1" t="s">
        <v>3339</v>
      </c>
      <c r="B1155" s="1" t="s">
        <v>3340</v>
      </c>
      <c r="C1155" s="1" t="s">
        <v>9</v>
      </c>
      <c r="D1155" s="1" t="s">
        <v>3</v>
      </c>
      <c r="E1155" s="5">
        <v>38702</v>
      </c>
      <c r="F1155" s="5">
        <v>46155</v>
      </c>
      <c r="G1155" s="2">
        <v>11.43037</v>
      </c>
      <c r="H1155" s="1" t="s">
        <v>10</v>
      </c>
      <c r="I1155" s="2">
        <v>113.94758375000001</v>
      </c>
      <c r="J1155" s="1" t="s">
        <v>201</v>
      </c>
      <c r="K1155" s="1" t="s">
        <v>3341</v>
      </c>
      <c r="L1155" s="2">
        <v>10581.84</v>
      </c>
      <c r="M1155">
        <f t="shared" ref="M1155:M1218" si="54">IF(OR(G1155="",L1155=""),"",G1155*L1155)</f>
        <v>120954.3464808</v>
      </c>
      <c r="N1155">
        <f t="shared" ref="N1155:N1218" si="55">IF(M1155="","",IF(H1155="DKK",M1155/7.45,IF(H1155="SEK",M1155/11.3,M1155)))</f>
        <v>10703.924467327433</v>
      </c>
      <c r="O1155" t="str">
        <f t="shared" ref="O1155:O1218" si="56">IF(AND(E1155&lt;=DATE(2024,12,31),F1155&gt;=DATE(2010,1,1),D1155="SHARE",N1155&gt;=100000),"BEHOLD","FJERN")</f>
        <v>FJERN</v>
      </c>
      <c r="P1155" s="1"/>
    </row>
    <row r="1156" spans="1:16" ht="15" customHeight="1" x14ac:dyDescent="0.2">
      <c r="A1156" s="1" t="s">
        <v>3342</v>
      </c>
      <c r="B1156" s="1" t="s">
        <v>3343</v>
      </c>
      <c r="C1156" s="1" t="s">
        <v>9</v>
      </c>
      <c r="D1156" s="1" t="s">
        <v>3</v>
      </c>
      <c r="E1156" s="5">
        <v>43579</v>
      </c>
      <c r="F1156" s="5">
        <v>46155</v>
      </c>
      <c r="G1156" s="2">
        <v>46.365650000000002</v>
      </c>
      <c r="H1156" s="1" t="s">
        <v>10</v>
      </c>
      <c r="I1156" s="2">
        <v>562.40172500000006</v>
      </c>
      <c r="J1156" s="1" t="s">
        <v>236</v>
      </c>
      <c r="K1156" s="1" t="s">
        <v>3344</v>
      </c>
      <c r="L1156" s="2">
        <v>15036.2</v>
      </c>
      <c r="M1156">
        <f t="shared" si="54"/>
        <v>697163.18653000006</v>
      </c>
      <c r="N1156">
        <f t="shared" si="55"/>
        <v>61695.857215044249</v>
      </c>
      <c r="O1156" t="str">
        <f t="shared" si="56"/>
        <v>FJERN</v>
      </c>
      <c r="P1156" s="1" t="s">
        <v>6162</v>
      </c>
    </row>
    <row r="1157" spans="1:16" ht="15" customHeight="1" x14ac:dyDescent="0.2">
      <c r="A1157" s="1" t="s">
        <v>3345</v>
      </c>
      <c r="B1157" s="1" t="s">
        <v>3346</v>
      </c>
      <c r="C1157" s="1" t="s">
        <v>9</v>
      </c>
      <c r="D1157" s="1" t="s">
        <v>3</v>
      </c>
      <c r="E1157" s="5">
        <v>34523</v>
      </c>
      <c r="F1157" s="5">
        <v>46155</v>
      </c>
      <c r="G1157" s="2">
        <v>91.585750000000004</v>
      </c>
      <c r="H1157" s="1" t="s">
        <v>10</v>
      </c>
      <c r="I1157" s="2">
        <v>12305.040792</v>
      </c>
      <c r="J1157" s="1" t="s">
        <v>167</v>
      </c>
      <c r="K1157" s="1" t="s">
        <v>3347</v>
      </c>
      <c r="L1157" s="2">
        <v>69997.03</v>
      </c>
      <c r="M1157">
        <f t="shared" si="54"/>
        <v>6410730.4903225005</v>
      </c>
      <c r="N1157">
        <f t="shared" si="55"/>
        <v>567321.28232942475</v>
      </c>
      <c r="O1157" t="str">
        <f t="shared" si="56"/>
        <v>BEHOLD</v>
      </c>
      <c r="P1157" s="1" t="s">
        <v>6163</v>
      </c>
    </row>
    <row r="1158" spans="1:16" ht="15" customHeight="1" x14ac:dyDescent="0.2">
      <c r="A1158" s="1" t="s">
        <v>3348</v>
      </c>
      <c r="B1158" s="1" t="s">
        <v>3349</v>
      </c>
      <c r="C1158" s="1" t="s">
        <v>2</v>
      </c>
      <c r="D1158" s="1" t="s">
        <v>3</v>
      </c>
      <c r="E1158" s="5">
        <v>35233</v>
      </c>
      <c r="F1158" s="5">
        <v>46155</v>
      </c>
      <c r="G1158" s="2">
        <v>431.94810000000001</v>
      </c>
      <c r="H1158" s="1" t="s">
        <v>4</v>
      </c>
      <c r="I1158" s="2">
        <v>4201.2908439789298</v>
      </c>
      <c r="J1158" s="1" t="s">
        <v>11</v>
      </c>
      <c r="K1158" s="1" t="s">
        <v>3350</v>
      </c>
      <c r="L1158" s="2">
        <v>14544.5</v>
      </c>
      <c r="M1158">
        <f t="shared" si="54"/>
        <v>6282469.1404499998</v>
      </c>
      <c r="N1158">
        <f t="shared" si="55"/>
        <v>843284.44838255027</v>
      </c>
      <c r="O1158" t="str">
        <f t="shared" si="56"/>
        <v>BEHOLD</v>
      </c>
      <c r="P1158" s="1" t="s">
        <v>6164</v>
      </c>
    </row>
    <row r="1159" spans="1:16" ht="15" customHeight="1" x14ac:dyDescent="0.2">
      <c r="A1159" s="1" t="s">
        <v>3351</v>
      </c>
      <c r="B1159" s="1" t="s">
        <v>3352</v>
      </c>
      <c r="C1159" s="1" t="s">
        <v>9</v>
      </c>
      <c r="D1159" s="1" t="s">
        <v>3</v>
      </c>
      <c r="E1159" s="5">
        <v>43446</v>
      </c>
      <c r="F1159" s="5">
        <v>46155</v>
      </c>
      <c r="G1159" s="2">
        <v>88.776030000000006</v>
      </c>
      <c r="H1159" s="1" t="s">
        <v>10</v>
      </c>
      <c r="I1159" s="2">
        <v>756.18201099999999</v>
      </c>
      <c r="J1159" s="1" t="s">
        <v>236</v>
      </c>
      <c r="K1159" s="1" t="s">
        <v>3353</v>
      </c>
      <c r="L1159" s="2">
        <v>5510.84</v>
      </c>
      <c r="M1159">
        <f t="shared" si="54"/>
        <v>489230.49716520007</v>
      </c>
      <c r="N1159">
        <f t="shared" si="55"/>
        <v>43294.734262407081</v>
      </c>
      <c r="O1159" t="str">
        <f t="shared" si="56"/>
        <v>FJERN</v>
      </c>
      <c r="P1159" s="1" t="s">
        <v>6165</v>
      </c>
    </row>
    <row r="1160" spans="1:16" ht="15" customHeight="1" x14ac:dyDescent="0.2">
      <c r="A1160" s="1" t="s">
        <v>3354</v>
      </c>
      <c r="B1160" s="1" t="s">
        <v>3355</v>
      </c>
      <c r="C1160" s="1" t="s">
        <v>9</v>
      </c>
      <c r="D1160" s="1" t="s">
        <v>3</v>
      </c>
      <c r="E1160" s="5">
        <v>41607</v>
      </c>
      <c r="F1160" s="5">
        <v>46155</v>
      </c>
      <c r="G1160" s="2">
        <v>70.505840000000006</v>
      </c>
      <c r="H1160" s="1" t="s">
        <v>10</v>
      </c>
      <c r="I1160" s="2">
        <v>8884.8085374999991</v>
      </c>
      <c r="J1160" s="1" t="s">
        <v>61</v>
      </c>
      <c r="K1160" s="1" t="s">
        <v>3356</v>
      </c>
      <c r="L1160" s="2">
        <v>102579.1</v>
      </c>
      <c r="M1160">
        <f t="shared" si="54"/>
        <v>7232425.6119440012</v>
      </c>
      <c r="N1160">
        <f t="shared" si="55"/>
        <v>640037.66477380542</v>
      </c>
      <c r="O1160" t="str">
        <f t="shared" si="56"/>
        <v>BEHOLD</v>
      </c>
      <c r="P1160" s="1" t="s">
        <v>6166</v>
      </c>
    </row>
    <row r="1161" spans="1:16" ht="15" customHeight="1" x14ac:dyDescent="0.2">
      <c r="A1161" s="1" t="s">
        <v>3357</v>
      </c>
      <c r="B1161" s="1" t="s">
        <v>3358</v>
      </c>
      <c r="C1161" s="1" t="s">
        <v>9</v>
      </c>
      <c r="D1161" s="1" t="s">
        <v>3</v>
      </c>
      <c r="E1161" s="5">
        <v>43440</v>
      </c>
      <c r="F1161" s="5">
        <v>46155</v>
      </c>
      <c r="G1161" s="2">
        <v>276.64690000000002</v>
      </c>
      <c r="H1161" s="1" t="s">
        <v>10</v>
      </c>
      <c r="I1161" s="2">
        <v>3824.2061199999998</v>
      </c>
      <c r="J1161" s="1" t="s">
        <v>236</v>
      </c>
      <c r="K1161" s="1" t="s">
        <v>3359</v>
      </c>
      <c r="L1161" s="2">
        <v>21720.37</v>
      </c>
      <c r="M1161">
        <f t="shared" si="54"/>
        <v>6008873.0273529999</v>
      </c>
      <c r="N1161">
        <f t="shared" si="55"/>
        <v>531758.6749869911</v>
      </c>
      <c r="O1161" t="str">
        <f t="shared" si="56"/>
        <v>BEHOLD</v>
      </c>
      <c r="P1161" s="1" t="s">
        <v>6167</v>
      </c>
    </row>
    <row r="1162" spans="1:16" ht="15" customHeight="1" x14ac:dyDescent="0.2">
      <c r="A1162" s="1" t="s">
        <v>3360</v>
      </c>
      <c r="B1162" s="1" t="s">
        <v>3361</v>
      </c>
      <c r="C1162" s="1" t="s">
        <v>9</v>
      </c>
      <c r="D1162" s="1" t="s">
        <v>3</v>
      </c>
      <c r="E1162" s="5">
        <v>43468</v>
      </c>
      <c r="F1162" s="5">
        <v>46155</v>
      </c>
      <c r="G1162" s="2">
        <v>3.6926019999999999</v>
      </c>
      <c r="H1162" s="1" t="s">
        <v>10</v>
      </c>
      <c r="I1162" s="2">
        <v>96.087762420000004</v>
      </c>
      <c r="J1162" s="1" t="s">
        <v>38</v>
      </c>
      <c r="K1162" s="1" t="s">
        <v>3362</v>
      </c>
      <c r="L1162" s="2">
        <v>87445.23</v>
      </c>
      <c r="M1162">
        <f t="shared" si="54"/>
        <v>322900.43118845997</v>
      </c>
      <c r="N1162">
        <f t="shared" si="55"/>
        <v>28575.259397208847</v>
      </c>
      <c r="O1162" t="str">
        <f t="shared" si="56"/>
        <v>FJERN</v>
      </c>
      <c r="P1162" s="1" t="s">
        <v>6168</v>
      </c>
    </row>
    <row r="1163" spans="1:16" ht="15" customHeight="1" x14ac:dyDescent="0.2">
      <c r="A1163" s="1" t="s">
        <v>3363</v>
      </c>
      <c r="B1163" s="1" t="s">
        <v>3364</v>
      </c>
      <c r="C1163" s="1" t="s">
        <v>9</v>
      </c>
      <c r="D1163" s="1" t="s">
        <v>3</v>
      </c>
      <c r="E1163" s="5">
        <v>43537</v>
      </c>
      <c r="F1163" s="5">
        <v>46155</v>
      </c>
      <c r="G1163" s="2">
        <v>12.247909999999999</v>
      </c>
      <c r="H1163" s="1" t="s">
        <v>10</v>
      </c>
      <c r="I1163" s="2">
        <v>407.88317271</v>
      </c>
      <c r="J1163" s="1" t="s">
        <v>34</v>
      </c>
      <c r="K1163" s="1" t="s">
        <v>3365</v>
      </c>
      <c r="L1163" s="2">
        <v>328231.8</v>
      </c>
      <c r="M1163">
        <f t="shared" si="54"/>
        <v>4020153.5455379994</v>
      </c>
      <c r="N1163">
        <f t="shared" si="55"/>
        <v>355765.80049008841</v>
      </c>
      <c r="O1163" t="str">
        <f t="shared" si="56"/>
        <v>BEHOLD</v>
      </c>
      <c r="P1163" s="1" t="s">
        <v>6169</v>
      </c>
    </row>
    <row r="1164" spans="1:16" ht="15" customHeight="1" x14ac:dyDescent="0.2">
      <c r="A1164" s="1" t="s">
        <v>3366</v>
      </c>
      <c r="B1164" s="1" t="s">
        <v>3367</v>
      </c>
      <c r="C1164" s="1" t="s">
        <v>9</v>
      </c>
      <c r="D1164" s="1" t="s">
        <v>3</v>
      </c>
      <c r="E1164" s="5">
        <v>41618</v>
      </c>
      <c r="F1164" s="5">
        <v>42062</v>
      </c>
      <c r="G1164" s="2">
        <v>82.817369999999997</v>
      </c>
      <c r="H1164" s="1" t="s">
        <v>10</v>
      </c>
      <c r="I1164" s="2"/>
      <c r="J1164" s="1" t="s">
        <v>86</v>
      </c>
      <c r="K1164" s="1" t="s">
        <v>3368</v>
      </c>
      <c r="L1164" s="2">
        <v>591963.5</v>
      </c>
      <c r="M1164">
        <f t="shared" si="54"/>
        <v>49024860.205995001</v>
      </c>
      <c r="N1164">
        <f t="shared" si="55"/>
        <v>4338483.2040703539</v>
      </c>
      <c r="O1164" t="str">
        <f t="shared" si="56"/>
        <v>BEHOLD</v>
      </c>
      <c r="P1164" s="1" t="s">
        <v>6170</v>
      </c>
    </row>
    <row r="1165" spans="1:16" ht="15" customHeight="1" x14ac:dyDescent="0.2">
      <c r="A1165" s="1" t="s">
        <v>3369</v>
      </c>
      <c r="B1165" s="1" t="s">
        <v>3370</v>
      </c>
      <c r="C1165" s="1" t="s">
        <v>2</v>
      </c>
      <c r="D1165" s="1" t="s">
        <v>3</v>
      </c>
      <c r="E1165" s="5">
        <v>42731</v>
      </c>
      <c r="F1165" s="5">
        <v>43426</v>
      </c>
      <c r="G1165" s="2">
        <v>0.13794819999999999</v>
      </c>
      <c r="H1165" s="1" t="s">
        <v>3371</v>
      </c>
      <c r="I1165" s="2"/>
      <c r="J1165" s="1" t="s">
        <v>167</v>
      </c>
      <c r="K1165" s="1" t="s">
        <v>3372</v>
      </c>
      <c r="L1165" s="2">
        <v>6221.4070000000002</v>
      </c>
      <c r="M1165">
        <f t="shared" si="54"/>
        <v>858.23189711739997</v>
      </c>
      <c r="N1165">
        <f t="shared" si="55"/>
        <v>858.23189711739997</v>
      </c>
      <c r="O1165" t="str">
        <f t="shared" si="56"/>
        <v>FJERN</v>
      </c>
      <c r="P1165" s="1"/>
    </row>
    <row r="1166" spans="1:16" ht="15" customHeight="1" x14ac:dyDescent="0.2">
      <c r="A1166" s="1" t="s">
        <v>3373</v>
      </c>
      <c r="B1166" s="1" t="s">
        <v>3374</v>
      </c>
      <c r="C1166" s="1" t="s">
        <v>9</v>
      </c>
      <c r="D1166" s="1" t="s">
        <v>3</v>
      </c>
      <c r="E1166" s="5">
        <v>43439</v>
      </c>
      <c r="F1166" s="5">
        <v>45637</v>
      </c>
      <c r="G1166" s="2">
        <v>82.774709999999999</v>
      </c>
      <c r="H1166" s="1" t="s">
        <v>10</v>
      </c>
      <c r="I1166" s="2">
        <v>1145.6414500000001</v>
      </c>
      <c r="J1166" s="1" t="s">
        <v>11</v>
      </c>
      <c r="K1166" s="1" t="s">
        <v>3375</v>
      </c>
      <c r="L1166" s="2">
        <v>8876.9290000000001</v>
      </c>
      <c r="M1166">
        <f t="shared" si="54"/>
        <v>734785.22366559005</v>
      </c>
      <c r="N1166">
        <f t="shared" si="55"/>
        <v>65025.2410323531</v>
      </c>
      <c r="O1166" t="str">
        <f t="shared" si="56"/>
        <v>FJERN</v>
      </c>
      <c r="P1166" s="1" t="s">
        <v>6171</v>
      </c>
    </row>
    <row r="1167" spans="1:16" ht="15" customHeight="1" x14ac:dyDescent="0.2">
      <c r="A1167" s="1" t="s">
        <v>3376</v>
      </c>
      <c r="B1167" s="1" t="s">
        <v>3377</v>
      </c>
      <c r="C1167" s="1" t="s">
        <v>2</v>
      </c>
      <c r="D1167" s="1" t="s">
        <v>3</v>
      </c>
      <c r="E1167" s="5">
        <v>37176</v>
      </c>
      <c r="F1167" s="5">
        <v>46155</v>
      </c>
      <c r="G1167" s="2">
        <v>98.114220000000003</v>
      </c>
      <c r="H1167" s="1" t="s">
        <v>4</v>
      </c>
      <c r="I1167" s="2">
        <v>1485.733704</v>
      </c>
      <c r="J1167" s="1" t="s">
        <v>15</v>
      </c>
      <c r="K1167" s="1" t="s">
        <v>3378</v>
      </c>
      <c r="L1167" s="2">
        <v>1178.8</v>
      </c>
      <c r="M1167">
        <f t="shared" si="54"/>
        <v>115657.04253599999</v>
      </c>
      <c r="N1167">
        <f t="shared" si="55"/>
        <v>15524.435239731542</v>
      </c>
      <c r="O1167" t="str">
        <f t="shared" si="56"/>
        <v>FJERN</v>
      </c>
      <c r="P1167" s="1" t="s">
        <v>6172</v>
      </c>
    </row>
    <row r="1168" spans="1:16" ht="15" customHeight="1" x14ac:dyDescent="0.2">
      <c r="A1168" s="1" t="s">
        <v>3379</v>
      </c>
      <c r="B1168" s="1" t="s">
        <v>3380</v>
      </c>
      <c r="C1168" s="1" t="s">
        <v>9</v>
      </c>
      <c r="D1168" s="1" t="s">
        <v>3</v>
      </c>
      <c r="E1168" s="5">
        <v>38716</v>
      </c>
      <c r="F1168" s="5">
        <v>45772</v>
      </c>
      <c r="G1168" s="2">
        <v>24.643360000000001</v>
      </c>
      <c r="H1168" s="1" t="s">
        <v>10</v>
      </c>
      <c r="I1168" s="2">
        <v>14.701292536</v>
      </c>
      <c r="J1168" s="1" t="s">
        <v>19</v>
      </c>
      <c r="K1168" s="1" t="s">
        <v>3381</v>
      </c>
      <c r="L1168" s="2">
        <v>816272.4</v>
      </c>
      <c r="M1168">
        <f t="shared" si="54"/>
        <v>20115694.611264002</v>
      </c>
      <c r="N1168">
        <f t="shared" si="55"/>
        <v>1780149.9655985842</v>
      </c>
      <c r="O1168" t="str">
        <f t="shared" si="56"/>
        <v>BEHOLD</v>
      </c>
      <c r="P1168" s="1" t="s">
        <v>6173</v>
      </c>
    </row>
    <row r="1169" spans="1:16" ht="15" customHeight="1" x14ac:dyDescent="0.2">
      <c r="A1169" s="1" t="s">
        <v>3382</v>
      </c>
      <c r="B1169" s="1" t="s">
        <v>3383</v>
      </c>
      <c r="C1169" s="1" t="s">
        <v>9</v>
      </c>
      <c r="D1169" s="1" t="s">
        <v>3</v>
      </c>
      <c r="E1169" s="5">
        <v>41626</v>
      </c>
      <c r="F1169" s="5">
        <v>46154</v>
      </c>
      <c r="G1169" s="2">
        <v>13.034420000000001</v>
      </c>
      <c r="H1169" s="1" t="s">
        <v>10</v>
      </c>
      <c r="I1169" s="2">
        <v>47.596347999999999</v>
      </c>
      <c r="J1169" s="1" t="s">
        <v>289</v>
      </c>
      <c r="K1169" s="1" t="s">
        <v>3384</v>
      </c>
      <c r="L1169" s="2">
        <v>12511.53</v>
      </c>
      <c r="M1169">
        <f t="shared" si="54"/>
        <v>163080.53686260001</v>
      </c>
      <c r="N1169">
        <f t="shared" si="55"/>
        <v>14431.905917044249</v>
      </c>
      <c r="O1169" t="str">
        <f t="shared" si="56"/>
        <v>FJERN</v>
      </c>
      <c r="P1169" s="1" t="s">
        <v>6174</v>
      </c>
    </row>
    <row r="1170" spans="1:16" ht="15" customHeight="1" x14ac:dyDescent="0.2">
      <c r="A1170" s="1" t="s">
        <v>3385</v>
      </c>
      <c r="B1170" s="1" t="s">
        <v>3386</v>
      </c>
      <c r="C1170" s="1" t="s">
        <v>9</v>
      </c>
      <c r="D1170" s="1" t="s">
        <v>3</v>
      </c>
      <c r="E1170" s="5">
        <v>41738</v>
      </c>
      <c r="F1170" s="5">
        <v>43840</v>
      </c>
      <c r="G1170" s="2">
        <v>110.0692</v>
      </c>
      <c r="H1170" s="1" t="s">
        <v>10</v>
      </c>
      <c r="I1170" s="2"/>
      <c r="J1170" s="1" t="s">
        <v>61</v>
      </c>
      <c r="K1170" s="1" t="s">
        <v>3387</v>
      </c>
      <c r="L1170" s="2">
        <v>130248</v>
      </c>
      <c r="M1170">
        <f t="shared" si="54"/>
        <v>14336293.161599999</v>
      </c>
      <c r="N1170">
        <f t="shared" si="55"/>
        <v>1268698.5098761062</v>
      </c>
      <c r="O1170" t="str">
        <f t="shared" si="56"/>
        <v>BEHOLD</v>
      </c>
      <c r="P1170" s="1" t="s">
        <v>6175</v>
      </c>
    </row>
    <row r="1171" spans="1:16" ht="15" customHeight="1" x14ac:dyDescent="0.2">
      <c r="A1171" s="1" t="s">
        <v>3388</v>
      </c>
      <c r="B1171" s="1" t="s">
        <v>3389</v>
      </c>
      <c r="C1171" s="1" t="s">
        <v>9</v>
      </c>
      <c r="D1171" s="1" t="s">
        <v>3</v>
      </c>
      <c r="E1171" s="5">
        <v>43552</v>
      </c>
      <c r="F1171" s="5">
        <v>46155</v>
      </c>
      <c r="G1171" s="2">
        <v>58.861550000000001</v>
      </c>
      <c r="H1171" s="1" t="s">
        <v>10</v>
      </c>
      <c r="I1171" s="2">
        <v>4114.9368075000002</v>
      </c>
      <c r="J1171" s="1" t="s">
        <v>236</v>
      </c>
      <c r="K1171" s="1" t="s">
        <v>3390</v>
      </c>
      <c r="L1171" s="2">
        <v>7912630</v>
      </c>
      <c r="M1171">
        <f t="shared" si="54"/>
        <v>465749666.37650001</v>
      </c>
      <c r="N1171">
        <f t="shared" si="55"/>
        <v>41216784.635088496</v>
      </c>
      <c r="O1171" t="str">
        <f t="shared" si="56"/>
        <v>BEHOLD</v>
      </c>
      <c r="P1171" s="1" t="s">
        <v>6176</v>
      </c>
    </row>
    <row r="1172" spans="1:16" ht="15" customHeight="1" x14ac:dyDescent="0.2">
      <c r="A1172" s="1" t="s">
        <v>3391</v>
      </c>
      <c r="B1172" s="1" t="s">
        <v>3392</v>
      </c>
      <c r="C1172" s="1" t="s">
        <v>2</v>
      </c>
      <c r="D1172" s="1" t="s">
        <v>3</v>
      </c>
      <c r="E1172" s="5">
        <v>37797</v>
      </c>
      <c r="F1172" s="5">
        <v>46155</v>
      </c>
      <c r="G1172" s="2">
        <v>10.26741</v>
      </c>
      <c r="H1172" s="1" t="s">
        <v>4</v>
      </c>
      <c r="I1172" s="2">
        <v>114.6524169158</v>
      </c>
      <c r="J1172" s="1" t="s">
        <v>366</v>
      </c>
      <c r="K1172" s="1" t="s">
        <v>3393</v>
      </c>
      <c r="L1172" s="2">
        <v>155100.4</v>
      </c>
      <c r="M1172">
        <f t="shared" si="54"/>
        <v>1592479.397964</v>
      </c>
      <c r="N1172">
        <f t="shared" si="55"/>
        <v>213755.62388778524</v>
      </c>
      <c r="O1172" t="str">
        <f t="shared" si="56"/>
        <v>BEHOLD</v>
      </c>
      <c r="P1172" s="1" t="s">
        <v>6177</v>
      </c>
    </row>
    <row r="1173" spans="1:16" ht="15" customHeight="1" x14ac:dyDescent="0.2">
      <c r="A1173" s="1" t="s">
        <v>3394</v>
      </c>
      <c r="B1173" s="1" t="s">
        <v>3395</v>
      </c>
      <c r="C1173" s="1" t="s">
        <v>9</v>
      </c>
      <c r="D1173" s="1" t="s">
        <v>3</v>
      </c>
      <c r="E1173" s="5">
        <v>36641</v>
      </c>
      <c r="F1173" s="5">
        <v>45755</v>
      </c>
      <c r="G1173" s="2">
        <v>2.3644050000000001</v>
      </c>
      <c r="H1173" s="1" t="s">
        <v>10</v>
      </c>
      <c r="I1173" s="2">
        <v>14.953449168000001</v>
      </c>
      <c r="J1173" s="1" t="s">
        <v>38</v>
      </c>
      <c r="K1173" s="1" t="s">
        <v>3396</v>
      </c>
      <c r="L1173" s="2">
        <v>193091.1</v>
      </c>
      <c r="M1173">
        <f t="shared" si="54"/>
        <v>456545.56229550001</v>
      </c>
      <c r="N1173">
        <f t="shared" si="55"/>
        <v>40402.262150044247</v>
      </c>
      <c r="O1173" t="str">
        <f t="shared" si="56"/>
        <v>FJERN</v>
      </c>
      <c r="P1173" s="1" t="s">
        <v>6178</v>
      </c>
    </row>
    <row r="1174" spans="1:16" ht="15" customHeight="1" x14ac:dyDescent="0.2">
      <c r="A1174" s="1" t="s">
        <v>3397</v>
      </c>
      <c r="B1174" s="1" t="s">
        <v>3398</v>
      </c>
      <c r="C1174" s="1" t="s">
        <v>9</v>
      </c>
      <c r="D1174" s="1" t="s">
        <v>3</v>
      </c>
      <c r="E1174" s="5">
        <v>43546</v>
      </c>
      <c r="F1174" s="5">
        <v>46155</v>
      </c>
      <c r="G1174" s="2">
        <v>23.32189</v>
      </c>
      <c r="H1174" s="1" t="s">
        <v>10</v>
      </c>
      <c r="I1174" s="2">
        <v>206.62025401</v>
      </c>
      <c r="J1174" s="1" t="s">
        <v>23</v>
      </c>
      <c r="K1174" s="1" t="s">
        <v>3399</v>
      </c>
      <c r="L1174" s="2">
        <v>94736.59</v>
      </c>
      <c r="M1174">
        <f t="shared" si="54"/>
        <v>2209436.3309550998</v>
      </c>
      <c r="N1174">
        <f t="shared" si="55"/>
        <v>195525.33902257518</v>
      </c>
      <c r="O1174" t="str">
        <f t="shared" si="56"/>
        <v>BEHOLD</v>
      </c>
      <c r="P1174" s="1" t="s">
        <v>6179</v>
      </c>
    </row>
    <row r="1175" spans="1:16" ht="15" customHeight="1" x14ac:dyDescent="0.2">
      <c r="A1175" s="1" t="s">
        <v>3400</v>
      </c>
      <c r="B1175" s="1" t="s">
        <v>3401</v>
      </c>
      <c r="C1175" s="1" t="s">
        <v>9</v>
      </c>
      <c r="D1175" s="1" t="s">
        <v>3</v>
      </c>
      <c r="E1175" s="5">
        <v>41736</v>
      </c>
      <c r="F1175" s="5">
        <v>46155</v>
      </c>
      <c r="G1175" s="2">
        <v>2.0452319999999999</v>
      </c>
      <c r="H1175" s="1" t="s">
        <v>10</v>
      </c>
      <c r="I1175" s="2">
        <v>563.11719860000005</v>
      </c>
      <c r="J1175" s="1" t="s">
        <v>61</v>
      </c>
      <c r="K1175" s="1" t="s">
        <v>3402</v>
      </c>
      <c r="L1175" s="2">
        <v>776514</v>
      </c>
      <c r="M1175">
        <f t="shared" si="54"/>
        <v>1588151.281248</v>
      </c>
      <c r="N1175">
        <f t="shared" si="55"/>
        <v>140544.36117238938</v>
      </c>
      <c r="O1175" t="str">
        <f t="shared" si="56"/>
        <v>BEHOLD</v>
      </c>
      <c r="P1175" s="1"/>
    </row>
    <row r="1176" spans="1:16" ht="15" customHeight="1" x14ac:dyDescent="0.2">
      <c r="A1176" s="1" t="s">
        <v>3403</v>
      </c>
      <c r="B1176" s="1" t="s">
        <v>3404</v>
      </c>
      <c r="C1176" s="1" t="s">
        <v>9</v>
      </c>
      <c r="D1176" s="1" t="s">
        <v>3</v>
      </c>
      <c r="E1176" s="5">
        <v>36844</v>
      </c>
      <c r="F1176" s="5">
        <v>43126</v>
      </c>
      <c r="G1176" s="2">
        <v>116.9736</v>
      </c>
      <c r="H1176" s="1" t="s">
        <v>10</v>
      </c>
      <c r="I1176" s="2"/>
      <c r="J1176" s="1" t="s">
        <v>23</v>
      </c>
      <c r="K1176" s="1" t="s">
        <v>3405</v>
      </c>
      <c r="L1176" s="2">
        <v>71182.75</v>
      </c>
      <c r="M1176">
        <f t="shared" si="54"/>
        <v>8326502.5254000006</v>
      </c>
      <c r="N1176">
        <f t="shared" si="55"/>
        <v>736858.63056637172</v>
      </c>
      <c r="O1176" t="str">
        <f t="shared" si="56"/>
        <v>BEHOLD</v>
      </c>
      <c r="P1176" s="1" t="s">
        <v>6180</v>
      </c>
    </row>
    <row r="1177" spans="1:16" ht="15" customHeight="1" x14ac:dyDescent="0.2">
      <c r="A1177" s="1" t="s">
        <v>3406</v>
      </c>
      <c r="B1177" s="1" t="s">
        <v>3407</v>
      </c>
      <c r="C1177" s="1" t="s">
        <v>9</v>
      </c>
      <c r="D1177" s="1" t="s">
        <v>3</v>
      </c>
      <c r="E1177" s="5">
        <v>43563</v>
      </c>
      <c r="F1177" s="5">
        <v>46155</v>
      </c>
      <c r="G1177" s="2">
        <v>1.7795339999999999</v>
      </c>
      <c r="H1177" s="1" t="s">
        <v>10</v>
      </c>
      <c r="I1177" s="2">
        <v>53.078652648000002</v>
      </c>
      <c r="J1177" s="1" t="s">
        <v>51</v>
      </c>
      <c r="K1177" s="1" t="s">
        <v>3408</v>
      </c>
      <c r="L1177" s="2">
        <v>246772.7</v>
      </c>
      <c r="M1177">
        <f t="shared" si="54"/>
        <v>439140.40992180002</v>
      </c>
      <c r="N1177">
        <f t="shared" si="55"/>
        <v>38861.983178920353</v>
      </c>
      <c r="O1177" t="str">
        <f t="shared" si="56"/>
        <v>FJERN</v>
      </c>
      <c r="P1177" s="1" t="s">
        <v>6181</v>
      </c>
    </row>
    <row r="1178" spans="1:16" ht="15" customHeight="1" x14ac:dyDescent="0.2">
      <c r="A1178" s="1" t="s">
        <v>3409</v>
      </c>
      <c r="B1178" s="1" t="s">
        <v>3410</v>
      </c>
      <c r="C1178" s="1" t="s">
        <v>9</v>
      </c>
      <c r="D1178" s="1" t="s">
        <v>3</v>
      </c>
      <c r="E1178" s="5">
        <v>43732</v>
      </c>
      <c r="F1178" s="5">
        <v>46155</v>
      </c>
      <c r="G1178" s="2">
        <v>270.02379999999999</v>
      </c>
      <c r="H1178" s="1" t="s">
        <v>10</v>
      </c>
      <c r="I1178" s="2">
        <v>426246.19461850199</v>
      </c>
      <c r="J1178" s="1" t="s">
        <v>76</v>
      </c>
      <c r="K1178" s="1" t="s">
        <v>3411</v>
      </c>
      <c r="L1178" s="2">
        <v>1178462</v>
      </c>
      <c r="M1178">
        <f t="shared" si="54"/>
        <v>318212787.39560002</v>
      </c>
      <c r="N1178">
        <f t="shared" si="55"/>
        <v>28160423.663327433</v>
      </c>
      <c r="O1178" t="str">
        <f t="shared" si="56"/>
        <v>BEHOLD</v>
      </c>
      <c r="P1178" s="1" t="s">
        <v>6182</v>
      </c>
    </row>
    <row r="1179" spans="1:16" ht="15" customHeight="1" x14ac:dyDescent="0.2">
      <c r="A1179" s="1" t="s">
        <v>3412</v>
      </c>
      <c r="B1179" s="1" t="s">
        <v>3413</v>
      </c>
      <c r="C1179" s="1" t="s">
        <v>9</v>
      </c>
      <c r="D1179" s="1" t="s">
        <v>3</v>
      </c>
      <c r="E1179" s="5">
        <v>42090</v>
      </c>
      <c r="F1179" s="5">
        <v>46155</v>
      </c>
      <c r="G1179" s="2">
        <v>147.9171</v>
      </c>
      <c r="H1179" s="1" t="s">
        <v>10</v>
      </c>
      <c r="I1179" s="2">
        <v>8916.9544679999999</v>
      </c>
      <c r="J1179" s="1" t="s">
        <v>86</v>
      </c>
      <c r="K1179" s="1" t="s">
        <v>3414</v>
      </c>
      <c r="L1179" s="2">
        <v>66431.59</v>
      </c>
      <c r="M1179">
        <f t="shared" si="54"/>
        <v>9826368.1411889996</v>
      </c>
      <c r="N1179">
        <f t="shared" si="55"/>
        <v>869590.1009901769</v>
      </c>
      <c r="O1179" t="str">
        <f t="shared" si="56"/>
        <v>BEHOLD</v>
      </c>
      <c r="P1179" s="1" t="s">
        <v>6183</v>
      </c>
    </row>
    <row r="1180" spans="1:16" ht="15" customHeight="1" x14ac:dyDescent="0.2">
      <c r="A1180" s="1" t="s">
        <v>3415</v>
      </c>
      <c r="B1180" s="1" t="s">
        <v>3416</v>
      </c>
      <c r="C1180" s="1" t="s">
        <v>9</v>
      </c>
      <c r="D1180" s="1" t="s">
        <v>3</v>
      </c>
      <c r="E1180" s="5">
        <v>43566</v>
      </c>
      <c r="F1180" s="5">
        <v>46155</v>
      </c>
      <c r="G1180" s="2">
        <v>64.074820000000003</v>
      </c>
      <c r="H1180" s="1" t="s">
        <v>10</v>
      </c>
      <c r="I1180" s="2">
        <v>10852.340187</v>
      </c>
      <c r="J1180" s="1" t="s">
        <v>289</v>
      </c>
      <c r="K1180" s="1" t="s">
        <v>3417</v>
      </c>
      <c r="L1180" s="2">
        <v>160956.79999999999</v>
      </c>
      <c r="M1180">
        <f t="shared" si="54"/>
        <v>10313277.987776</v>
      </c>
      <c r="N1180">
        <f t="shared" si="55"/>
        <v>912679.46794477873</v>
      </c>
      <c r="O1180" t="str">
        <f t="shared" si="56"/>
        <v>BEHOLD</v>
      </c>
      <c r="P1180" s="1" t="s">
        <v>6184</v>
      </c>
    </row>
    <row r="1181" spans="1:16" ht="15" customHeight="1" x14ac:dyDescent="0.2">
      <c r="A1181" s="1" t="s">
        <v>3418</v>
      </c>
      <c r="B1181" s="1" t="s">
        <v>3419</v>
      </c>
      <c r="C1181" s="1" t="s">
        <v>9</v>
      </c>
      <c r="D1181" s="1" t="s">
        <v>3</v>
      </c>
      <c r="E1181" s="5">
        <v>36122</v>
      </c>
      <c r="F1181" s="5">
        <v>46155</v>
      </c>
      <c r="G1181" s="2">
        <v>47.549370000000003</v>
      </c>
      <c r="H1181" s="1" t="s">
        <v>10</v>
      </c>
      <c r="I1181" s="2">
        <v>126.532968912</v>
      </c>
      <c r="J1181" s="1" t="s">
        <v>289</v>
      </c>
      <c r="K1181" s="1" t="s">
        <v>3420</v>
      </c>
      <c r="L1181" s="2">
        <v>50916.21</v>
      </c>
      <c r="M1181">
        <f t="shared" si="54"/>
        <v>2421033.7082877001</v>
      </c>
      <c r="N1181">
        <f t="shared" si="55"/>
        <v>214250.7706449292</v>
      </c>
      <c r="O1181" t="str">
        <f t="shared" si="56"/>
        <v>BEHOLD</v>
      </c>
      <c r="P1181" s="1" t="s">
        <v>6185</v>
      </c>
    </row>
    <row r="1182" spans="1:16" ht="15" customHeight="1" x14ac:dyDescent="0.2">
      <c r="A1182" s="1" t="s">
        <v>3421</v>
      </c>
      <c r="B1182" s="1" t="s">
        <v>3422</v>
      </c>
      <c r="C1182" s="1" t="s">
        <v>9</v>
      </c>
      <c r="D1182" s="1" t="s">
        <v>3</v>
      </c>
      <c r="E1182" s="5">
        <v>43609</v>
      </c>
      <c r="F1182" s="5">
        <v>46155</v>
      </c>
      <c r="G1182" s="2">
        <v>9.3532019999999996</v>
      </c>
      <c r="H1182" s="1" t="s">
        <v>10</v>
      </c>
      <c r="I1182" s="2">
        <v>1254.49785342</v>
      </c>
      <c r="J1182" s="1" t="s">
        <v>34</v>
      </c>
      <c r="K1182" s="1" t="s">
        <v>3423</v>
      </c>
      <c r="L1182" s="2">
        <v>221104</v>
      </c>
      <c r="M1182">
        <f t="shared" si="54"/>
        <v>2068030.3750079998</v>
      </c>
      <c r="N1182">
        <f t="shared" si="55"/>
        <v>183011.5376113274</v>
      </c>
      <c r="O1182" t="str">
        <f t="shared" si="56"/>
        <v>BEHOLD</v>
      </c>
      <c r="P1182" s="1" t="s">
        <v>6186</v>
      </c>
    </row>
    <row r="1183" spans="1:16" ht="15" customHeight="1" x14ac:dyDescent="0.2">
      <c r="A1183" s="1" t="s">
        <v>3424</v>
      </c>
      <c r="B1183" s="1" t="s">
        <v>3425</v>
      </c>
      <c r="C1183" s="1" t="s">
        <v>9</v>
      </c>
      <c r="D1183" s="1" t="s">
        <v>3</v>
      </c>
      <c r="E1183" s="5">
        <v>33427</v>
      </c>
      <c r="F1183" s="5">
        <v>46155</v>
      </c>
      <c r="G1183" s="2">
        <v>47.97672</v>
      </c>
      <c r="H1183" s="1" t="s">
        <v>10</v>
      </c>
      <c r="I1183" s="2">
        <v>144.94192409999999</v>
      </c>
      <c r="J1183" s="1" t="s">
        <v>76</v>
      </c>
      <c r="K1183" s="1" t="s">
        <v>3426</v>
      </c>
      <c r="L1183" s="2">
        <v>9538.0040000000008</v>
      </c>
      <c r="M1183">
        <f t="shared" si="54"/>
        <v>457602.14726688003</v>
      </c>
      <c r="N1183">
        <f t="shared" si="55"/>
        <v>40495.765244856637</v>
      </c>
      <c r="O1183" t="str">
        <f t="shared" si="56"/>
        <v>FJERN</v>
      </c>
      <c r="P1183" s="1" t="s">
        <v>6187</v>
      </c>
    </row>
    <row r="1184" spans="1:16" ht="15" customHeight="1" x14ac:dyDescent="0.2">
      <c r="A1184" s="1" t="s">
        <v>3427</v>
      </c>
      <c r="B1184" s="1" t="s">
        <v>3428</v>
      </c>
      <c r="C1184" s="1" t="s">
        <v>9</v>
      </c>
      <c r="D1184" s="1" t="s">
        <v>3</v>
      </c>
      <c r="E1184" s="5">
        <v>39776</v>
      </c>
      <c r="F1184" s="5">
        <v>44491</v>
      </c>
      <c r="G1184" s="2">
        <v>629.70249999999999</v>
      </c>
      <c r="H1184" s="1" t="s">
        <v>10</v>
      </c>
      <c r="I1184" s="2"/>
      <c r="J1184" s="1" t="s">
        <v>61</v>
      </c>
      <c r="K1184" s="1" t="s">
        <v>3429</v>
      </c>
      <c r="L1184" s="2">
        <v>4052.1190000000001</v>
      </c>
      <c r="M1184">
        <f t="shared" si="54"/>
        <v>2551629.4645974999</v>
      </c>
      <c r="N1184">
        <f t="shared" si="55"/>
        <v>225807.91722101768</v>
      </c>
      <c r="O1184" t="str">
        <f t="shared" si="56"/>
        <v>BEHOLD</v>
      </c>
      <c r="P1184" s="1" t="s">
        <v>6188</v>
      </c>
    </row>
    <row r="1185" spans="1:16" ht="15" customHeight="1" x14ac:dyDescent="0.2">
      <c r="A1185" s="1" t="s">
        <v>3430</v>
      </c>
      <c r="B1185" s="1" t="s">
        <v>3431</v>
      </c>
      <c r="C1185" s="1" t="s">
        <v>2</v>
      </c>
      <c r="D1185" s="1" t="s">
        <v>3</v>
      </c>
      <c r="E1185" s="5">
        <v>39056</v>
      </c>
      <c r="F1185" s="5">
        <v>46155</v>
      </c>
      <c r="G1185" s="2">
        <v>203.27539999999999</v>
      </c>
      <c r="H1185" s="1" t="s">
        <v>4</v>
      </c>
      <c r="I1185" s="2">
        <v>49.647784067664503</v>
      </c>
      <c r="J1185" s="1" t="s">
        <v>23</v>
      </c>
      <c r="K1185" s="1" t="s">
        <v>3432</v>
      </c>
      <c r="L1185" s="2">
        <v>1105.8599999999999</v>
      </c>
      <c r="M1185">
        <f t="shared" si="54"/>
        <v>224794.13384399997</v>
      </c>
      <c r="N1185">
        <f t="shared" si="55"/>
        <v>30173.709240805365</v>
      </c>
      <c r="O1185" t="str">
        <f t="shared" si="56"/>
        <v>FJERN</v>
      </c>
      <c r="P1185" s="1" t="s">
        <v>6189</v>
      </c>
    </row>
    <row r="1186" spans="1:16" ht="15" customHeight="1" x14ac:dyDescent="0.2">
      <c r="A1186" s="1" t="s">
        <v>3433</v>
      </c>
      <c r="B1186" s="1" t="s">
        <v>3434</v>
      </c>
      <c r="C1186" s="1" t="s">
        <v>9</v>
      </c>
      <c r="D1186" s="1" t="s">
        <v>3</v>
      </c>
      <c r="E1186" s="5">
        <v>44643</v>
      </c>
      <c r="F1186" s="5">
        <v>46155</v>
      </c>
      <c r="G1186" s="2">
        <v>33.537059999999997</v>
      </c>
      <c r="H1186" s="1" t="s">
        <v>10</v>
      </c>
      <c r="I1186" s="2">
        <v>11614.4767737</v>
      </c>
      <c r="J1186" s="1" t="s">
        <v>61</v>
      </c>
      <c r="K1186" s="1" t="s">
        <v>3435</v>
      </c>
      <c r="L1186" s="2">
        <v>219102.6</v>
      </c>
      <c r="M1186">
        <f t="shared" si="54"/>
        <v>7348057.0423559994</v>
      </c>
      <c r="N1186">
        <f t="shared" si="55"/>
        <v>650270.53472176986</v>
      </c>
      <c r="O1186" t="str">
        <f t="shared" si="56"/>
        <v>BEHOLD</v>
      </c>
      <c r="P1186" s="1" t="s">
        <v>6190</v>
      </c>
    </row>
    <row r="1187" spans="1:16" ht="15" customHeight="1" x14ac:dyDescent="0.2">
      <c r="A1187" s="1" t="s">
        <v>3436</v>
      </c>
      <c r="B1187" s="1" t="s">
        <v>3437</v>
      </c>
      <c r="C1187" s="1" t="s">
        <v>9</v>
      </c>
      <c r="D1187" s="1" t="s">
        <v>3</v>
      </c>
      <c r="E1187" s="5">
        <v>43592</v>
      </c>
      <c r="F1187" s="5">
        <v>46155</v>
      </c>
      <c r="G1187" s="2">
        <v>56.9283</v>
      </c>
      <c r="H1187" s="1" t="s">
        <v>10</v>
      </c>
      <c r="I1187" s="2">
        <v>561.50723520206896</v>
      </c>
      <c r="J1187" s="1" t="s">
        <v>34</v>
      </c>
      <c r="K1187" s="1" t="s">
        <v>3438</v>
      </c>
      <c r="L1187" s="2">
        <v>14895.1</v>
      </c>
      <c r="M1187">
        <f t="shared" si="54"/>
        <v>847952.72132999997</v>
      </c>
      <c r="N1187">
        <f t="shared" si="55"/>
        <v>75040.063834513261</v>
      </c>
      <c r="O1187" t="str">
        <f t="shared" si="56"/>
        <v>FJERN</v>
      </c>
      <c r="P1187" s="1" t="s">
        <v>6191</v>
      </c>
    </row>
    <row r="1188" spans="1:16" ht="15" customHeight="1" x14ac:dyDescent="0.2">
      <c r="A1188" s="1" t="s">
        <v>3439</v>
      </c>
      <c r="B1188" s="1" t="s">
        <v>3440</v>
      </c>
      <c r="C1188" s="1" t="s">
        <v>9</v>
      </c>
      <c r="D1188" s="1" t="s">
        <v>3</v>
      </c>
      <c r="E1188" s="5">
        <v>42033</v>
      </c>
      <c r="F1188" s="5">
        <v>44944</v>
      </c>
      <c r="G1188" s="2">
        <v>14.724130000000001</v>
      </c>
      <c r="H1188" s="1" t="s">
        <v>10</v>
      </c>
      <c r="I1188" s="2"/>
      <c r="J1188" s="1" t="s">
        <v>61</v>
      </c>
      <c r="K1188" s="1" t="s">
        <v>3441</v>
      </c>
      <c r="L1188" s="2">
        <v>17652.43</v>
      </c>
      <c r="M1188">
        <f t="shared" si="54"/>
        <v>259916.67413590002</v>
      </c>
      <c r="N1188">
        <f t="shared" si="55"/>
        <v>23001.475587247787</v>
      </c>
      <c r="O1188" t="str">
        <f t="shared" si="56"/>
        <v>FJERN</v>
      </c>
      <c r="P1188" s="1"/>
    </row>
    <row r="1189" spans="1:16" ht="15" customHeight="1" x14ac:dyDescent="0.2">
      <c r="A1189" s="1" t="s">
        <v>3442</v>
      </c>
      <c r="B1189" s="1" t="s">
        <v>3443</v>
      </c>
      <c r="C1189" s="1" t="s">
        <v>2</v>
      </c>
      <c r="D1189" s="1" t="s">
        <v>3</v>
      </c>
      <c r="E1189" s="5">
        <v>43595</v>
      </c>
      <c r="F1189" s="5">
        <v>46155</v>
      </c>
      <c r="G1189" s="2">
        <v>13.540979999999999</v>
      </c>
      <c r="H1189" s="1" t="s">
        <v>4</v>
      </c>
      <c r="I1189" s="2">
        <v>70.380178439999995</v>
      </c>
      <c r="J1189" s="1" t="s">
        <v>236</v>
      </c>
      <c r="K1189" s="1" t="s">
        <v>3444</v>
      </c>
      <c r="L1189" s="2">
        <v>9189.83</v>
      </c>
      <c r="M1189">
        <f t="shared" si="54"/>
        <v>124439.30423339999</v>
      </c>
      <c r="N1189">
        <f t="shared" si="55"/>
        <v>16703.262313208052</v>
      </c>
      <c r="O1189" t="str">
        <f t="shared" si="56"/>
        <v>FJERN</v>
      </c>
      <c r="P1189" s="1" t="s">
        <v>6192</v>
      </c>
    </row>
    <row r="1190" spans="1:16" ht="15" customHeight="1" x14ac:dyDescent="0.2">
      <c r="A1190" s="1" t="s">
        <v>3445</v>
      </c>
      <c r="B1190" s="1" t="s">
        <v>3446</v>
      </c>
      <c r="C1190" s="1" t="s">
        <v>9</v>
      </c>
      <c r="D1190" s="1" t="s">
        <v>3</v>
      </c>
      <c r="E1190" s="5">
        <v>43559</v>
      </c>
      <c r="F1190" s="5">
        <v>46155</v>
      </c>
      <c r="G1190" s="2">
        <v>125.8503</v>
      </c>
      <c r="H1190" s="1" t="s">
        <v>10</v>
      </c>
      <c r="I1190" s="2">
        <v>3055.5045679999998</v>
      </c>
      <c r="J1190" s="1" t="s">
        <v>23</v>
      </c>
      <c r="K1190" s="1" t="s">
        <v>3447</v>
      </c>
      <c r="L1190" s="2">
        <v>18426.32</v>
      </c>
      <c r="M1190">
        <f t="shared" si="54"/>
        <v>2318957.899896</v>
      </c>
      <c r="N1190">
        <f t="shared" si="55"/>
        <v>205217.51326513273</v>
      </c>
      <c r="O1190" t="str">
        <f t="shared" si="56"/>
        <v>BEHOLD</v>
      </c>
      <c r="P1190" s="1"/>
    </row>
    <row r="1191" spans="1:16" ht="15" customHeight="1" x14ac:dyDescent="0.2">
      <c r="A1191" s="1" t="s">
        <v>3448</v>
      </c>
      <c r="B1191" s="1" t="s">
        <v>3449</v>
      </c>
      <c r="C1191" s="1" t="s">
        <v>2</v>
      </c>
      <c r="D1191" s="1" t="s">
        <v>3</v>
      </c>
      <c r="E1191" s="5">
        <v>43605</v>
      </c>
      <c r="F1191" s="5">
        <v>44188</v>
      </c>
      <c r="G1191" s="2">
        <v>30.979859999999999</v>
      </c>
      <c r="H1191" s="1" t="s">
        <v>4</v>
      </c>
      <c r="I1191" s="2"/>
      <c r="J1191" s="1" t="s">
        <v>23</v>
      </c>
      <c r="K1191" s="1" t="s">
        <v>3450</v>
      </c>
      <c r="L1191" s="2">
        <v>26205.58</v>
      </c>
      <c r="M1191">
        <f t="shared" si="54"/>
        <v>811845.19961879996</v>
      </c>
      <c r="N1191">
        <f t="shared" si="55"/>
        <v>108972.5100159463</v>
      </c>
      <c r="O1191" t="str">
        <f t="shared" si="56"/>
        <v>BEHOLD</v>
      </c>
      <c r="P1191" s="1"/>
    </row>
    <row r="1192" spans="1:16" ht="15" customHeight="1" x14ac:dyDescent="0.2">
      <c r="A1192" s="1" t="s">
        <v>3451</v>
      </c>
      <c r="B1192" s="1" t="s">
        <v>3452</v>
      </c>
      <c r="C1192" s="1" t="s">
        <v>9</v>
      </c>
      <c r="D1192" s="1" t="s">
        <v>3</v>
      </c>
      <c r="E1192" s="5">
        <v>43621</v>
      </c>
      <c r="F1192" s="5">
        <v>46155</v>
      </c>
      <c r="G1192" s="2">
        <v>83.586680000000001</v>
      </c>
      <c r="H1192" s="1" t="s">
        <v>10</v>
      </c>
      <c r="I1192" s="2">
        <v>5250.6040300000004</v>
      </c>
      <c r="J1192" s="1" t="s">
        <v>61</v>
      </c>
      <c r="K1192" s="1" t="s">
        <v>3453</v>
      </c>
      <c r="L1192" s="2">
        <v>40134.339999999997</v>
      </c>
      <c r="M1192">
        <f t="shared" si="54"/>
        <v>3354696.2345911996</v>
      </c>
      <c r="N1192">
        <f t="shared" si="55"/>
        <v>296875.77297267248</v>
      </c>
      <c r="O1192" t="str">
        <f t="shared" si="56"/>
        <v>BEHOLD</v>
      </c>
      <c r="P1192" s="1" t="s">
        <v>6193</v>
      </c>
    </row>
    <row r="1193" spans="1:16" ht="15" customHeight="1" x14ac:dyDescent="0.2">
      <c r="A1193" s="1" t="s">
        <v>3454</v>
      </c>
      <c r="B1193" s="1" t="s">
        <v>3455</v>
      </c>
      <c r="C1193" s="1" t="s">
        <v>9</v>
      </c>
      <c r="D1193" s="1" t="s">
        <v>3</v>
      </c>
      <c r="E1193" s="5">
        <v>36263</v>
      </c>
      <c r="F1193" s="5">
        <v>44148</v>
      </c>
      <c r="G1193" s="2">
        <v>36.200040000000001</v>
      </c>
      <c r="H1193" s="1" t="s">
        <v>10</v>
      </c>
      <c r="I1193" s="2"/>
      <c r="J1193" s="1" t="s">
        <v>236</v>
      </c>
      <c r="K1193" s="1" t="s">
        <v>3456</v>
      </c>
      <c r="L1193" s="2">
        <v>97394.55</v>
      </c>
      <c r="M1193">
        <f t="shared" si="54"/>
        <v>3525686.6057820003</v>
      </c>
      <c r="N1193">
        <f t="shared" si="55"/>
        <v>312007.66422849556</v>
      </c>
      <c r="O1193" t="str">
        <f t="shared" si="56"/>
        <v>BEHOLD</v>
      </c>
      <c r="P1193" s="1" t="s">
        <v>6194</v>
      </c>
    </row>
    <row r="1194" spans="1:16" ht="15" customHeight="1" x14ac:dyDescent="0.2">
      <c r="A1194" s="1" t="s">
        <v>3457</v>
      </c>
      <c r="B1194" s="1" t="s">
        <v>3458</v>
      </c>
      <c r="C1194" s="1" t="s">
        <v>9</v>
      </c>
      <c r="D1194" s="1" t="s">
        <v>3</v>
      </c>
      <c r="E1194" s="5">
        <v>41781</v>
      </c>
      <c r="F1194" s="5">
        <v>46155</v>
      </c>
      <c r="G1194" s="2">
        <v>17.171099999999999</v>
      </c>
      <c r="H1194" s="1" t="s">
        <v>10</v>
      </c>
      <c r="I1194" s="2"/>
      <c r="J1194" s="1" t="s">
        <v>236</v>
      </c>
      <c r="K1194" s="1" t="s">
        <v>3459</v>
      </c>
      <c r="L1194" s="2">
        <v>78161.75</v>
      </c>
      <c r="M1194">
        <f t="shared" si="54"/>
        <v>1342123.2254249998</v>
      </c>
      <c r="N1194">
        <f t="shared" si="55"/>
        <v>118771.96685176989</v>
      </c>
      <c r="O1194" t="str">
        <f t="shared" si="56"/>
        <v>BEHOLD</v>
      </c>
      <c r="P1194" s="1" t="s">
        <v>6195</v>
      </c>
    </row>
    <row r="1195" spans="1:16" ht="15" customHeight="1" x14ac:dyDescent="0.2">
      <c r="A1195" s="1" t="s">
        <v>3460</v>
      </c>
      <c r="B1195" s="1" t="s">
        <v>3461</v>
      </c>
      <c r="C1195" s="1" t="s">
        <v>9</v>
      </c>
      <c r="D1195" s="1" t="s">
        <v>3</v>
      </c>
      <c r="E1195" s="5">
        <v>41729</v>
      </c>
      <c r="F1195" s="5">
        <v>46155</v>
      </c>
      <c r="G1195" s="2">
        <v>19.61308</v>
      </c>
      <c r="H1195" s="1" t="s">
        <v>10</v>
      </c>
      <c r="I1195" s="2">
        <v>506.19292815</v>
      </c>
      <c r="J1195" s="1" t="s">
        <v>34</v>
      </c>
      <c r="K1195" s="1" t="s">
        <v>3462</v>
      </c>
      <c r="L1195" s="2">
        <v>32681.59</v>
      </c>
      <c r="M1195">
        <f t="shared" si="54"/>
        <v>640986.63919719995</v>
      </c>
      <c r="N1195">
        <f t="shared" si="55"/>
        <v>56724.481344884945</v>
      </c>
      <c r="O1195" t="str">
        <f t="shared" si="56"/>
        <v>FJERN</v>
      </c>
      <c r="P1195" s="1" t="s">
        <v>6196</v>
      </c>
    </row>
    <row r="1196" spans="1:16" ht="15" customHeight="1" x14ac:dyDescent="0.2">
      <c r="A1196" s="1" t="s">
        <v>3463</v>
      </c>
      <c r="B1196" s="1" t="s">
        <v>3464</v>
      </c>
      <c r="C1196" s="1" t="s">
        <v>9</v>
      </c>
      <c r="D1196" s="1" t="s">
        <v>3</v>
      </c>
      <c r="E1196" s="5">
        <v>34092</v>
      </c>
      <c r="F1196" s="5">
        <v>46155</v>
      </c>
      <c r="G1196" s="2">
        <v>125.2234</v>
      </c>
      <c r="H1196" s="1" t="s">
        <v>10</v>
      </c>
      <c r="I1196" s="2">
        <v>55729.453610390898</v>
      </c>
      <c r="J1196" s="1" t="s">
        <v>15</v>
      </c>
      <c r="K1196" s="1" t="s">
        <v>3465</v>
      </c>
      <c r="L1196" s="2">
        <v>299243.8</v>
      </c>
      <c r="M1196">
        <f t="shared" si="54"/>
        <v>37472326.064920001</v>
      </c>
      <c r="N1196">
        <f t="shared" si="55"/>
        <v>3316135.0499929204</v>
      </c>
      <c r="O1196" t="str">
        <f t="shared" si="56"/>
        <v>BEHOLD</v>
      </c>
      <c r="P1196" s="1" t="s">
        <v>6197</v>
      </c>
    </row>
    <row r="1197" spans="1:16" ht="15" customHeight="1" x14ac:dyDescent="0.2">
      <c r="A1197" s="1" t="s">
        <v>3466</v>
      </c>
      <c r="B1197" s="1" t="s">
        <v>3467</v>
      </c>
      <c r="C1197" s="1" t="s">
        <v>9</v>
      </c>
      <c r="D1197" s="1" t="s">
        <v>3</v>
      </c>
      <c r="E1197" s="5">
        <v>43634</v>
      </c>
      <c r="F1197" s="5">
        <v>46155</v>
      </c>
      <c r="G1197" s="2">
        <v>53.868940000000002</v>
      </c>
      <c r="H1197" s="1" t="s">
        <v>10</v>
      </c>
      <c r="I1197" s="2">
        <v>375.47856224999998</v>
      </c>
      <c r="J1197" s="1" t="s">
        <v>34</v>
      </c>
      <c r="K1197" s="1" t="s">
        <v>3468</v>
      </c>
      <c r="L1197" s="2">
        <v>13786.93</v>
      </c>
      <c r="M1197">
        <f t="shared" si="54"/>
        <v>742687.30495420005</v>
      </c>
      <c r="N1197">
        <f t="shared" si="55"/>
        <v>65724.540261433634</v>
      </c>
      <c r="O1197" t="str">
        <f t="shared" si="56"/>
        <v>FJERN</v>
      </c>
      <c r="P1197" s="1" t="s">
        <v>6198</v>
      </c>
    </row>
    <row r="1198" spans="1:16" ht="15" customHeight="1" x14ac:dyDescent="0.2">
      <c r="A1198" s="1" t="s">
        <v>3469</v>
      </c>
      <c r="B1198" s="1" t="s">
        <v>3470</v>
      </c>
      <c r="C1198" s="1" t="s">
        <v>9</v>
      </c>
      <c r="D1198" s="1" t="s">
        <v>3</v>
      </c>
      <c r="E1198" s="5">
        <v>42083</v>
      </c>
      <c r="F1198" s="5">
        <v>46155</v>
      </c>
      <c r="G1198" s="2">
        <v>594.75639999999999</v>
      </c>
      <c r="H1198" s="1" t="s">
        <v>10</v>
      </c>
      <c r="I1198" s="2">
        <v>125472.918875134</v>
      </c>
      <c r="J1198" s="1" t="s">
        <v>167</v>
      </c>
      <c r="K1198" s="1" t="s">
        <v>3471</v>
      </c>
      <c r="L1198" s="2">
        <v>674683.1</v>
      </c>
      <c r="M1198">
        <f t="shared" si="54"/>
        <v>401272091.69683999</v>
      </c>
      <c r="N1198">
        <f t="shared" si="55"/>
        <v>35510804.57494159</v>
      </c>
      <c r="O1198" t="str">
        <f t="shared" si="56"/>
        <v>BEHOLD</v>
      </c>
      <c r="P1198" s="1" t="s">
        <v>6199</v>
      </c>
    </row>
    <row r="1199" spans="1:16" ht="15" customHeight="1" x14ac:dyDescent="0.2">
      <c r="A1199" s="1" t="s">
        <v>3472</v>
      </c>
      <c r="B1199" s="1" t="s">
        <v>3473</v>
      </c>
      <c r="C1199" s="1" t="s">
        <v>2</v>
      </c>
      <c r="D1199" s="1" t="s">
        <v>3</v>
      </c>
      <c r="E1199" s="5">
        <v>43612</v>
      </c>
      <c r="F1199" s="5">
        <v>46155</v>
      </c>
      <c r="G1199" s="2">
        <v>4.630611</v>
      </c>
      <c r="H1199" s="1" t="s">
        <v>4</v>
      </c>
      <c r="I1199" s="2">
        <v>78.527520499999994</v>
      </c>
      <c r="J1199" s="1" t="s">
        <v>23</v>
      </c>
      <c r="K1199" s="1" t="s">
        <v>3474</v>
      </c>
      <c r="L1199" s="2">
        <v>33272.370000000003</v>
      </c>
      <c r="M1199">
        <f t="shared" si="54"/>
        <v>154071.40251807001</v>
      </c>
      <c r="N1199">
        <f t="shared" si="55"/>
        <v>20680.725170210739</v>
      </c>
      <c r="O1199" t="str">
        <f t="shared" si="56"/>
        <v>FJERN</v>
      </c>
      <c r="P1199" s="1"/>
    </row>
    <row r="1200" spans="1:16" ht="15" customHeight="1" x14ac:dyDescent="0.2">
      <c r="A1200" s="1" t="s">
        <v>3475</v>
      </c>
      <c r="B1200" s="1" t="s">
        <v>3476</v>
      </c>
      <c r="C1200" s="1" t="s">
        <v>9</v>
      </c>
      <c r="D1200" s="1" t="s">
        <v>3</v>
      </c>
      <c r="E1200" s="5">
        <v>43613</v>
      </c>
      <c r="F1200" s="5">
        <v>46155</v>
      </c>
      <c r="G1200" s="2">
        <v>34.268920000000001</v>
      </c>
      <c r="H1200" s="1" t="s">
        <v>10</v>
      </c>
      <c r="I1200" s="2">
        <v>2044.4538382000001</v>
      </c>
      <c r="J1200" s="1" t="s">
        <v>236</v>
      </c>
      <c r="K1200" s="1" t="s">
        <v>3477</v>
      </c>
      <c r="L1200" s="2">
        <v>12050.45</v>
      </c>
      <c r="M1200">
        <f t="shared" si="54"/>
        <v>412955.90701400005</v>
      </c>
      <c r="N1200">
        <f t="shared" si="55"/>
        <v>36544.770532212395</v>
      </c>
      <c r="O1200" t="str">
        <f t="shared" si="56"/>
        <v>FJERN</v>
      </c>
      <c r="P1200" s="1" t="s">
        <v>6200</v>
      </c>
    </row>
    <row r="1201" spans="1:16" ht="15" customHeight="1" x14ac:dyDescent="0.2">
      <c r="A1201" s="1" t="s">
        <v>3478</v>
      </c>
      <c r="B1201" s="1" t="s">
        <v>3479</v>
      </c>
      <c r="C1201" s="1" t="s">
        <v>9</v>
      </c>
      <c r="D1201" s="1" t="s">
        <v>3</v>
      </c>
      <c r="E1201" s="5">
        <v>43735</v>
      </c>
      <c r="F1201" s="5">
        <v>45800</v>
      </c>
      <c r="G1201" s="2">
        <v>1.714102</v>
      </c>
      <c r="H1201" s="1" t="s">
        <v>10</v>
      </c>
      <c r="I1201" s="2">
        <v>173.254982775</v>
      </c>
      <c r="J1201" s="1" t="s">
        <v>366</v>
      </c>
      <c r="K1201" s="1" t="s">
        <v>3480</v>
      </c>
      <c r="L1201" s="2">
        <v>1898094</v>
      </c>
      <c r="M1201">
        <f t="shared" si="54"/>
        <v>3253526.7215880002</v>
      </c>
      <c r="N1201">
        <f t="shared" si="55"/>
        <v>287922.71872460179</v>
      </c>
      <c r="O1201" t="str">
        <f t="shared" si="56"/>
        <v>BEHOLD</v>
      </c>
      <c r="P1201" s="1" t="s">
        <v>6201</v>
      </c>
    </row>
    <row r="1202" spans="1:16" ht="15" customHeight="1" x14ac:dyDescent="0.2">
      <c r="A1202" s="1" t="s">
        <v>3481</v>
      </c>
      <c r="B1202" s="1" t="s">
        <v>3482</v>
      </c>
      <c r="C1202" s="1" t="s">
        <v>2</v>
      </c>
      <c r="D1202" s="1" t="s">
        <v>3</v>
      </c>
      <c r="E1202" s="5">
        <v>43808</v>
      </c>
      <c r="F1202" s="5">
        <v>45224</v>
      </c>
      <c r="G1202" s="2">
        <v>3.7527170000000001</v>
      </c>
      <c r="H1202" s="1" t="s">
        <v>4</v>
      </c>
      <c r="I1202" s="2"/>
      <c r="J1202" s="1" t="s">
        <v>167</v>
      </c>
      <c r="K1202" s="1" t="s">
        <v>3483</v>
      </c>
      <c r="L1202" s="2">
        <v>77812.800000000003</v>
      </c>
      <c r="M1202">
        <f t="shared" si="54"/>
        <v>292009.41737760004</v>
      </c>
      <c r="N1202">
        <f t="shared" si="55"/>
        <v>39195.894950013426</v>
      </c>
      <c r="O1202" t="str">
        <f t="shared" si="56"/>
        <v>FJERN</v>
      </c>
      <c r="P1202" s="1"/>
    </row>
    <row r="1203" spans="1:16" ht="15" customHeight="1" x14ac:dyDescent="0.2">
      <c r="A1203" s="1" t="s">
        <v>3484</v>
      </c>
      <c r="B1203" s="1" t="s">
        <v>3485</v>
      </c>
      <c r="C1203" s="1" t="s">
        <v>9</v>
      </c>
      <c r="D1203" s="1" t="s">
        <v>3</v>
      </c>
      <c r="E1203" s="5">
        <v>44365</v>
      </c>
      <c r="F1203" s="5">
        <v>46155</v>
      </c>
      <c r="G1203" s="2">
        <v>23.846769999999999</v>
      </c>
      <c r="H1203" s="1" t="s">
        <v>10</v>
      </c>
      <c r="I1203" s="2">
        <v>213.01603460000001</v>
      </c>
      <c r="J1203" s="1" t="s">
        <v>64</v>
      </c>
      <c r="K1203" s="1" t="s">
        <v>3486</v>
      </c>
      <c r="L1203" s="2">
        <v>23295.93</v>
      </c>
      <c r="M1203">
        <f t="shared" si="54"/>
        <v>555532.68464610004</v>
      </c>
      <c r="N1203">
        <f t="shared" si="55"/>
        <v>49162.184481955752</v>
      </c>
      <c r="O1203" t="str">
        <f t="shared" si="56"/>
        <v>FJERN</v>
      </c>
      <c r="P1203" s="1" t="s">
        <v>6202</v>
      </c>
    </row>
    <row r="1204" spans="1:16" ht="15" customHeight="1" x14ac:dyDescent="0.2">
      <c r="A1204" s="1" t="s">
        <v>3487</v>
      </c>
      <c r="B1204" s="1" t="s">
        <v>3488</v>
      </c>
      <c r="C1204" s="1" t="s">
        <v>9</v>
      </c>
      <c r="D1204" s="1" t="s">
        <v>3</v>
      </c>
      <c r="E1204" s="5">
        <v>43647</v>
      </c>
      <c r="F1204" s="5">
        <v>44449</v>
      </c>
      <c r="G1204" s="2">
        <v>107.7979</v>
      </c>
      <c r="H1204" s="1" t="s">
        <v>10</v>
      </c>
      <c r="I1204" s="2"/>
      <c r="J1204" s="1" t="s">
        <v>197</v>
      </c>
      <c r="K1204" s="1" t="s">
        <v>3489</v>
      </c>
      <c r="L1204" s="2">
        <v>63156.54</v>
      </c>
      <c r="M1204">
        <f t="shared" si="54"/>
        <v>6808142.3832660001</v>
      </c>
      <c r="N1204">
        <f t="shared" si="55"/>
        <v>602490.47639522119</v>
      </c>
      <c r="O1204" t="str">
        <f t="shared" si="56"/>
        <v>BEHOLD</v>
      </c>
      <c r="P1204" s="1" t="s">
        <v>6203</v>
      </c>
    </row>
    <row r="1205" spans="1:16" ht="15" customHeight="1" x14ac:dyDescent="0.2">
      <c r="A1205" s="1" t="s">
        <v>3490</v>
      </c>
      <c r="B1205" s="1" t="s">
        <v>3491</v>
      </c>
      <c r="C1205" s="1" t="s">
        <v>9</v>
      </c>
      <c r="D1205" s="1" t="s">
        <v>3</v>
      </c>
      <c r="E1205" s="5">
        <v>42205</v>
      </c>
      <c r="F1205" s="5">
        <v>46155</v>
      </c>
      <c r="G1205" s="2">
        <v>7.317272</v>
      </c>
      <c r="H1205" s="1" t="s">
        <v>10</v>
      </c>
      <c r="I1205" s="2">
        <v>398.44421900200001</v>
      </c>
      <c r="J1205" s="1" t="s">
        <v>38</v>
      </c>
      <c r="K1205" s="1" t="s">
        <v>3492</v>
      </c>
      <c r="L1205" s="2">
        <v>740467.3</v>
      </c>
      <c r="M1205">
        <f t="shared" si="54"/>
        <v>5418200.6412056005</v>
      </c>
      <c r="N1205">
        <f t="shared" si="55"/>
        <v>479486.78240757523</v>
      </c>
      <c r="O1205" t="str">
        <f t="shared" si="56"/>
        <v>BEHOLD</v>
      </c>
      <c r="P1205" s="1" t="s">
        <v>6204</v>
      </c>
    </row>
    <row r="1206" spans="1:16" ht="15" customHeight="1" x14ac:dyDescent="0.2">
      <c r="A1206" s="1" t="s">
        <v>3493</v>
      </c>
      <c r="B1206" s="1" t="s">
        <v>3494</v>
      </c>
      <c r="C1206" s="1" t="s">
        <v>9</v>
      </c>
      <c r="D1206" s="1" t="s">
        <v>3</v>
      </c>
      <c r="E1206" s="5">
        <v>43636</v>
      </c>
      <c r="F1206" s="5">
        <v>46155</v>
      </c>
      <c r="G1206" s="2">
        <v>22.972519999999999</v>
      </c>
      <c r="H1206" s="1" t="s">
        <v>10</v>
      </c>
      <c r="I1206" s="2">
        <v>427.1798675</v>
      </c>
      <c r="J1206" s="1" t="s">
        <v>61</v>
      </c>
      <c r="K1206" s="1" t="s">
        <v>3495</v>
      </c>
      <c r="L1206" s="2">
        <v>51493.29</v>
      </c>
      <c r="M1206">
        <f t="shared" si="54"/>
        <v>1182930.6343908</v>
      </c>
      <c r="N1206">
        <f t="shared" si="55"/>
        <v>104684.12693723894</v>
      </c>
      <c r="O1206" t="str">
        <f t="shared" si="56"/>
        <v>BEHOLD</v>
      </c>
      <c r="P1206" s="1" t="s">
        <v>6205</v>
      </c>
    </row>
    <row r="1207" spans="1:16" ht="15" customHeight="1" x14ac:dyDescent="0.2">
      <c r="A1207" s="1" t="s">
        <v>3496</v>
      </c>
      <c r="B1207" s="1" t="s">
        <v>3497</v>
      </c>
      <c r="C1207" s="1" t="s">
        <v>2</v>
      </c>
      <c r="D1207" s="1" t="s">
        <v>3</v>
      </c>
      <c r="E1207" s="5">
        <v>44553</v>
      </c>
      <c r="F1207" s="5">
        <v>45061</v>
      </c>
      <c r="G1207" s="2">
        <v>8.2189859999999992</v>
      </c>
      <c r="H1207" s="1" t="s">
        <v>4</v>
      </c>
      <c r="I1207" s="2"/>
      <c r="J1207" s="1" t="s">
        <v>122</v>
      </c>
      <c r="K1207" s="1" t="s">
        <v>3498</v>
      </c>
      <c r="L1207" s="2">
        <v>12939.88</v>
      </c>
      <c r="M1207">
        <f t="shared" si="54"/>
        <v>106352.69256167999</v>
      </c>
      <c r="N1207">
        <f t="shared" si="55"/>
        <v>14275.529202910066</v>
      </c>
      <c r="O1207" t="str">
        <f t="shared" si="56"/>
        <v>FJERN</v>
      </c>
      <c r="P1207" s="1"/>
    </row>
    <row r="1208" spans="1:16" ht="15" customHeight="1" x14ac:dyDescent="0.2">
      <c r="A1208" s="1" t="s">
        <v>3499</v>
      </c>
      <c r="B1208" s="1" t="s">
        <v>3500</v>
      </c>
      <c r="C1208" s="1" t="s">
        <v>9</v>
      </c>
      <c r="D1208" s="1" t="s">
        <v>3</v>
      </c>
      <c r="E1208" s="5">
        <v>43759</v>
      </c>
      <c r="F1208" s="5">
        <v>45653</v>
      </c>
      <c r="G1208" s="2">
        <v>5.7277259999999997</v>
      </c>
      <c r="H1208" s="1" t="s">
        <v>10</v>
      </c>
      <c r="I1208" s="2">
        <v>57.739467726001401</v>
      </c>
      <c r="J1208" s="1" t="s">
        <v>236</v>
      </c>
      <c r="K1208" s="1" t="s">
        <v>3501</v>
      </c>
      <c r="L1208" s="2">
        <v>337492.9</v>
      </c>
      <c r="M1208">
        <f t="shared" si="54"/>
        <v>1933066.8581454</v>
      </c>
      <c r="N1208">
        <f t="shared" si="55"/>
        <v>171067.86355269025</v>
      </c>
      <c r="O1208" t="str">
        <f t="shared" si="56"/>
        <v>BEHOLD</v>
      </c>
      <c r="P1208" s="1"/>
    </row>
    <row r="1209" spans="1:16" ht="15" customHeight="1" x14ac:dyDescent="0.2">
      <c r="A1209" s="1" t="s">
        <v>3502</v>
      </c>
      <c r="B1209" s="1" t="s">
        <v>3503</v>
      </c>
      <c r="C1209" s="1" t="s">
        <v>9</v>
      </c>
      <c r="D1209" s="1" t="s">
        <v>3</v>
      </c>
      <c r="E1209" s="5">
        <v>43643</v>
      </c>
      <c r="F1209" s="5">
        <v>44869</v>
      </c>
      <c r="G1209" s="2">
        <v>25.24755</v>
      </c>
      <c r="H1209" s="1" t="s">
        <v>10</v>
      </c>
      <c r="I1209" s="2"/>
      <c r="J1209" s="1" t="s">
        <v>23</v>
      </c>
      <c r="K1209" s="1" t="s">
        <v>3504</v>
      </c>
      <c r="L1209" s="2">
        <v>59683.11</v>
      </c>
      <c r="M1209">
        <f t="shared" si="54"/>
        <v>1506852.3038805001</v>
      </c>
      <c r="N1209">
        <f t="shared" si="55"/>
        <v>133349.76140535399</v>
      </c>
      <c r="O1209" t="str">
        <f t="shared" si="56"/>
        <v>BEHOLD</v>
      </c>
      <c r="P1209" s="1" t="s">
        <v>6206</v>
      </c>
    </row>
    <row r="1210" spans="1:16" ht="15" customHeight="1" x14ac:dyDescent="0.2">
      <c r="A1210" s="1" t="s">
        <v>3505</v>
      </c>
      <c r="B1210" s="1" t="s">
        <v>3506</v>
      </c>
      <c r="C1210" s="1" t="s">
        <v>9</v>
      </c>
      <c r="D1210" s="1" t="s">
        <v>3</v>
      </c>
      <c r="E1210" s="5">
        <v>43742</v>
      </c>
      <c r="F1210" s="5">
        <v>45754</v>
      </c>
      <c r="G1210" s="2">
        <v>1.6840010000000001</v>
      </c>
      <c r="H1210" s="1" t="s">
        <v>3371</v>
      </c>
      <c r="I1210" s="2"/>
      <c r="J1210" s="1" t="s">
        <v>61</v>
      </c>
      <c r="K1210" s="1" t="s">
        <v>3507</v>
      </c>
      <c r="L1210" s="2">
        <v>438877.7</v>
      </c>
      <c r="M1210">
        <f t="shared" si="54"/>
        <v>739070.48567770002</v>
      </c>
      <c r="N1210">
        <f t="shared" si="55"/>
        <v>739070.48567770002</v>
      </c>
      <c r="O1210" t="str">
        <f t="shared" si="56"/>
        <v>BEHOLD</v>
      </c>
      <c r="P1210" s="1" t="s">
        <v>6207</v>
      </c>
    </row>
    <row r="1211" spans="1:16" ht="15" customHeight="1" x14ac:dyDescent="0.2">
      <c r="A1211" s="1" t="s">
        <v>3508</v>
      </c>
      <c r="B1211" s="1" t="s">
        <v>3509</v>
      </c>
      <c r="C1211" s="1" t="s">
        <v>9</v>
      </c>
      <c r="D1211" s="1" t="s">
        <v>3</v>
      </c>
      <c r="E1211" s="5">
        <v>43612</v>
      </c>
      <c r="F1211" s="5">
        <v>44825</v>
      </c>
      <c r="G1211" s="2">
        <v>72.701620000000005</v>
      </c>
      <c r="H1211" s="1" t="s">
        <v>10</v>
      </c>
      <c r="I1211" s="2"/>
      <c r="J1211" s="1" t="s">
        <v>30</v>
      </c>
      <c r="K1211" s="1" t="s">
        <v>3510</v>
      </c>
      <c r="L1211" s="2">
        <v>6068.598</v>
      </c>
      <c r="M1211">
        <f t="shared" si="54"/>
        <v>441196.90572876006</v>
      </c>
      <c r="N1211">
        <f t="shared" si="55"/>
        <v>39043.973958297349</v>
      </c>
      <c r="O1211" t="str">
        <f t="shared" si="56"/>
        <v>FJERN</v>
      </c>
      <c r="P1211" s="1"/>
    </row>
    <row r="1212" spans="1:16" ht="15" customHeight="1" x14ac:dyDescent="0.2">
      <c r="A1212" s="1" t="s">
        <v>3511</v>
      </c>
      <c r="B1212" s="1" t="s">
        <v>3512</v>
      </c>
      <c r="C1212" s="1" t="s">
        <v>9</v>
      </c>
      <c r="D1212" s="1" t="s">
        <v>3</v>
      </c>
      <c r="E1212" s="5">
        <v>41751</v>
      </c>
      <c r="F1212" s="5">
        <v>46155</v>
      </c>
      <c r="G1212" s="2">
        <v>15.700290000000001</v>
      </c>
      <c r="H1212" s="1" t="s">
        <v>10</v>
      </c>
      <c r="I1212" s="2">
        <v>2930.0255076143999</v>
      </c>
      <c r="J1212" s="1" t="s">
        <v>366</v>
      </c>
      <c r="K1212" s="1" t="s">
        <v>3513</v>
      </c>
      <c r="L1212" s="2">
        <v>349917.8</v>
      </c>
      <c r="M1212">
        <f t="shared" si="54"/>
        <v>5493810.9361620005</v>
      </c>
      <c r="N1212">
        <f t="shared" si="55"/>
        <v>486177.95895238942</v>
      </c>
      <c r="O1212" t="str">
        <f t="shared" si="56"/>
        <v>BEHOLD</v>
      </c>
      <c r="P1212" s="1" t="s">
        <v>6208</v>
      </c>
    </row>
    <row r="1213" spans="1:16" ht="15" customHeight="1" x14ac:dyDescent="0.2">
      <c r="A1213" s="1" t="s">
        <v>3514</v>
      </c>
      <c r="B1213" s="1" t="s">
        <v>3515</v>
      </c>
      <c r="C1213" s="1" t="s">
        <v>2</v>
      </c>
      <c r="D1213" s="1" t="s">
        <v>3</v>
      </c>
      <c r="E1213" s="5">
        <v>41711</v>
      </c>
      <c r="F1213" s="5">
        <v>46155</v>
      </c>
      <c r="G1213" s="2">
        <v>178.8502</v>
      </c>
      <c r="H1213" s="1" t="s">
        <v>4</v>
      </c>
      <c r="I1213" s="2">
        <v>35063.234133600003</v>
      </c>
      <c r="J1213" s="1" t="s">
        <v>289</v>
      </c>
      <c r="K1213" s="1" t="s">
        <v>3516</v>
      </c>
      <c r="L1213" s="2">
        <v>592709.9</v>
      </c>
      <c r="M1213">
        <f t="shared" si="54"/>
        <v>106006284.15698001</v>
      </c>
      <c r="N1213">
        <f t="shared" si="55"/>
        <v>14229031.430467116</v>
      </c>
      <c r="O1213" t="str">
        <f t="shared" si="56"/>
        <v>BEHOLD</v>
      </c>
      <c r="P1213" s="1" t="s">
        <v>6209</v>
      </c>
    </row>
    <row r="1214" spans="1:16" ht="15" customHeight="1" x14ac:dyDescent="0.2">
      <c r="A1214" s="1" t="s">
        <v>3517</v>
      </c>
      <c r="B1214" s="1" t="s">
        <v>3518</v>
      </c>
      <c r="C1214" s="1" t="s">
        <v>9</v>
      </c>
      <c r="D1214" s="1" t="s">
        <v>3</v>
      </c>
      <c r="E1214" s="5">
        <v>43818</v>
      </c>
      <c r="F1214" s="5">
        <v>46114</v>
      </c>
      <c r="G1214" s="2">
        <v>4.4096460000000004</v>
      </c>
      <c r="H1214" s="1" t="s">
        <v>10</v>
      </c>
      <c r="I1214" s="2">
        <v>156.27096896</v>
      </c>
      <c r="J1214" s="1" t="s">
        <v>289</v>
      </c>
      <c r="K1214" s="1" t="s">
        <v>3519</v>
      </c>
      <c r="L1214" s="2">
        <v>34622.660000000003</v>
      </c>
      <c r="M1214">
        <f t="shared" si="54"/>
        <v>152673.67417836003</v>
      </c>
      <c r="N1214">
        <f t="shared" si="55"/>
        <v>13510.944617553983</v>
      </c>
      <c r="O1214" t="str">
        <f t="shared" si="56"/>
        <v>FJERN</v>
      </c>
      <c r="P1214" s="1" t="s">
        <v>6210</v>
      </c>
    </row>
    <row r="1215" spans="1:16" ht="15" customHeight="1" x14ac:dyDescent="0.2">
      <c r="A1215" s="1" t="s">
        <v>3520</v>
      </c>
      <c r="B1215" s="1" t="s">
        <v>3521</v>
      </c>
      <c r="C1215" s="1" t="s">
        <v>9</v>
      </c>
      <c r="D1215" s="1" t="s">
        <v>3</v>
      </c>
      <c r="E1215" s="5">
        <v>43760</v>
      </c>
      <c r="F1215" s="5">
        <v>44778</v>
      </c>
      <c r="G1215" s="2">
        <v>21.956130000000002</v>
      </c>
      <c r="H1215" s="1" t="s">
        <v>10</v>
      </c>
      <c r="I1215" s="2"/>
      <c r="J1215" s="1" t="s">
        <v>289</v>
      </c>
      <c r="K1215" s="1" t="s">
        <v>3522</v>
      </c>
      <c r="L1215" s="2">
        <v>3036.9760000000001</v>
      </c>
      <c r="M1215">
        <f t="shared" si="54"/>
        <v>66680.239862880015</v>
      </c>
      <c r="N1215">
        <f t="shared" si="55"/>
        <v>5900.9061825557528</v>
      </c>
      <c r="O1215" t="str">
        <f t="shared" si="56"/>
        <v>FJERN</v>
      </c>
      <c r="P1215" s="1"/>
    </row>
    <row r="1216" spans="1:16" ht="15" customHeight="1" x14ac:dyDescent="0.2">
      <c r="A1216" s="1" t="s">
        <v>3523</v>
      </c>
      <c r="B1216" s="1" t="s">
        <v>3524</v>
      </c>
      <c r="C1216" s="1" t="s">
        <v>9</v>
      </c>
      <c r="D1216" s="1" t="s">
        <v>3</v>
      </c>
      <c r="E1216" s="5">
        <v>40347</v>
      </c>
      <c r="F1216" s="5">
        <v>43936</v>
      </c>
      <c r="G1216" s="2">
        <v>173.8526</v>
      </c>
      <c r="H1216" s="1" t="s">
        <v>10</v>
      </c>
      <c r="I1216" s="2"/>
      <c r="J1216" s="1" t="s">
        <v>184</v>
      </c>
      <c r="K1216" s="1" t="s">
        <v>3525</v>
      </c>
      <c r="L1216" s="2">
        <v>15108.32</v>
      </c>
      <c r="M1216">
        <f t="shared" si="54"/>
        <v>2626620.7136319997</v>
      </c>
      <c r="N1216">
        <f t="shared" si="55"/>
        <v>232444.31094088493</v>
      </c>
      <c r="O1216" t="str">
        <f t="shared" si="56"/>
        <v>BEHOLD</v>
      </c>
      <c r="P1216" s="1" t="s">
        <v>6211</v>
      </c>
    </row>
    <row r="1217" spans="1:16" ht="15" customHeight="1" x14ac:dyDescent="0.2">
      <c r="A1217" s="1" t="s">
        <v>3526</v>
      </c>
      <c r="B1217" s="1" t="s">
        <v>3527</v>
      </c>
      <c r="C1217" s="1" t="s">
        <v>9</v>
      </c>
      <c r="D1217" s="1" t="s">
        <v>3</v>
      </c>
      <c r="E1217" s="5">
        <v>43811</v>
      </c>
      <c r="F1217" s="5">
        <v>46155</v>
      </c>
      <c r="G1217" s="2">
        <v>34.10962</v>
      </c>
      <c r="H1217" s="1" t="s">
        <v>10</v>
      </c>
      <c r="I1217" s="2">
        <v>292.72624000000002</v>
      </c>
      <c r="J1217" s="1" t="s">
        <v>23</v>
      </c>
      <c r="K1217" s="1" t="s">
        <v>3528</v>
      </c>
      <c r="L1217" s="2">
        <v>30232.080000000002</v>
      </c>
      <c r="M1217">
        <f t="shared" si="54"/>
        <v>1031204.7606096</v>
      </c>
      <c r="N1217">
        <f t="shared" si="55"/>
        <v>91257.058461026536</v>
      </c>
      <c r="O1217" t="str">
        <f t="shared" si="56"/>
        <v>FJERN</v>
      </c>
      <c r="P1217" s="1" t="s">
        <v>6212</v>
      </c>
    </row>
    <row r="1218" spans="1:16" ht="15" customHeight="1" x14ac:dyDescent="0.2">
      <c r="A1218" s="1" t="s">
        <v>3529</v>
      </c>
      <c r="B1218" s="1" t="s">
        <v>3530</v>
      </c>
      <c r="C1218" s="1" t="s">
        <v>9</v>
      </c>
      <c r="D1218" s="1" t="s">
        <v>3</v>
      </c>
      <c r="E1218" s="5">
        <v>42677</v>
      </c>
      <c r="F1218" s="5">
        <v>46155</v>
      </c>
      <c r="G1218" s="2">
        <v>98.487009999999998</v>
      </c>
      <c r="H1218" s="1" t="s">
        <v>10</v>
      </c>
      <c r="I1218" s="2">
        <v>1486.3072887000001</v>
      </c>
      <c r="J1218" s="1" t="s">
        <v>64</v>
      </c>
      <c r="K1218" s="1" t="s">
        <v>3531</v>
      </c>
      <c r="L1218" s="2">
        <v>211069.8</v>
      </c>
      <c r="M1218">
        <f t="shared" si="54"/>
        <v>20787633.503298</v>
      </c>
      <c r="N1218">
        <f t="shared" si="55"/>
        <v>1839613.5843626547</v>
      </c>
      <c r="O1218" t="str">
        <f t="shared" si="56"/>
        <v>BEHOLD</v>
      </c>
      <c r="P1218" s="1" t="s">
        <v>6213</v>
      </c>
    </row>
    <row r="1219" spans="1:16" ht="15" customHeight="1" x14ac:dyDescent="0.2">
      <c r="A1219" s="1" t="s">
        <v>3532</v>
      </c>
      <c r="B1219" s="1" t="s">
        <v>3533</v>
      </c>
      <c r="C1219" s="1" t="s">
        <v>9</v>
      </c>
      <c r="D1219" s="1" t="s">
        <v>3</v>
      </c>
      <c r="E1219" s="5">
        <v>43871</v>
      </c>
      <c r="F1219" s="5">
        <v>46010</v>
      </c>
      <c r="G1219" s="2">
        <v>3.8325520000000002</v>
      </c>
      <c r="H1219" s="1" t="s">
        <v>10</v>
      </c>
      <c r="I1219" s="2">
        <v>35.231169516000001</v>
      </c>
      <c r="J1219" s="1" t="s">
        <v>5</v>
      </c>
      <c r="K1219" s="1" t="s">
        <v>3534</v>
      </c>
      <c r="L1219" s="2">
        <v>150625.70000000001</v>
      </c>
      <c r="M1219">
        <f t="shared" ref="M1219:M1282" si="57">IF(OR(G1219="",L1219=""),"",G1219*L1219)</f>
        <v>577280.8277864001</v>
      </c>
      <c r="N1219">
        <f t="shared" ref="N1219:N1282" si="58">IF(M1219="","",IF(H1219="DKK",M1219/7.45,IF(H1219="SEK",M1219/11.3,M1219)))</f>
        <v>51086.798919150446</v>
      </c>
      <c r="O1219" t="str">
        <f t="shared" ref="O1219:O1282" si="59">IF(AND(E1219&lt;=DATE(2024,12,31),F1219&gt;=DATE(2010,1,1),D1219="SHARE",N1219&gt;=100000),"BEHOLD","FJERN")</f>
        <v>FJERN</v>
      </c>
      <c r="P1219" s="1" t="s">
        <v>6214</v>
      </c>
    </row>
    <row r="1220" spans="1:16" ht="15" customHeight="1" x14ac:dyDescent="0.2">
      <c r="A1220" s="1" t="s">
        <v>3535</v>
      </c>
      <c r="B1220" s="1" t="s">
        <v>3536</v>
      </c>
      <c r="C1220" s="1" t="s">
        <v>2</v>
      </c>
      <c r="D1220" s="1" t="s">
        <v>3</v>
      </c>
      <c r="E1220" s="5">
        <v>44379</v>
      </c>
      <c r="F1220" s="5">
        <v>45758</v>
      </c>
      <c r="G1220" s="2">
        <v>9.0335900000000002</v>
      </c>
      <c r="H1220" s="1" t="s">
        <v>4</v>
      </c>
      <c r="I1220" s="2"/>
      <c r="J1220" s="1" t="s">
        <v>167</v>
      </c>
      <c r="K1220" s="1" t="s">
        <v>3537</v>
      </c>
      <c r="L1220" s="2">
        <v>19907.490000000002</v>
      </c>
      <c r="M1220">
        <f t="shared" si="57"/>
        <v>179836.10258910002</v>
      </c>
      <c r="N1220">
        <f t="shared" si="58"/>
        <v>24139.074173033558</v>
      </c>
      <c r="O1220" t="str">
        <f t="shared" si="59"/>
        <v>FJERN</v>
      </c>
      <c r="P1220" s="1" t="s">
        <v>6215</v>
      </c>
    </row>
    <row r="1221" spans="1:16" ht="15" customHeight="1" x14ac:dyDescent="0.2">
      <c r="A1221" s="1" t="s">
        <v>3538</v>
      </c>
      <c r="B1221" s="1" t="s">
        <v>3539</v>
      </c>
      <c r="C1221" s="1" t="s">
        <v>9</v>
      </c>
      <c r="D1221" s="1" t="s">
        <v>3</v>
      </c>
      <c r="E1221" s="5">
        <v>44363</v>
      </c>
      <c r="F1221" s="5">
        <v>46155</v>
      </c>
      <c r="G1221" s="2">
        <v>35.886020000000002</v>
      </c>
      <c r="H1221" s="1" t="s">
        <v>10</v>
      </c>
      <c r="I1221" s="2">
        <v>2796.3906750000001</v>
      </c>
      <c r="J1221" s="1" t="s">
        <v>61</v>
      </c>
      <c r="K1221" s="1" t="s">
        <v>3540</v>
      </c>
      <c r="L1221" s="2">
        <v>18412.63</v>
      </c>
      <c r="M1221">
        <f t="shared" si="57"/>
        <v>660756.00843260007</v>
      </c>
      <c r="N1221">
        <f t="shared" si="58"/>
        <v>58473.983047132744</v>
      </c>
      <c r="O1221" t="str">
        <f t="shared" si="59"/>
        <v>FJERN</v>
      </c>
      <c r="P1221" s="1" t="s">
        <v>6216</v>
      </c>
    </row>
    <row r="1222" spans="1:16" ht="15" customHeight="1" x14ac:dyDescent="0.2">
      <c r="A1222" s="1" t="s">
        <v>3541</v>
      </c>
      <c r="B1222" s="1" t="s">
        <v>3542</v>
      </c>
      <c r="C1222" s="1" t="s">
        <v>9</v>
      </c>
      <c r="D1222" s="1" t="s">
        <v>3</v>
      </c>
      <c r="E1222" s="5">
        <v>42285</v>
      </c>
      <c r="F1222" s="5">
        <v>46155</v>
      </c>
      <c r="G1222" s="2">
        <v>37.552909999999997</v>
      </c>
      <c r="H1222" s="1" t="s">
        <v>10</v>
      </c>
      <c r="I1222" s="2">
        <v>24285.15561102</v>
      </c>
      <c r="J1222" s="1" t="s">
        <v>236</v>
      </c>
      <c r="K1222" s="1" t="s">
        <v>3543</v>
      </c>
      <c r="L1222" s="2">
        <v>4035668</v>
      </c>
      <c r="M1222">
        <f t="shared" si="57"/>
        <v>151551077.19387999</v>
      </c>
      <c r="N1222">
        <f t="shared" si="58"/>
        <v>13411599.751670795</v>
      </c>
      <c r="O1222" t="str">
        <f t="shared" si="59"/>
        <v>BEHOLD</v>
      </c>
      <c r="P1222" s="1" t="s">
        <v>6217</v>
      </c>
    </row>
    <row r="1223" spans="1:16" ht="15" customHeight="1" x14ac:dyDescent="0.2">
      <c r="A1223" s="1" t="s">
        <v>3544</v>
      </c>
      <c r="B1223" s="1" t="s">
        <v>3545</v>
      </c>
      <c r="C1223" s="1" t="s">
        <v>9</v>
      </c>
      <c r="D1223" s="1" t="s">
        <v>3</v>
      </c>
      <c r="E1223" s="5">
        <v>44365</v>
      </c>
      <c r="F1223" s="5">
        <v>46155</v>
      </c>
      <c r="G1223" s="2">
        <v>0.99227690000000002</v>
      </c>
      <c r="H1223" s="1" t="s">
        <v>10</v>
      </c>
      <c r="I1223" s="2">
        <v>45.475335749999999</v>
      </c>
      <c r="J1223" s="1" t="s">
        <v>11</v>
      </c>
      <c r="K1223" s="1" t="s">
        <v>3546</v>
      </c>
      <c r="L1223" s="2">
        <v>534723.19999999995</v>
      </c>
      <c r="M1223">
        <f t="shared" si="57"/>
        <v>530593.47925407998</v>
      </c>
      <c r="N1223">
        <f t="shared" si="58"/>
        <v>46955.175155228317</v>
      </c>
      <c r="O1223" t="str">
        <f t="shared" si="59"/>
        <v>FJERN</v>
      </c>
      <c r="P1223" s="1" t="s">
        <v>6218</v>
      </c>
    </row>
    <row r="1224" spans="1:16" ht="15" customHeight="1" x14ac:dyDescent="0.2">
      <c r="A1224" s="1" t="s">
        <v>3547</v>
      </c>
      <c r="B1224" s="1" t="s">
        <v>3548</v>
      </c>
      <c r="C1224" s="1" t="s">
        <v>9</v>
      </c>
      <c r="D1224" s="1" t="s">
        <v>3</v>
      </c>
      <c r="E1224" s="5">
        <v>42165</v>
      </c>
      <c r="F1224" s="5">
        <v>46155</v>
      </c>
      <c r="G1224" s="2">
        <v>45.126049999999999</v>
      </c>
      <c r="H1224" s="1" t="s">
        <v>10</v>
      </c>
      <c r="I1224" s="2">
        <v>13076.016592600001</v>
      </c>
      <c r="J1224" s="1" t="s">
        <v>15</v>
      </c>
      <c r="K1224" s="1" t="s">
        <v>3549</v>
      </c>
      <c r="L1224" s="2">
        <v>238576.7</v>
      </c>
      <c r="M1224">
        <f t="shared" si="57"/>
        <v>10766024.093034999</v>
      </c>
      <c r="N1224">
        <f t="shared" si="58"/>
        <v>952745.49495884939</v>
      </c>
      <c r="O1224" t="str">
        <f t="shared" si="59"/>
        <v>BEHOLD</v>
      </c>
      <c r="P1224" s="1" t="s">
        <v>6219</v>
      </c>
    </row>
    <row r="1225" spans="1:16" ht="15" customHeight="1" x14ac:dyDescent="0.2">
      <c r="A1225" s="1" t="s">
        <v>3550</v>
      </c>
      <c r="B1225" s="1" t="s">
        <v>3551</v>
      </c>
      <c r="C1225" s="1" t="s">
        <v>9</v>
      </c>
      <c r="D1225" s="1" t="s">
        <v>3</v>
      </c>
      <c r="E1225" s="5">
        <v>44356</v>
      </c>
      <c r="F1225" s="5">
        <v>45961</v>
      </c>
      <c r="G1225" s="2">
        <v>7.0819330000000003</v>
      </c>
      <c r="H1225" s="1" t="s">
        <v>10</v>
      </c>
      <c r="I1225" s="2">
        <v>5.5595527499999999</v>
      </c>
      <c r="J1225" s="1" t="s">
        <v>236</v>
      </c>
      <c r="K1225" s="1" t="s">
        <v>3552</v>
      </c>
      <c r="L1225" s="2">
        <v>34686.79</v>
      </c>
      <c r="M1225">
        <f t="shared" si="57"/>
        <v>245649.52276507003</v>
      </c>
      <c r="N1225">
        <f t="shared" si="58"/>
        <v>21738.8958199177</v>
      </c>
      <c r="O1225" t="str">
        <f t="shared" si="59"/>
        <v>FJERN</v>
      </c>
      <c r="P1225" s="1" t="s">
        <v>6220</v>
      </c>
    </row>
    <row r="1226" spans="1:16" ht="15" customHeight="1" x14ac:dyDescent="0.2">
      <c r="A1226" s="1" t="s">
        <v>3553</v>
      </c>
      <c r="B1226" s="1" t="s">
        <v>3554</v>
      </c>
      <c r="C1226" s="1" t="s">
        <v>2</v>
      </c>
      <c r="D1226" s="1" t="s">
        <v>3</v>
      </c>
      <c r="E1226" s="5">
        <v>44249</v>
      </c>
      <c r="F1226" s="5">
        <v>45141</v>
      </c>
      <c r="G1226" s="2">
        <v>2.2778779999999998</v>
      </c>
      <c r="H1226" s="1" t="s">
        <v>4</v>
      </c>
      <c r="I1226" s="2"/>
      <c r="J1226" s="1" t="s">
        <v>236</v>
      </c>
      <c r="K1226" s="1" t="s">
        <v>3555</v>
      </c>
      <c r="L1226" s="2">
        <v>29316.07</v>
      </c>
      <c r="M1226">
        <f t="shared" si="57"/>
        <v>66778.43089946</v>
      </c>
      <c r="N1226">
        <f t="shared" si="58"/>
        <v>8963.547771739597</v>
      </c>
      <c r="O1226" t="str">
        <f t="shared" si="59"/>
        <v>FJERN</v>
      </c>
      <c r="P1226" s="1"/>
    </row>
    <row r="1227" spans="1:16" ht="15" customHeight="1" x14ac:dyDescent="0.2">
      <c r="A1227" s="1" t="s">
        <v>3556</v>
      </c>
      <c r="B1227" s="1" t="s">
        <v>3557</v>
      </c>
      <c r="C1227" s="1" t="s">
        <v>2</v>
      </c>
      <c r="D1227" s="1" t="s">
        <v>3</v>
      </c>
      <c r="E1227" s="5">
        <v>44739</v>
      </c>
      <c r="F1227" s="5">
        <v>45594</v>
      </c>
      <c r="G1227" s="2">
        <v>164.75299999999999</v>
      </c>
      <c r="H1227" s="1" t="s">
        <v>4</v>
      </c>
      <c r="I1227" s="2"/>
      <c r="J1227" s="1" t="s">
        <v>76</v>
      </c>
      <c r="K1227" s="1" t="s">
        <v>3558</v>
      </c>
      <c r="L1227" s="2">
        <v>475.3057</v>
      </c>
      <c r="M1227">
        <f t="shared" si="57"/>
        <v>78308.039992099992</v>
      </c>
      <c r="N1227">
        <f t="shared" si="58"/>
        <v>10511.146307664429</v>
      </c>
      <c r="O1227" t="str">
        <f t="shared" si="59"/>
        <v>FJERN</v>
      </c>
      <c r="P1227" s="1"/>
    </row>
    <row r="1228" spans="1:16" ht="15" customHeight="1" x14ac:dyDescent="0.2">
      <c r="A1228" s="1" t="s">
        <v>3559</v>
      </c>
      <c r="B1228" s="1" t="s">
        <v>3560</v>
      </c>
      <c r="C1228" s="1" t="s">
        <v>9</v>
      </c>
      <c r="D1228" s="1" t="s">
        <v>3</v>
      </c>
      <c r="E1228" s="5">
        <v>41766</v>
      </c>
      <c r="F1228" s="5">
        <v>46155</v>
      </c>
      <c r="G1228" s="2">
        <v>3.823712</v>
      </c>
      <c r="H1228" s="1" t="s">
        <v>10</v>
      </c>
      <c r="I1228" s="2">
        <v>200.01011323200001</v>
      </c>
      <c r="J1228" s="1" t="s">
        <v>34</v>
      </c>
      <c r="K1228" s="1" t="s">
        <v>3561</v>
      </c>
      <c r="L1228" s="2">
        <v>294000.5</v>
      </c>
      <c r="M1228">
        <f t="shared" si="57"/>
        <v>1124173.2398560001</v>
      </c>
      <c r="N1228">
        <f t="shared" si="58"/>
        <v>99484.357509380527</v>
      </c>
      <c r="O1228" t="str">
        <f t="shared" si="59"/>
        <v>FJERN</v>
      </c>
      <c r="P1228" s="1" t="s">
        <v>6221</v>
      </c>
    </row>
    <row r="1229" spans="1:16" ht="15" customHeight="1" x14ac:dyDescent="0.2">
      <c r="A1229" s="1" t="s">
        <v>3562</v>
      </c>
      <c r="B1229" s="1" t="s">
        <v>3563</v>
      </c>
      <c r="C1229" s="1" t="s">
        <v>2</v>
      </c>
      <c r="D1229" s="1" t="s">
        <v>3</v>
      </c>
      <c r="E1229" s="5">
        <v>45063</v>
      </c>
      <c r="F1229" s="5">
        <v>46155</v>
      </c>
      <c r="G1229" s="2">
        <v>1.751514</v>
      </c>
      <c r="H1229" s="1" t="s">
        <v>4</v>
      </c>
      <c r="I1229" s="2">
        <v>523.02060855000002</v>
      </c>
      <c r="J1229" s="1" t="s">
        <v>115</v>
      </c>
      <c r="K1229" s="1" t="s">
        <v>3564</v>
      </c>
      <c r="L1229" s="2">
        <v>755488.1</v>
      </c>
      <c r="M1229">
        <f t="shared" si="57"/>
        <v>1323247.9839834</v>
      </c>
      <c r="N1229">
        <f t="shared" si="58"/>
        <v>177617.17905817449</v>
      </c>
      <c r="O1229" t="str">
        <f t="shared" si="59"/>
        <v>BEHOLD</v>
      </c>
      <c r="P1229" s="1"/>
    </row>
    <row r="1230" spans="1:16" ht="15" customHeight="1" x14ac:dyDescent="0.2">
      <c r="A1230" s="1" t="s">
        <v>3565</v>
      </c>
      <c r="B1230" s="1" t="s">
        <v>3566</v>
      </c>
      <c r="C1230" s="1" t="s">
        <v>2</v>
      </c>
      <c r="D1230" s="1" t="s">
        <v>3</v>
      </c>
      <c r="E1230" s="5">
        <v>44308</v>
      </c>
      <c r="F1230" s="5">
        <v>46155</v>
      </c>
      <c r="G1230" s="2">
        <v>8.7439029999999995</v>
      </c>
      <c r="H1230" s="1" t="s">
        <v>4</v>
      </c>
      <c r="I1230" s="2">
        <v>185.41245495000001</v>
      </c>
      <c r="J1230" s="1" t="s">
        <v>236</v>
      </c>
      <c r="K1230" s="1" t="s">
        <v>3567</v>
      </c>
      <c r="L1230" s="2">
        <v>3904.1129999999998</v>
      </c>
      <c r="M1230">
        <f t="shared" si="57"/>
        <v>34137.185373038999</v>
      </c>
      <c r="N1230">
        <f t="shared" si="58"/>
        <v>4582.1725332938249</v>
      </c>
      <c r="O1230" t="str">
        <f t="shared" si="59"/>
        <v>FJERN</v>
      </c>
      <c r="P1230" s="1"/>
    </row>
    <row r="1231" spans="1:16" ht="15" customHeight="1" x14ac:dyDescent="0.2">
      <c r="A1231" s="1" t="s">
        <v>3568</v>
      </c>
      <c r="B1231" s="1" t="s">
        <v>3569</v>
      </c>
      <c r="C1231" s="1" t="s">
        <v>9</v>
      </c>
      <c r="D1231" s="1" t="s">
        <v>3</v>
      </c>
      <c r="E1231" s="5">
        <v>41687</v>
      </c>
      <c r="F1231" s="5">
        <v>45596</v>
      </c>
      <c r="G1231" s="2">
        <v>167.77520000000001</v>
      </c>
      <c r="H1231" s="1" t="s">
        <v>10</v>
      </c>
      <c r="I1231" s="2">
        <v>55.443180638000001</v>
      </c>
      <c r="J1231" s="1" t="s">
        <v>61</v>
      </c>
      <c r="K1231" s="1" t="s">
        <v>3570</v>
      </c>
      <c r="L1231" s="2">
        <v>1217933</v>
      </c>
      <c r="M1231">
        <f t="shared" si="57"/>
        <v>204338952.66160002</v>
      </c>
      <c r="N1231">
        <f t="shared" si="58"/>
        <v>18083093.155893806</v>
      </c>
      <c r="O1231" t="str">
        <f t="shared" si="59"/>
        <v>BEHOLD</v>
      </c>
      <c r="P1231" s="1" t="s">
        <v>6222</v>
      </c>
    </row>
    <row r="1232" spans="1:16" ht="15" customHeight="1" x14ac:dyDescent="0.2">
      <c r="A1232" s="1" t="s">
        <v>3571</v>
      </c>
      <c r="B1232" s="1" t="s">
        <v>3572</v>
      </c>
      <c r="C1232" s="1" t="s">
        <v>9</v>
      </c>
      <c r="D1232" s="1" t="s">
        <v>3</v>
      </c>
      <c r="E1232" s="5">
        <v>34382</v>
      </c>
      <c r="F1232" s="5">
        <v>46155</v>
      </c>
      <c r="G1232" s="2">
        <v>48.020380000000003</v>
      </c>
      <c r="H1232" s="1" t="s">
        <v>10</v>
      </c>
      <c r="I1232" s="2">
        <v>12080.565965</v>
      </c>
      <c r="J1232" s="1" t="s">
        <v>61</v>
      </c>
      <c r="K1232" s="1" t="s">
        <v>3573</v>
      </c>
      <c r="L1232" s="2">
        <v>49181.05</v>
      </c>
      <c r="M1232">
        <f t="shared" si="57"/>
        <v>2361692.7097990001</v>
      </c>
      <c r="N1232">
        <f t="shared" si="58"/>
        <v>208999.35484946903</v>
      </c>
      <c r="O1232" t="str">
        <f t="shared" si="59"/>
        <v>BEHOLD</v>
      </c>
      <c r="P1232" s="1" t="s">
        <v>6223</v>
      </c>
    </row>
    <row r="1233" spans="1:16" ht="15" customHeight="1" x14ac:dyDescent="0.2">
      <c r="A1233" s="1" t="s">
        <v>3574</v>
      </c>
      <c r="B1233" s="1" t="s">
        <v>3575</v>
      </c>
      <c r="C1233" s="1" t="s">
        <v>9</v>
      </c>
      <c r="D1233" s="1" t="s">
        <v>3</v>
      </c>
      <c r="E1233" s="5">
        <v>43809</v>
      </c>
      <c r="F1233" s="5">
        <v>44568</v>
      </c>
      <c r="G1233" s="2">
        <v>44.840670000000003</v>
      </c>
      <c r="H1233" s="1" t="s">
        <v>10</v>
      </c>
      <c r="I1233" s="2"/>
      <c r="J1233" s="1" t="s">
        <v>11</v>
      </c>
      <c r="K1233" s="1" t="s">
        <v>3576</v>
      </c>
      <c r="L1233" s="2">
        <v>8632.2090000000007</v>
      </c>
      <c r="M1233">
        <f t="shared" si="57"/>
        <v>387074.03514003009</v>
      </c>
      <c r="N1233">
        <f t="shared" si="58"/>
        <v>34254.339392923015</v>
      </c>
      <c r="O1233" t="str">
        <f t="shared" si="59"/>
        <v>FJERN</v>
      </c>
      <c r="P1233" s="1" t="s">
        <v>6224</v>
      </c>
    </row>
    <row r="1234" spans="1:16" ht="15" customHeight="1" x14ac:dyDescent="0.2">
      <c r="A1234" s="1" t="s">
        <v>3577</v>
      </c>
      <c r="B1234" s="1" t="s">
        <v>3578</v>
      </c>
      <c r="C1234" s="1" t="s">
        <v>9</v>
      </c>
      <c r="D1234" s="1" t="s">
        <v>3</v>
      </c>
      <c r="E1234" s="5">
        <v>43913</v>
      </c>
      <c r="F1234" s="5">
        <v>46155</v>
      </c>
      <c r="G1234" s="2">
        <v>56.261989999999997</v>
      </c>
      <c r="H1234" s="1" t="s">
        <v>10</v>
      </c>
      <c r="I1234" s="2">
        <v>18738.313740000001</v>
      </c>
      <c r="J1234" s="1" t="s">
        <v>23</v>
      </c>
      <c r="K1234" s="1" t="s">
        <v>3579</v>
      </c>
      <c r="L1234" s="2">
        <v>417308.4</v>
      </c>
      <c r="M1234">
        <f t="shared" si="57"/>
        <v>23478601.027716</v>
      </c>
      <c r="N1234">
        <f t="shared" si="58"/>
        <v>2077752.303337699</v>
      </c>
      <c r="O1234" t="str">
        <f t="shared" si="59"/>
        <v>BEHOLD</v>
      </c>
      <c r="P1234" s="1" t="s">
        <v>6225</v>
      </c>
    </row>
    <row r="1235" spans="1:16" ht="15" customHeight="1" x14ac:dyDescent="0.2">
      <c r="A1235" s="1" t="s">
        <v>3580</v>
      </c>
      <c r="B1235" s="1" t="s">
        <v>3581</v>
      </c>
      <c r="C1235" s="1" t="s">
        <v>2</v>
      </c>
      <c r="D1235" s="1" t="s">
        <v>3</v>
      </c>
      <c r="E1235" s="5">
        <v>41726</v>
      </c>
      <c r="F1235" s="5">
        <v>41948</v>
      </c>
      <c r="G1235" s="2">
        <v>152.03460000000001</v>
      </c>
      <c r="H1235" s="1" t="s">
        <v>4</v>
      </c>
      <c r="I1235" s="2"/>
      <c r="J1235" s="1" t="s">
        <v>55</v>
      </c>
      <c r="K1235" s="1" t="s">
        <v>3582</v>
      </c>
      <c r="L1235" s="2">
        <v>212107.9</v>
      </c>
      <c r="M1235">
        <f t="shared" si="57"/>
        <v>32247739.733340003</v>
      </c>
      <c r="N1235">
        <f t="shared" si="58"/>
        <v>4328555.6689046985</v>
      </c>
      <c r="O1235" t="str">
        <f t="shared" si="59"/>
        <v>BEHOLD</v>
      </c>
      <c r="P1235" s="1" t="s">
        <v>6226</v>
      </c>
    </row>
    <row r="1236" spans="1:16" ht="15" customHeight="1" x14ac:dyDescent="0.2">
      <c r="A1236" s="1" t="s">
        <v>3583</v>
      </c>
      <c r="B1236" s="1" t="s">
        <v>3584</v>
      </c>
      <c r="C1236" s="1" t="s">
        <v>9</v>
      </c>
      <c r="D1236" s="1" t="s">
        <v>3</v>
      </c>
      <c r="E1236" s="5">
        <v>39183</v>
      </c>
      <c r="F1236" s="5">
        <v>44181</v>
      </c>
      <c r="G1236" s="2">
        <v>30.528549999999999</v>
      </c>
      <c r="H1236" s="1" t="s">
        <v>10</v>
      </c>
      <c r="I1236" s="2"/>
      <c r="J1236" s="1" t="s">
        <v>167</v>
      </c>
      <c r="K1236" s="1" t="s">
        <v>3585</v>
      </c>
      <c r="L1236" s="2">
        <v>648735.4</v>
      </c>
      <c r="M1236">
        <f t="shared" si="57"/>
        <v>19804951.09567</v>
      </c>
      <c r="N1236">
        <f t="shared" si="58"/>
        <v>1752650.5394398228</v>
      </c>
      <c r="O1236" t="str">
        <f t="shared" si="59"/>
        <v>BEHOLD</v>
      </c>
      <c r="P1236" s="1" t="s">
        <v>6227</v>
      </c>
    </row>
    <row r="1237" spans="1:16" ht="15" customHeight="1" x14ac:dyDescent="0.2">
      <c r="A1237" s="1" t="s">
        <v>3586</v>
      </c>
      <c r="B1237" s="1" t="s">
        <v>3587</v>
      </c>
      <c r="C1237" s="1" t="s">
        <v>9</v>
      </c>
      <c r="D1237" s="1" t="s">
        <v>3</v>
      </c>
      <c r="E1237" s="5">
        <v>44505</v>
      </c>
      <c r="F1237" s="5">
        <v>46155</v>
      </c>
      <c r="G1237" s="2">
        <v>6.1015170000000003</v>
      </c>
      <c r="H1237" s="1" t="s">
        <v>10</v>
      </c>
      <c r="I1237" s="2">
        <v>7.2102273999999804</v>
      </c>
      <c r="J1237" s="1" t="s">
        <v>64</v>
      </c>
      <c r="K1237" s="1" t="s">
        <v>3588</v>
      </c>
      <c r="L1237" s="2">
        <v>31870.91</v>
      </c>
      <c r="M1237">
        <f t="shared" si="57"/>
        <v>194460.89917047002</v>
      </c>
      <c r="N1237">
        <f t="shared" si="58"/>
        <v>17208.929130130087</v>
      </c>
      <c r="O1237" t="str">
        <f t="shared" si="59"/>
        <v>FJERN</v>
      </c>
      <c r="P1237" s="1" t="s">
        <v>6228</v>
      </c>
    </row>
    <row r="1238" spans="1:16" ht="15" customHeight="1" x14ac:dyDescent="0.2">
      <c r="A1238" s="1" t="s">
        <v>3589</v>
      </c>
      <c r="B1238" s="1" t="s">
        <v>3590</v>
      </c>
      <c r="C1238" s="1" t="s">
        <v>9</v>
      </c>
      <c r="D1238" s="1" t="s">
        <v>3</v>
      </c>
      <c r="E1238" s="5">
        <v>44281</v>
      </c>
      <c r="F1238" s="5">
        <v>46155</v>
      </c>
      <c r="G1238" s="2">
        <v>18.284990000000001</v>
      </c>
      <c r="H1238" s="1" t="s">
        <v>10</v>
      </c>
      <c r="I1238" s="2">
        <v>1148.63463</v>
      </c>
      <c r="J1238" s="1" t="s">
        <v>197</v>
      </c>
      <c r="K1238" s="1" t="s">
        <v>3591</v>
      </c>
      <c r="L1238" s="2">
        <v>122369.5</v>
      </c>
      <c r="M1238">
        <f t="shared" si="57"/>
        <v>2237525.0838049999</v>
      </c>
      <c r="N1238">
        <f t="shared" si="58"/>
        <v>198011.06936327432</v>
      </c>
      <c r="O1238" t="str">
        <f t="shared" si="59"/>
        <v>BEHOLD</v>
      </c>
      <c r="P1238" s="1" t="s">
        <v>6229</v>
      </c>
    </row>
    <row r="1239" spans="1:16" ht="15" customHeight="1" x14ac:dyDescent="0.2">
      <c r="A1239" s="1" t="s">
        <v>3592</v>
      </c>
      <c r="B1239" s="1" t="s">
        <v>3593</v>
      </c>
      <c r="C1239" s="1" t="s">
        <v>9</v>
      </c>
      <c r="D1239" s="1" t="s">
        <v>3</v>
      </c>
      <c r="E1239" s="5">
        <v>37056</v>
      </c>
      <c r="F1239" s="5">
        <v>46155</v>
      </c>
      <c r="G1239" s="2">
        <v>128.58959999999999</v>
      </c>
      <c r="H1239" s="1" t="s">
        <v>10</v>
      </c>
      <c r="I1239" s="2">
        <v>1934.6482427999999</v>
      </c>
      <c r="J1239" s="1" t="s">
        <v>366</v>
      </c>
      <c r="K1239" s="1" t="s">
        <v>3594</v>
      </c>
      <c r="L1239" s="2">
        <v>48847.32</v>
      </c>
      <c r="M1239">
        <f t="shared" si="57"/>
        <v>6281257.3398719998</v>
      </c>
      <c r="N1239">
        <f t="shared" si="58"/>
        <v>555863.48140460171</v>
      </c>
      <c r="O1239" t="str">
        <f t="shared" si="59"/>
        <v>BEHOLD</v>
      </c>
      <c r="P1239" s="1" t="s">
        <v>6230</v>
      </c>
    </row>
    <row r="1240" spans="1:16" ht="15" customHeight="1" x14ac:dyDescent="0.2">
      <c r="A1240" s="1" t="s">
        <v>3595</v>
      </c>
      <c r="B1240" s="1" t="s">
        <v>3596</v>
      </c>
      <c r="C1240" s="1" t="s">
        <v>9</v>
      </c>
      <c r="D1240" s="1" t="s">
        <v>3</v>
      </c>
      <c r="E1240" s="5">
        <v>44252</v>
      </c>
      <c r="F1240" s="5">
        <v>46155</v>
      </c>
      <c r="G1240" s="2">
        <v>10.956300000000001</v>
      </c>
      <c r="H1240" s="1" t="s">
        <v>10</v>
      </c>
      <c r="I1240" s="2">
        <v>199.77056339999999</v>
      </c>
      <c r="J1240" s="1" t="s">
        <v>184</v>
      </c>
      <c r="K1240" s="1" t="s">
        <v>3597</v>
      </c>
      <c r="L1240" s="2">
        <v>625500.1</v>
      </c>
      <c r="M1240">
        <f t="shared" si="57"/>
        <v>6853166.7456299998</v>
      </c>
      <c r="N1240">
        <f t="shared" si="58"/>
        <v>606474.93324159284</v>
      </c>
      <c r="O1240" t="str">
        <f t="shared" si="59"/>
        <v>BEHOLD</v>
      </c>
      <c r="P1240" s="1" t="s">
        <v>6231</v>
      </c>
    </row>
    <row r="1241" spans="1:16" ht="15" customHeight="1" x14ac:dyDescent="0.2">
      <c r="A1241" s="1" t="s">
        <v>3598</v>
      </c>
      <c r="B1241" s="1" t="s">
        <v>3599</v>
      </c>
      <c r="C1241" s="1" t="s">
        <v>9</v>
      </c>
      <c r="D1241" s="1" t="s">
        <v>3</v>
      </c>
      <c r="E1241" s="5">
        <v>40602</v>
      </c>
      <c r="F1241" s="5">
        <v>46125</v>
      </c>
      <c r="G1241" s="2">
        <v>12.70862</v>
      </c>
      <c r="H1241" s="1" t="s">
        <v>10</v>
      </c>
      <c r="I1241" s="2">
        <v>18.953526059200001</v>
      </c>
      <c r="J1241" s="1" t="s">
        <v>366</v>
      </c>
      <c r="K1241" s="1" t="s">
        <v>3600</v>
      </c>
      <c r="L1241" s="2">
        <v>301314.09999999998</v>
      </c>
      <c r="M1241">
        <f t="shared" si="57"/>
        <v>3829286.3975419998</v>
      </c>
      <c r="N1241">
        <f t="shared" si="58"/>
        <v>338874.90243734507</v>
      </c>
      <c r="O1241" t="str">
        <f t="shared" si="59"/>
        <v>BEHOLD</v>
      </c>
      <c r="P1241" s="1" t="s">
        <v>6232</v>
      </c>
    </row>
    <row r="1242" spans="1:16" ht="15" customHeight="1" x14ac:dyDescent="0.2">
      <c r="A1242" s="1" t="s">
        <v>3601</v>
      </c>
      <c r="B1242" s="1" t="s">
        <v>3602</v>
      </c>
      <c r="C1242" s="1" t="s">
        <v>9</v>
      </c>
      <c r="D1242" s="1" t="s">
        <v>3</v>
      </c>
      <c r="E1242" s="5">
        <v>44508</v>
      </c>
      <c r="F1242" s="5">
        <v>46155</v>
      </c>
      <c r="G1242" s="2">
        <v>39.336869999999998</v>
      </c>
      <c r="H1242" s="1" t="s">
        <v>10</v>
      </c>
      <c r="I1242" s="2">
        <v>171.7590883</v>
      </c>
      <c r="J1242" s="1" t="s">
        <v>122</v>
      </c>
      <c r="K1242" s="1" t="s">
        <v>3603</v>
      </c>
      <c r="L1242" s="2">
        <v>7652.5259999999998</v>
      </c>
      <c r="M1242">
        <f t="shared" si="57"/>
        <v>301026.42043361999</v>
      </c>
      <c r="N1242">
        <f t="shared" si="58"/>
        <v>26639.506233063716</v>
      </c>
      <c r="O1242" t="str">
        <f t="shared" si="59"/>
        <v>FJERN</v>
      </c>
      <c r="P1242" s="1" t="s">
        <v>6233</v>
      </c>
    </row>
    <row r="1243" spans="1:16" ht="15" customHeight="1" x14ac:dyDescent="0.2">
      <c r="A1243" s="1" t="s">
        <v>3604</v>
      </c>
      <c r="B1243" s="1" t="s">
        <v>3605</v>
      </c>
      <c r="C1243" s="1" t="s">
        <v>9</v>
      </c>
      <c r="D1243" s="1" t="s">
        <v>3</v>
      </c>
      <c r="E1243" s="5">
        <v>41726</v>
      </c>
      <c r="F1243" s="5">
        <v>46155</v>
      </c>
      <c r="G1243" s="2">
        <v>161.36170000000001</v>
      </c>
      <c r="H1243" s="1" t="s">
        <v>10</v>
      </c>
      <c r="I1243" s="2">
        <v>751.9</v>
      </c>
      <c r="J1243" s="1" t="s">
        <v>61</v>
      </c>
      <c r="K1243" s="1" t="s">
        <v>3606</v>
      </c>
      <c r="L1243" s="2">
        <v>3054.4070000000002</v>
      </c>
      <c r="M1243">
        <f t="shared" si="57"/>
        <v>492864.30601190007</v>
      </c>
      <c r="N1243">
        <f t="shared" si="58"/>
        <v>43616.310266539826</v>
      </c>
      <c r="O1243" t="str">
        <f t="shared" si="59"/>
        <v>FJERN</v>
      </c>
      <c r="P1243" s="1" t="s">
        <v>6234</v>
      </c>
    </row>
    <row r="1244" spans="1:16" ht="15" customHeight="1" x14ac:dyDescent="0.2">
      <c r="A1244" s="1" t="s">
        <v>3607</v>
      </c>
      <c r="B1244" s="1" t="s">
        <v>3608</v>
      </c>
      <c r="C1244" s="1" t="s">
        <v>9</v>
      </c>
      <c r="D1244" s="1" t="s">
        <v>3</v>
      </c>
      <c r="E1244" s="5">
        <v>39367</v>
      </c>
      <c r="F1244" s="5">
        <v>46155</v>
      </c>
      <c r="G1244" s="2">
        <v>42.221179999999997</v>
      </c>
      <c r="H1244" s="1" t="s">
        <v>10</v>
      </c>
      <c r="I1244" s="2">
        <v>17097.599999999999</v>
      </c>
      <c r="J1244" s="1" t="s">
        <v>23</v>
      </c>
      <c r="K1244" s="1" t="s">
        <v>3609</v>
      </c>
      <c r="L1244" s="2">
        <v>95194.3</v>
      </c>
      <c r="M1244">
        <f t="shared" si="57"/>
        <v>4019215.675274</v>
      </c>
      <c r="N1244">
        <f t="shared" si="58"/>
        <v>355682.80312159291</v>
      </c>
      <c r="O1244" t="str">
        <f t="shared" si="59"/>
        <v>BEHOLD</v>
      </c>
      <c r="P1244" s="1" t="s">
        <v>6235</v>
      </c>
    </row>
    <row r="1245" spans="1:16" ht="15" customHeight="1" x14ac:dyDescent="0.2">
      <c r="A1245" s="1" t="s">
        <v>3610</v>
      </c>
      <c r="B1245" s="1" t="s">
        <v>3611</v>
      </c>
      <c r="C1245" s="1" t="s">
        <v>9</v>
      </c>
      <c r="D1245" s="1" t="s">
        <v>3</v>
      </c>
      <c r="E1245" s="5">
        <v>42377</v>
      </c>
      <c r="F1245" s="5">
        <v>44832</v>
      </c>
      <c r="G1245" s="2">
        <v>403.40609999999998</v>
      </c>
      <c r="H1245" s="1" t="s">
        <v>10</v>
      </c>
      <c r="I1245" s="2"/>
      <c r="J1245" s="1" t="s">
        <v>61</v>
      </c>
      <c r="K1245" s="1" t="s">
        <v>3612</v>
      </c>
      <c r="L1245" s="2">
        <v>6690.1959999999999</v>
      </c>
      <c r="M1245">
        <f t="shared" si="57"/>
        <v>2698865.8765956</v>
      </c>
      <c r="N1245">
        <f t="shared" si="58"/>
        <v>238837.68819430086</v>
      </c>
      <c r="O1245" t="str">
        <f t="shared" si="59"/>
        <v>BEHOLD</v>
      </c>
      <c r="P1245" s="1" t="s">
        <v>6236</v>
      </c>
    </row>
    <row r="1246" spans="1:16" ht="15" customHeight="1" x14ac:dyDescent="0.2">
      <c r="A1246" s="1" t="s">
        <v>3613</v>
      </c>
      <c r="B1246" s="1" t="s">
        <v>3614</v>
      </c>
      <c r="C1246" s="1" t="s">
        <v>9</v>
      </c>
      <c r="D1246" s="1" t="s">
        <v>3</v>
      </c>
      <c r="E1246" s="5">
        <v>42167</v>
      </c>
      <c r="F1246" s="5">
        <v>45113</v>
      </c>
      <c r="G1246" s="2">
        <v>19.413340000000002</v>
      </c>
      <c r="H1246" s="1" t="s">
        <v>10</v>
      </c>
      <c r="I1246" s="2"/>
      <c r="J1246" s="1" t="s">
        <v>366</v>
      </c>
      <c r="K1246" s="1" t="s">
        <v>3615</v>
      </c>
      <c r="L1246" s="2">
        <v>267728.5</v>
      </c>
      <c r="M1246">
        <f t="shared" si="57"/>
        <v>5197504.3981900001</v>
      </c>
      <c r="N1246">
        <f t="shared" si="58"/>
        <v>459956.14143274334</v>
      </c>
      <c r="O1246" t="str">
        <f t="shared" si="59"/>
        <v>BEHOLD</v>
      </c>
      <c r="P1246" s="1" t="s">
        <v>6237</v>
      </c>
    </row>
    <row r="1247" spans="1:16" ht="15" customHeight="1" x14ac:dyDescent="0.2">
      <c r="A1247" s="1" t="s">
        <v>3616</v>
      </c>
      <c r="B1247" s="1" t="s">
        <v>3617</v>
      </c>
      <c r="C1247" s="1" t="s">
        <v>9</v>
      </c>
      <c r="D1247" s="1" t="s">
        <v>3</v>
      </c>
      <c r="E1247" s="5">
        <v>44509</v>
      </c>
      <c r="F1247" s="5">
        <v>45139</v>
      </c>
      <c r="G1247" s="2">
        <v>8.6760929999999998</v>
      </c>
      <c r="H1247" s="1" t="s">
        <v>10</v>
      </c>
      <c r="I1247" s="2"/>
      <c r="J1247" s="1" t="s">
        <v>328</v>
      </c>
      <c r="K1247" s="1" t="s">
        <v>3618</v>
      </c>
      <c r="L1247" s="2">
        <v>8059.9690000000001</v>
      </c>
      <c r="M1247">
        <f t="shared" si="57"/>
        <v>69929.040621117005</v>
      </c>
      <c r="N1247">
        <f t="shared" si="58"/>
        <v>6188.4106744351329</v>
      </c>
      <c r="O1247" t="str">
        <f t="shared" si="59"/>
        <v>FJERN</v>
      </c>
      <c r="P1247" s="1" t="s">
        <v>6238</v>
      </c>
    </row>
    <row r="1248" spans="1:16" ht="15" customHeight="1" x14ac:dyDescent="0.2">
      <c r="A1248" s="1" t="s">
        <v>3619</v>
      </c>
      <c r="B1248" s="1" t="s">
        <v>3620</v>
      </c>
      <c r="C1248" s="1" t="s">
        <v>9</v>
      </c>
      <c r="D1248" s="1" t="s">
        <v>3</v>
      </c>
      <c r="E1248" s="5">
        <v>37069</v>
      </c>
      <c r="F1248" s="5">
        <v>45372</v>
      </c>
      <c r="G1248" s="2">
        <v>676.07920000000001</v>
      </c>
      <c r="H1248" s="1" t="s">
        <v>10</v>
      </c>
      <c r="I1248" s="2"/>
      <c r="J1248" s="1" t="s">
        <v>34</v>
      </c>
      <c r="K1248" s="1" t="s">
        <v>3621</v>
      </c>
      <c r="L1248" s="2">
        <v>342750</v>
      </c>
      <c r="M1248">
        <f t="shared" si="57"/>
        <v>231726145.80000001</v>
      </c>
      <c r="N1248">
        <f t="shared" si="58"/>
        <v>20506738.566371683</v>
      </c>
      <c r="O1248" t="str">
        <f t="shared" si="59"/>
        <v>BEHOLD</v>
      </c>
      <c r="P1248" s="1" t="s">
        <v>6239</v>
      </c>
    </row>
    <row r="1249" spans="1:16" ht="15" customHeight="1" x14ac:dyDescent="0.2">
      <c r="A1249" s="1" t="s">
        <v>3622</v>
      </c>
      <c r="B1249" s="1" t="s">
        <v>3623</v>
      </c>
      <c r="C1249" s="1" t="s">
        <v>9</v>
      </c>
      <c r="D1249" s="1" t="s">
        <v>3</v>
      </c>
      <c r="E1249" s="5">
        <v>44596</v>
      </c>
      <c r="F1249" s="5">
        <v>46155</v>
      </c>
      <c r="G1249" s="2">
        <v>4.1271899999999997</v>
      </c>
      <c r="H1249" s="1" t="s">
        <v>10</v>
      </c>
      <c r="I1249" s="2"/>
      <c r="J1249" s="1" t="s">
        <v>366</v>
      </c>
      <c r="K1249" s="1" t="s">
        <v>3624</v>
      </c>
      <c r="L1249" s="2">
        <v>28869.09</v>
      </c>
      <c r="M1249">
        <f t="shared" si="57"/>
        <v>119148.21955709999</v>
      </c>
      <c r="N1249">
        <f t="shared" si="58"/>
        <v>10544.090226292034</v>
      </c>
      <c r="O1249" t="str">
        <f t="shared" si="59"/>
        <v>FJERN</v>
      </c>
      <c r="P1249" s="1" t="s">
        <v>6240</v>
      </c>
    </row>
    <row r="1250" spans="1:16" ht="15" customHeight="1" x14ac:dyDescent="0.2">
      <c r="A1250" s="1" t="s">
        <v>3625</v>
      </c>
      <c r="B1250" s="1" t="s">
        <v>3626</v>
      </c>
      <c r="C1250" s="1" t="s">
        <v>9</v>
      </c>
      <c r="D1250" s="1" t="s">
        <v>3</v>
      </c>
      <c r="E1250" s="5">
        <v>44341</v>
      </c>
      <c r="F1250" s="5">
        <v>46155</v>
      </c>
      <c r="G1250" s="2">
        <v>25.1599</v>
      </c>
      <c r="H1250" s="1" t="s">
        <v>10</v>
      </c>
      <c r="I1250" s="2">
        <v>528.94589599999995</v>
      </c>
      <c r="J1250" s="1" t="s">
        <v>2390</v>
      </c>
      <c r="K1250" s="1" t="s">
        <v>3627</v>
      </c>
      <c r="L1250" s="2">
        <v>8897.2450000000008</v>
      </c>
      <c r="M1250">
        <f t="shared" si="57"/>
        <v>223853.79447550004</v>
      </c>
      <c r="N1250">
        <f t="shared" si="58"/>
        <v>19810.070307566373</v>
      </c>
      <c r="O1250" t="str">
        <f t="shared" si="59"/>
        <v>FJERN</v>
      </c>
      <c r="P1250" s="1" t="s">
        <v>6241</v>
      </c>
    </row>
    <row r="1251" spans="1:16" ht="15" customHeight="1" x14ac:dyDescent="0.2">
      <c r="A1251" s="1" t="s">
        <v>3628</v>
      </c>
      <c r="B1251" s="1" t="s">
        <v>3629</v>
      </c>
      <c r="C1251" s="1" t="s">
        <v>9</v>
      </c>
      <c r="D1251" s="1" t="s">
        <v>3</v>
      </c>
      <c r="E1251" s="5">
        <v>41964</v>
      </c>
      <c r="F1251" s="5">
        <v>46155</v>
      </c>
      <c r="G1251" s="2">
        <v>156.3604</v>
      </c>
      <c r="H1251" s="1" t="s">
        <v>10</v>
      </c>
      <c r="I1251" s="2">
        <v>159884.13759999999</v>
      </c>
      <c r="J1251" s="1" t="s">
        <v>23</v>
      </c>
      <c r="K1251" s="1" t="s">
        <v>3630</v>
      </c>
      <c r="L1251" s="2">
        <v>387997.2</v>
      </c>
      <c r="M1251">
        <f t="shared" si="57"/>
        <v>60667397.390880004</v>
      </c>
      <c r="N1251">
        <f t="shared" si="58"/>
        <v>5368796.2292814162</v>
      </c>
      <c r="O1251" t="str">
        <f t="shared" si="59"/>
        <v>BEHOLD</v>
      </c>
      <c r="P1251" s="1" t="s">
        <v>6242</v>
      </c>
    </row>
    <row r="1252" spans="1:16" ht="15" customHeight="1" x14ac:dyDescent="0.2">
      <c r="A1252" s="1" t="s">
        <v>3631</v>
      </c>
      <c r="B1252" s="1" t="s">
        <v>3632</v>
      </c>
      <c r="C1252" s="1" t="s">
        <v>2</v>
      </c>
      <c r="D1252" s="1" t="s">
        <v>3</v>
      </c>
      <c r="E1252" s="5">
        <v>44341</v>
      </c>
      <c r="F1252" s="5">
        <v>46155</v>
      </c>
      <c r="G1252" s="2">
        <v>7.2995429999999999</v>
      </c>
      <c r="H1252" s="1" t="s">
        <v>4</v>
      </c>
      <c r="I1252" s="2">
        <v>168.06117</v>
      </c>
      <c r="J1252" s="1" t="s">
        <v>11</v>
      </c>
      <c r="K1252" s="1" t="s">
        <v>3633</v>
      </c>
      <c r="L1252" s="2">
        <v>15617.89</v>
      </c>
      <c r="M1252">
        <f t="shared" si="57"/>
        <v>114003.45962426999</v>
      </c>
      <c r="N1252">
        <f t="shared" si="58"/>
        <v>15302.477801915435</v>
      </c>
      <c r="O1252" t="str">
        <f t="shared" si="59"/>
        <v>FJERN</v>
      </c>
      <c r="P1252" s="1" t="s">
        <v>6243</v>
      </c>
    </row>
    <row r="1253" spans="1:16" ht="15" customHeight="1" x14ac:dyDescent="0.2">
      <c r="A1253" s="1" t="s">
        <v>3634</v>
      </c>
      <c r="B1253" s="1" t="s">
        <v>3635</v>
      </c>
      <c r="C1253" s="1" t="s">
        <v>9</v>
      </c>
      <c r="D1253" s="1" t="s">
        <v>3</v>
      </c>
      <c r="E1253" s="5">
        <v>43801</v>
      </c>
      <c r="F1253" s="5">
        <v>45874</v>
      </c>
      <c r="G1253" s="2">
        <v>3.277345</v>
      </c>
      <c r="H1253" s="1" t="s">
        <v>10</v>
      </c>
      <c r="I1253" s="2">
        <v>15.342481152</v>
      </c>
      <c r="J1253" s="1" t="s">
        <v>236</v>
      </c>
      <c r="K1253" s="1" t="s">
        <v>3636</v>
      </c>
      <c r="L1253" s="2">
        <v>1991262</v>
      </c>
      <c r="M1253">
        <f t="shared" si="57"/>
        <v>6526052.5593900001</v>
      </c>
      <c r="N1253">
        <f t="shared" si="58"/>
        <v>577526.77516725659</v>
      </c>
      <c r="O1253" t="str">
        <f t="shared" si="59"/>
        <v>BEHOLD</v>
      </c>
      <c r="P1253" s="1" t="s">
        <v>6244</v>
      </c>
    </row>
    <row r="1254" spans="1:16" ht="15" customHeight="1" x14ac:dyDescent="0.2">
      <c r="A1254" s="1" t="s">
        <v>3637</v>
      </c>
      <c r="B1254" s="1" t="s">
        <v>3638</v>
      </c>
      <c r="C1254" s="1" t="s">
        <v>9</v>
      </c>
      <c r="D1254" s="1" t="s">
        <v>3</v>
      </c>
      <c r="E1254" s="5">
        <v>41732</v>
      </c>
      <c r="F1254" s="5">
        <v>44260</v>
      </c>
      <c r="G1254" s="2">
        <v>115.4562</v>
      </c>
      <c r="H1254" s="1" t="s">
        <v>10</v>
      </c>
      <c r="I1254" s="2"/>
      <c r="J1254" s="1" t="s">
        <v>64</v>
      </c>
      <c r="K1254" s="1" t="s">
        <v>3639</v>
      </c>
      <c r="L1254" s="2">
        <v>167655.6</v>
      </c>
      <c r="M1254">
        <f t="shared" si="57"/>
        <v>19356878.484719999</v>
      </c>
      <c r="N1254">
        <f t="shared" si="58"/>
        <v>1712998.0959929202</v>
      </c>
      <c r="O1254" t="str">
        <f t="shared" si="59"/>
        <v>BEHOLD</v>
      </c>
      <c r="P1254" s="1" t="s">
        <v>6245</v>
      </c>
    </row>
    <row r="1255" spans="1:16" ht="15" customHeight="1" x14ac:dyDescent="0.2">
      <c r="A1255" s="1" t="s">
        <v>3640</v>
      </c>
      <c r="B1255" s="1" t="s">
        <v>3641</v>
      </c>
      <c r="C1255" s="1" t="s">
        <v>2</v>
      </c>
      <c r="D1255" s="1" t="s">
        <v>3</v>
      </c>
      <c r="E1255" s="5">
        <v>44349</v>
      </c>
      <c r="F1255" s="5">
        <v>45894</v>
      </c>
      <c r="G1255" s="2">
        <v>3.6862349999999999</v>
      </c>
      <c r="H1255" s="1" t="s">
        <v>4</v>
      </c>
      <c r="I1255" s="2">
        <v>116.95241727</v>
      </c>
      <c r="J1255" s="1" t="s">
        <v>236</v>
      </c>
      <c r="K1255" s="1" t="s">
        <v>3642</v>
      </c>
      <c r="L1255" s="2">
        <v>37137.82</v>
      </c>
      <c r="M1255">
        <f t="shared" si="57"/>
        <v>136898.73190769998</v>
      </c>
      <c r="N1255">
        <f t="shared" si="58"/>
        <v>18375.668712442952</v>
      </c>
      <c r="O1255" t="str">
        <f t="shared" si="59"/>
        <v>FJERN</v>
      </c>
      <c r="P1255" s="1"/>
    </row>
    <row r="1256" spans="1:16" ht="15" customHeight="1" x14ac:dyDescent="0.2">
      <c r="A1256" s="1" t="s">
        <v>3643</v>
      </c>
      <c r="B1256" s="1" t="s">
        <v>3644</v>
      </c>
      <c r="C1256" s="1" t="s">
        <v>2</v>
      </c>
      <c r="D1256" s="1" t="s">
        <v>3</v>
      </c>
      <c r="E1256" s="5">
        <v>44348</v>
      </c>
      <c r="F1256" s="5">
        <v>46155</v>
      </c>
      <c r="G1256" s="2">
        <v>128.7878</v>
      </c>
      <c r="H1256" s="1" t="s">
        <v>4</v>
      </c>
      <c r="I1256" s="2">
        <v>1772.0041312000001</v>
      </c>
      <c r="J1256" s="1" t="s">
        <v>236</v>
      </c>
      <c r="K1256" s="1" t="s">
        <v>3645</v>
      </c>
      <c r="L1256" s="2">
        <v>14005.25</v>
      </c>
      <c r="M1256">
        <f t="shared" si="57"/>
        <v>1803705.33595</v>
      </c>
      <c r="N1256">
        <f t="shared" si="58"/>
        <v>242108.09878523488</v>
      </c>
      <c r="O1256" t="str">
        <f t="shared" si="59"/>
        <v>BEHOLD</v>
      </c>
      <c r="P1256" s="1" t="s">
        <v>6246</v>
      </c>
    </row>
    <row r="1257" spans="1:16" ht="15" customHeight="1" x14ac:dyDescent="0.2">
      <c r="A1257" s="1" t="s">
        <v>3646</v>
      </c>
      <c r="B1257" s="1" t="s">
        <v>3647</v>
      </c>
      <c r="C1257" s="1" t="s">
        <v>9</v>
      </c>
      <c r="D1257" s="1" t="s">
        <v>3</v>
      </c>
      <c r="E1257" s="5">
        <v>44012</v>
      </c>
      <c r="F1257" s="5">
        <v>46155</v>
      </c>
      <c r="G1257" s="2">
        <v>64.297629999999998</v>
      </c>
      <c r="H1257" s="1" t="s">
        <v>10</v>
      </c>
      <c r="I1257" s="2">
        <v>1879.0251599999999</v>
      </c>
      <c r="J1257" s="1" t="s">
        <v>61</v>
      </c>
      <c r="K1257" s="1" t="s">
        <v>3648</v>
      </c>
      <c r="L1257" s="2">
        <v>12236.44</v>
      </c>
      <c r="M1257">
        <f t="shared" si="57"/>
        <v>786774.09163719998</v>
      </c>
      <c r="N1257">
        <f t="shared" si="58"/>
        <v>69626.025808601757</v>
      </c>
      <c r="O1257" t="str">
        <f t="shared" si="59"/>
        <v>FJERN</v>
      </c>
      <c r="P1257" s="1" t="s">
        <v>6247</v>
      </c>
    </row>
    <row r="1258" spans="1:16" ht="15" customHeight="1" x14ac:dyDescent="0.2">
      <c r="A1258" s="1" t="s">
        <v>3649</v>
      </c>
      <c r="B1258" s="1" t="s">
        <v>3650</v>
      </c>
      <c r="C1258" s="1" t="s">
        <v>9</v>
      </c>
      <c r="D1258" s="1" t="s">
        <v>3</v>
      </c>
      <c r="E1258" s="5">
        <v>44012</v>
      </c>
      <c r="F1258" s="5">
        <v>46155</v>
      </c>
      <c r="G1258" s="2">
        <v>28.644780000000001</v>
      </c>
      <c r="H1258" s="1" t="s">
        <v>10</v>
      </c>
      <c r="I1258" s="2">
        <v>363.42239999999998</v>
      </c>
      <c r="J1258" s="1" t="s">
        <v>64</v>
      </c>
      <c r="K1258" s="1" t="s">
        <v>3651</v>
      </c>
      <c r="L1258" s="2">
        <v>2118.5039999999999</v>
      </c>
      <c r="M1258">
        <f t="shared" si="57"/>
        <v>60684.081009119996</v>
      </c>
      <c r="N1258">
        <f t="shared" si="58"/>
        <v>5370.2726556743355</v>
      </c>
      <c r="O1258" t="str">
        <f t="shared" si="59"/>
        <v>FJERN</v>
      </c>
      <c r="P1258" s="1" t="s">
        <v>6248</v>
      </c>
    </row>
    <row r="1259" spans="1:16" ht="15" customHeight="1" x14ac:dyDescent="0.2">
      <c r="A1259" s="1" t="s">
        <v>3652</v>
      </c>
      <c r="B1259" s="1" t="s">
        <v>3653</v>
      </c>
      <c r="C1259" s="1" t="s">
        <v>9</v>
      </c>
      <c r="D1259" s="1" t="s">
        <v>3</v>
      </c>
      <c r="E1259" s="5">
        <v>44532</v>
      </c>
      <c r="F1259" s="5">
        <v>46155</v>
      </c>
      <c r="G1259" s="2">
        <v>18.59226</v>
      </c>
      <c r="H1259" s="1" t="s">
        <v>10</v>
      </c>
      <c r="I1259" s="2">
        <v>2339.5579950599999</v>
      </c>
      <c r="J1259" s="1" t="s">
        <v>61</v>
      </c>
      <c r="K1259" s="1" t="s">
        <v>3654</v>
      </c>
      <c r="L1259" s="2">
        <v>188328.2</v>
      </c>
      <c r="M1259">
        <f t="shared" si="57"/>
        <v>3501446.8597320002</v>
      </c>
      <c r="N1259">
        <f t="shared" si="58"/>
        <v>309862.55395858409</v>
      </c>
      <c r="O1259" t="str">
        <f t="shared" si="59"/>
        <v>BEHOLD</v>
      </c>
      <c r="P1259" s="1" t="s">
        <v>6249</v>
      </c>
    </row>
    <row r="1260" spans="1:16" ht="15" customHeight="1" x14ac:dyDescent="0.2">
      <c r="A1260" s="1" t="s">
        <v>3655</v>
      </c>
      <c r="B1260" s="1" t="s">
        <v>3656</v>
      </c>
      <c r="C1260" s="1" t="s">
        <v>2</v>
      </c>
      <c r="D1260" s="1" t="s">
        <v>3</v>
      </c>
      <c r="E1260" s="5">
        <v>44504</v>
      </c>
      <c r="F1260" s="5">
        <v>46154</v>
      </c>
      <c r="G1260" s="2">
        <v>3.7896679999999998</v>
      </c>
      <c r="H1260" s="1" t="s">
        <v>4</v>
      </c>
      <c r="I1260" s="2">
        <v>21.421493760000001</v>
      </c>
      <c r="J1260" s="1" t="s">
        <v>61</v>
      </c>
      <c r="K1260" s="1" t="s">
        <v>3657</v>
      </c>
      <c r="L1260" s="2">
        <v>11173.2</v>
      </c>
      <c r="M1260">
        <f t="shared" si="57"/>
        <v>42342.718497599999</v>
      </c>
      <c r="N1260">
        <f t="shared" si="58"/>
        <v>5683.5863755167784</v>
      </c>
      <c r="O1260" t="str">
        <f t="shared" si="59"/>
        <v>FJERN</v>
      </c>
      <c r="P1260" s="1" t="s">
        <v>6250</v>
      </c>
    </row>
    <row r="1261" spans="1:16" ht="15" customHeight="1" x14ac:dyDescent="0.2">
      <c r="A1261" s="1" t="s">
        <v>3658</v>
      </c>
      <c r="B1261" s="1" t="s">
        <v>3659</v>
      </c>
      <c r="C1261" s="1" t="s">
        <v>1581</v>
      </c>
      <c r="D1261" s="1" t="s">
        <v>3</v>
      </c>
      <c r="E1261" s="5">
        <v>40367</v>
      </c>
      <c r="F1261" s="5">
        <v>41795</v>
      </c>
      <c r="G1261" s="2">
        <v>68.798389999999998</v>
      </c>
      <c r="H1261" s="1" t="s">
        <v>10</v>
      </c>
      <c r="I1261" s="2"/>
      <c r="J1261" s="1" t="s">
        <v>236</v>
      </c>
      <c r="K1261" s="1" t="s">
        <v>3660</v>
      </c>
      <c r="L1261" s="2">
        <v>205.60820000000001</v>
      </c>
      <c r="M1261">
        <f t="shared" si="57"/>
        <v>14145.513130798001</v>
      </c>
      <c r="N1261">
        <f t="shared" si="58"/>
        <v>1251.8153213095575</v>
      </c>
      <c r="O1261" t="str">
        <f t="shared" si="59"/>
        <v>FJERN</v>
      </c>
      <c r="P1261" s="1"/>
    </row>
    <row r="1262" spans="1:16" ht="15" customHeight="1" x14ac:dyDescent="0.2">
      <c r="A1262" s="1" t="s">
        <v>3661</v>
      </c>
      <c r="B1262" s="1" t="s">
        <v>3662</v>
      </c>
      <c r="C1262" s="1" t="s">
        <v>9</v>
      </c>
      <c r="D1262" s="1" t="s">
        <v>3</v>
      </c>
      <c r="E1262" s="5">
        <v>39729</v>
      </c>
      <c r="F1262" s="5">
        <v>46153</v>
      </c>
      <c r="G1262" s="2">
        <v>140.09809999999999</v>
      </c>
      <c r="H1262" s="1" t="s">
        <v>10</v>
      </c>
      <c r="I1262" s="2">
        <v>4.515471303</v>
      </c>
      <c r="J1262" s="1" t="s">
        <v>236</v>
      </c>
      <c r="K1262" s="1" t="s">
        <v>3663</v>
      </c>
      <c r="L1262" s="2">
        <v>860000.8</v>
      </c>
      <c r="M1262">
        <f t="shared" si="57"/>
        <v>120484478.07847999</v>
      </c>
      <c r="N1262">
        <f t="shared" si="58"/>
        <v>10662343.192785839</v>
      </c>
      <c r="O1262" t="str">
        <f t="shared" si="59"/>
        <v>BEHOLD</v>
      </c>
      <c r="P1262" s="1"/>
    </row>
    <row r="1263" spans="1:16" ht="15" customHeight="1" x14ac:dyDescent="0.2">
      <c r="A1263" s="1" t="s">
        <v>3664</v>
      </c>
      <c r="B1263" s="1" t="s">
        <v>3665</v>
      </c>
      <c r="C1263" s="1" t="s">
        <v>9</v>
      </c>
      <c r="D1263" s="1" t="s">
        <v>3</v>
      </c>
      <c r="E1263" s="5">
        <v>43899</v>
      </c>
      <c r="F1263" s="5">
        <v>46155</v>
      </c>
      <c r="G1263" s="2">
        <v>3.7589700000000001</v>
      </c>
      <c r="H1263" s="1" t="s">
        <v>10</v>
      </c>
      <c r="I1263" s="2">
        <v>14.4809532</v>
      </c>
      <c r="J1263" s="1" t="s">
        <v>366</v>
      </c>
      <c r="K1263" s="1" t="s">
        <v>3666</v>
      </c>
      <c r="L1263" s="2">
        <v>357065</v>
      </c>
      <c r="M1263">
        <f t="shared" si="57"/>
        <v>1342196.6230500001</v>
      </c>
      <c r="N1263">
        <f t="shared" si="58"/>
        <v>118778.46221681415</v>
      </c>
      <c r="O1263" t="str">
        <f t="shared" si="59"/>
        <v>BEHOLD</v>
      </c>
      <c r="P1263" s="1" t="s">
        <v>6251</v>
      </c>
    </row>
    <row r="1264" spans="1:16" ht="15" customHeight="1" x14ac:dyDescent="0.2">
      <c r="A1264" s="1" t="s">
        <v>3667</v>
      </c>
      <c r="B1264" s="1" t="s">
        <v>3668</v>
      </c>
      <c r="C1264" s="1" t="s">
        <v>9</v>
      </c>
      <c r="D1264" s="1" t="s">
        <v>3</v>
      </c>
      <c r="E1264" s="5">
        <v>44384</v>
      </c>
      <c r="F1264" s="5">
        <v>45716</v>
      </c>
      <c r="G1264" s="2">
        <v>4.2479469999999999</v>
      </c>
      <c r="H1264" s="1" t="s">
        <v>10</v>
      </c>
      <c r="I1264" s="2">
        <v>10.8675</v>
      </c>
      <c r="J1264" s="1" t="s">
        <v>289</v>
      </c>
      <c r="K1264" s="1" t="s">
        <v>3669</v>
      </c>
      <c r="L1264" s="2">
        <v>15310.82</v>
      </c>
      <c r="M1264">
        <f t="shared" si="57"/>
        <v>65039.551886540001</v>
      </c>
      <c r="N1264">
        <f t="shared" si="58"/>
        <v>5755.7125563309728</v>
      </c>
      <c r="O1264" t="str">
        <f t="shared" si="59"/>
        <v>FJERN</v>
      </c>
      <c r="P1264" s="1" t="s">
        <v>6252</v>
      </c>
    </row>
    <row r="1265" spans="1:16" ht="15" customHeight="1" x14ac:dyDescent="0.2">
      <c r="A1265" s="1" t="s">
        <v>3670</v>
      </c>
      <c r="B1265" s="1" t="s">
        <v>3671</v>
      </c>
      <c r="C1265" s="1" t="s">
        <v>9</v>
      </c>
      <c r="D1265" s="1" t="s">
        <v>3</v>
      </c>
      <c r="E1265" s="5">
        <v>44154</v>
      </c>
      <c r="F1265" s="5">
        <v>46155</v>
      </c>
      <c r="G1265" s="2">
        <v>32.535780000000003</v>
      </c>
      <c r="H1265" s="1" t="s">
        <v>10</v>
      </c>
      <c r="I1265" s="2">
        <v>1442.5174340000001</v>
      </c>
      <c r="J1265" s="1" t="s">
        <v>61</v>
      </c>
      <c r="K1265" s="1" t="s">
        <v>3672</v>
      </c>
      <c r="L1265" s="2">
        <v>33086.839999999997</v>
      </c>
      <c r="M1265">
        <f t="shared" si="57"/>
        <v>1076506.1471352</v>
      </c>
      <c r="N1265">
        <f t="shared" si="58"/>
        <v>95266.0307199292</v>
      </c>
      <c r="O1265" t="str">
        <f t="shared" si="59"/>
        <v>FJERN</v>
      </c>
      <c r="P1265" s="1"/>
    </row>
    <row r="1266" spans="1:16" ht="15" customHeight="1" x14ac:dyDescent="0.2">
      <c r="A1266" s="1" t="s">
        <v>3673</v>
      </c>
      <c r="B1266" s="1" t="s">
        <v>3674</v>
      </c>
      <c r="C1266" s="1" t="s">
        <v>9</v>
      </c>
      <c r="D1266" s="1" t="s">
        <v>3</v>
      </c>
      <c r="E1266" s="5">
        <v>44172</v>
      </c>
      <c r="F1266" s="5">
        <v>46077</v>
      </c>
      <c r="G1266" s="2">
        <v>21.626750000000001</v>
      </c>
      <c r="H1266" s="1" t="s">
        <v>10</v>
      </c>
      <c r="I1266" s="2">
        <v>117.873339892</v>
      </c>
      <c r="J1266" s="1" t="s">
        <v>236</v>
      </c>
      <c r="K1266" s="1" t="s">
        <v>3675</v>
      </c>
      <c r="L1266" s="2">
        <v>204602.9</v>
      </c>
      <c r="M1266">
        <f t="shared" si="57"/>
        <v>4424895.7675750004</v>
      </c>
      <c r="N1266">
        <f t="shared" si="58"/>
        <v>391583.69624557521</v>
      </c>
      <c r="O1266" t="str">
        <f t="shared" si="59"/>
        <v>BEHOLD</v>
      </c>
      <c r="P1266" s="1" t="s">
        <v>6253</v>
      </c>
    </row>
    <row r="1267" spans="1:16" ht="15" customHeight="1" x14ac:dyDescent="0.2">
      <c r="A1267" s="1" t="s">
        <v>3676</v>
      </c>
      <c r="B1267" s="1" t="s">
        <v>3677</v>
      </c>
      <c r="C1267" s="1" t="s">
        <v>9</v>
      </c>
      <c r="D1267" s="1" t="s">
        <v>3</v>
      </c>
      <c r="E1267" s="5">
        <v>33555</v>
      </c>
      <c r="F1267" s="5">
        <v>46155</v>
      </c>
      <c r="G1267" s="2">
        <v>36.502380000000002</v>
      </c>
      <c r="H1267" s="1" t="s">
        <v>10</v>
      </c>
      <c r="I1267" s="2">
        <v>26400.44</v>
      </c>
      <c r="J1267" s="1" t="s">
        <v>61</v>
      </c>
      <c r="K1267" s="1" t="s">
        <v>3678</v>
      </c>
      <c r="L1267" s="2">
        <v>552896.9</v>
      </c>
      <c r="M1267">
        <f t="shared" si="57"/>
        <v>20182052.744622003</v>
      </c>
      <c r="N1267">
        <f t="shared" si="58"/>
        <v>1786022.3667807081</v>
      </c>
      <c r="O1267" t="str">
        <f t="shared" si="59"/>
        <v>BEHOLD</v>
      </c>
      <c r="P1267" s="1" t="s">
        <v>6254</v>
      </c>
    </row>
    <row r="1268" spans="1:16" ht="15" customHeight="1" x14ac:dyDescent="0.2">
      <c r="A1268" s="1" t="s">
        <v>3679</v>
      </c>
      <c r="B1268" s="1" t="s">
        <v>3680</v>
      </c>
      <c r="C1268" s="1" t="s">
        <v>9</v>
      </c>
      <c r="D1268" s="1" t="s">
        <v>3</v>
      </c>
      <c r="E1268" s="5">
        <v>36321</v>
      </c>
      <c r="F1268" s="5">
        <v>46155</v>
      </c>
      <c r="G1268" s="2">
        <v>41.063220000000001</v>
      </c>
      <c r="H1268" s="1" t="s">
        <v>10</v>
      </c>
      <c r="I1268" s="2">
        <v>13135.319422799999</v>
      </c>
      <c r="J1268" s="1" t="s">
        <v>236</v>
      </c>
      <c r="K1268" s="1" t="s">
        <v>3681</v>
      </c>
      <c r="L1268" s="2">
        <v>124084.7</v>
      </c>
      <c r="M1268">
        <f t="shared" si="57"/>
        <v>5095317.3347340003</v>
      </c>
      <c r="N1268">
        <f t="shared" si="58"/>
        <v>450913.03847203538</v>
      </c>
      <c r="O1268" t="str">
        <f t="shared" si="59"/>
        <v>BEHOLD</v>
      </c>
      <c r="P1268" s="1" t="s">
        <v>6255</v>
      </c>
    </row>
    <row r="1269" spans="1:16" ht="15" customHeight="1" x14ac:dyDescent="0.2">
      <c r="A1269" s="1" t="s">
        <v>3682</v>
      </c>
      <c r="B1269" s="1" t="s">
        <v>3683</v>
      </c>
      <c r="C1269" s="1" t="s">
        <v>9</v>
      </c>
      <c r="D1269" s="1" t="s">
        <v>3</v>
      </c>
      <c r="E1269" s="5">
        <v>34500</v>
      </c>
      <c r="F1269" s="5">
        <v>46155</v>
      </c>
      <c r="G1269" s="2">
        <v>29.515540000000001</v>
      </c>
      <c r="H1269" s="1" t="s">
        <v>10</v>
      </c>
      <c r="I1269" s="2">
        <v>4765.0329599999995</v>
      </c>
      <c r="J1269" s="1" t="s">
        <v>61</v>
      </c>
      <c r="K1269" s="1" t="s">
        <v>3684</v>
      </c>
      <c r="L1269" s="2">
        <v>97843.46</v>
      </c>
      <c r="M1269">
        <f t="shared" si="57"/>
        <v>2887902.5573684005</v>
      </c>
      <c r="N1269">
        <f t="shared" si="58"/>
        <v>255566.59799720356</v>
      </c>
      <c r="O1269" t="str">
        <f t="shared" si="59"/>
        <v>BEHOLD</v>
      </c>
      <c r="P1269" s="1" t="s">
        <v>6256</v>
      </c>
    </row>
    <row r="1270" spans="1:16" ht="15" customHeight="1" x14ac:dyDescent="0.2">
      <c r="A1270" s="1" t="s">
        <v>3685</v>
      </c>
      <c r="B1270" s="1" t="s">
        <v>3686</v>
      </c>
      <c r="C1270" s="1" t="s">
        <v>9</v>
      </c>
      <c r="D1270" s="1" t="s">
        <v>3</v>
      </c>
      <c r="E1270" s="5">
        <v>31049</v>
      </c>
      <c r="F1270" s="5">
        <v>46155</v>
      </c>
      <c r="G1270" s="2">
        <v>76.662769999999995</v>
      </c>
      <c r="H1270" s="1" t="s">
        <v>10</v>
      </c>
      <c r="I1270" s="2">
        <v>808761.05852624995</v>
      </c>
      <c r="J1270" s="1" t="s">
        <v>23</v>
      </c>
      <c r="K1270" s="1" t="s">
        <v>3687</v>
      </c>
      <c r="L1270" s="2">
        <v>9725986</v>
      </c>
      <c r="M1270">
        <f t="shared" si="57"/>
        <v>745621027.74122</v>
      </c>
      <c r="N1270">
        <f t="shared" si="58"/>
        <v>65984161.747010618</v>
      </c>
      <c r="O1270" t="str">
        <f t="shared" si="59"/>
        <v>BEHOLD</v>
      </c>
      <c r="P1270" s="1" t="s">
        <v>6257</v>
      </c>
    </row>
    <row r="1271" spans="1:16" ht="15" customHeight="1" x14ac:dyDescent="0.2">
      <c r="A1271" s="1" t="s">
        <v>3688</v>
      </c>
      <c r="B1271" s="1" t="s">
        <v>3689</v>
      </c>
      <c r="C1271" s="1" t="s">
        <v>9</v>
      </c>
      <c r="D1271" s="1" t="s">
        <v>3</v>
      </c>
      <c r="E1271" s="5">
        <v>45098</v>
      </c>
      <c r="F1271" s="5">
        <v>46155</v>
      </c>
      <c r="G1271" s="2">
        <v>0.35271429999999998</v>
      </c>
      <c r="H1271" s="1" t="s">
        <v>10</v>
      </c>
      <c r="I1271" s="2">
        <v>281.52154940000003</v>
      </c>
      <c r="J1271" s="1" t="s">
        <v>391</v>
      </c>
      <c r="K1271" s="1" t="s">
        <v>3690</v>
      </c>
      <c r="L1271" s="2">
        <v>1426559</v>
      </c>
      <c r="M1271">
        <f t="shared" si="57"/>
        <v>503167.75909369998</v>
      </c>
      <c r="N1271">
        <f t="shared" si="58"/>
        <v>44528.120273778753</v>
      </c>
      <c r="O1271" t="str">
        <f t="shared" si="59"/>
        <v>FJERN</v>
      </c>
      <c r="P1271" s="1" t="s">
        <v>6258</v>
      </c>
    </row>
    <row r="1272" spans="1:16" ht="15" customHeight="1" x14ac:dyDescent="0.2">
      <c r="A1272" s="1" t="s">
        <v>3691</v>
      </c>
      <c r="B1272" s="1" t="s">
        <v>3692</v>
      </c>
      <c r="C1272" s="1" t="s">
        <v>9</v>
      </c>
      <c r="D1272" s="1" t="s">
        <v>3</v>
      </c>
      <c r="E1272" s="5">
        <v>45926</v>
      </c>
      <c r="F1272" s="5">
        <v>46155</v>
      </c>
      <c r="G1272" s="2">
        <v>99.362809999999996</v>
      </c>
      <c r="H1272" s="1" t="s">
        <v>10</v>
      </c>
      <c r="I1272" s="2">
        <v>58900</v>
      </c>
      <c r="J1272" s="1" t="s">
        <v>15</v>
      </c>
      <c r="K1272" s="1" t="s">
        <v>3693</v>
      </c>
      <c r="L1272" s="2">
        <v>920191.6</v>
      </c>
      <c r="M1272">
        <f t="shared" si="57"/>
        <v>91432823.114395991</v>
      </c>
      <c r="N1272">
        <f t="shared" si="58"/>
        <v>8091400.2756102644</v>
      </c>
      <c r="O1272" t="str">
        <f t="shared" si="59"/>
        <v>FJERN</v>
      </c>
      <c r="P1272" s="1" t="s">
        <v>6259</v>
      </c>
    </row>
    <row r="1273" spans="1:16" ht="15" customHeight="1" x14ac:dyDescent="0.2">
      <c r="A1273" s="1" t="s">
        <v>3694</v>
      </c>
      <c r="B1273" s="1" t="s">
        <v>3695</v>
      </c>
      <c r="C1273" s="1" t="s">
        <v>9</v>
      </c>
      <c r="D1273" s="1" t="s">
        <v>3</v>
      </c>
      <c r="E1273" s="5">
        <v>35979</v>
      </c>
      <c r="F1273" s="5">
        <v>46155</v>
      </c>
      <c r="G1273" s="2">
        <v>48.960639999999998</v>
      </c>
      <c r="H1273" s="1" t="s">
        <v>10</v>
      </c>
      <c r="I1273" s="2">
        <v>649</v>
      </c>
      <c r="J1273" s="1" t="s">
        <v>5</v>
      </c>
      <c r="K1273" s="1" t="s">
        <v>3696</v>
      </c>
      <c r="L1273" s="2">
        <v>612.50879999999995</v>
      </c>
      <c r="M1273">
        <f t="shared" si="57"/>
        <v>29988.822853631995</v>
      </c>
      <c r="N1273">
        <f t="shared" si="58"/>
        <v>2653.8781286399994</v>
      </c>
      <c r="O1273" t="str">
        <f t="shared" si="59"/>
        <v>FJERN</v>
      </c>
      <c r="P1273" s="1" t="s">
        <v>6260</v>
      </c>
    </row>
    <row r="1274" spans="1:16" ht="15" customHeight="1" x14ac:dyDescent="0.2">
      <c r="A1274" s="1" t="s">
        <v>3697</v>
      </c>
      <c r="B1274" s="1" t="s">
        <v>3698</v>
      </c>
      <c r="C1274" s="1" t="s">
        <v>9</v>
      </c>
      <c r="D1274" s="1" t="s">
        <v>3</v>
      </c>
      <c r="E1274" s="5">
        <v>44280</v>
      </c>
      <c r="F1274" s="5">
        <v>46155</v>
      </c>
      <c r="G1274" s="2">
        <v>258.9443</v>
      </c>
      <c r="H1274" s="1" t="s">
        <v>10</v>
      </c>
      <c r="I1274" s="2">
        <v>4086.8924149999998</v>
      </c>
      <c r="J1274" s="1" t="s">
        <v>76</v>
      </c>
      <c r="K1274" s="1" t="s">
        <v>3699</v>
      </c>
      <c r="L1274" s="2">
        <v>5147.7839999999997</v>
      </c>
      <c r="M1274">
        <f t="shared" si="57"/>
        <v>1332989.3244311998</v>
      </c>
      <c r="N1274">
        <f t="shared" si="58"/>
        <v>117963.65702930972</v>
      </c>
      <c r="O1274" t="str">
        <f t="shared" si="59"/>
        <v>BEHOLD</v>
      </c>
      <c r="P1274" s="1" t="s">
        <v>6261</v>
      </c>
    </row>
    <row r="1275" spans="1:16" ht="15" customHeight="1" x14ac:dyDescent="0.2">
      <c r="A1275" s="1" t="s">
        <v>3700</v>
      </c>
      <c r="B1275" s="1" t="s">
        <v>3701</v>
      </c>
      <c r="C1275" s="1" t="s">
        <v>9</v>
      </c>
      <c r="D1275" s="1" t="s">
        <v>3</v>
      </c>
      <c r="E1275" s="5">
        <v>44279</v>
      </c>
      <c r="F1275" s="5">
        <v>46155</v>
      </c>
      <c r="G1275" s="2">
        <v>31.08071</v>
      </c>
      <c r="H1275" s="1" t="s">
        <v>10</v>
      </c>
      <c r="I1275" s="2">
        <v>958.02594469999997</v>
      </c>
      <c r="J1275" s="1" t="s">
        <v>86</v>
      </c>
      <c r="K1275" s="1" t="s">
        <v>3702</v>
      </c>
      <c r="L1275" s="2">
        <v>23138.01</v>
      </c>
      <c r="M1275">
        <f t="shared" si="57"/>
        <v>719145.77878709999</v>
      </c>
      <c r="N1275">
        <f t="shared" si="58"/>
        <v>63641.219361690259</v>
      </c>
      <c r="O1275" t="str">
        <f t="shared" si="59"/>
        <v>FJERN</v>
      </c>
      <c r="P1275" s="1" t="s">
        <v>6262</v>
      </c>
    </row>
    <row r="1276" spans="1:16" ht="15" customHeight="1" x14ac:dyDescent="0.2">
      <c r="A1276" s="1" t="s">
        <v>3703</v>
      </c>
      <c r="B1276" s="1" t="s">
        <v>3704</v>
      </c>
      <c r="C1276" s="1" t="s">
        <v>9</v>
      </c>
      <c r="D1276" s="1" t="s">
        <v>3</v>
      </c>
      <c r="E1276" s="5">
        <v>44351</v>
      </c>
      <c r="F1276" s="5">
        <v>46155</v>
      </c>
      <c r="G1276" s="2">
        <v>46.956380000000003</v>
      </c>
      <c r="H1276" s="1" t="s">
        <v>10</v>
      </c>
      <c r="I1276" s="2">
        <v>1275.946854</v>
      </c>
      <c r="J1276" s="1" t="s">
        <v>184</v>
      </c>
      <c r="K1276" s="1" t="s">
        <v>3705</v>
      </c>
      <c r="L1276" s="2">
        <v>9372.0380000000005</v>
      </c>
      <c r="M1276">
        <f t="shared" si="57"/>
        <v>440076.97770244005</v>
      </c>
      <c r="N1276">
        <f t="shared" si="58"/>
        <v>38944.86528340177</v>
      </c>
      <c r="O1276" t="str">
        <f t="shared" si="59"/>
        <v>FJERN</v>
      </c>
      <c r="P1276" s="1" t="s">
        <v>6263</v>
      </c>
    </row>
    <row r="1277" spans="1:16" ht="15" customHeight="1" x14ac:dyDescent="0.2">
      <c r="A1277" s="1" t="s">
        <v>3706</v>
      </c>
      <c r="B1277" s="1" t="s">
        <v>3707</v>
      </c>
      <c r="C1277" s="1" t="s">
        <v>9</v>
      </c>
      <c r="D1277" s="1" t="s">
        <v>3</v>
      </c>
      <c r="E1277" s="5">
        <v>44370</v>
      </c>
      <c r="F1277" s="5">
        <v>46155</v>
      </c>
      <c r="G1277" s="2">
        <v>1.0778160000000001</v>
      </c>
      <c r="H1277" s="1" t="s">
        <v>10</v>
      </c>
      <c r="I1277" s="2">
        <v>271.77379318499999</v>
      </c>
      <c r="J1277" s="1" t="s">
        <v>236</v>
      </c>
      <c r="K1277" s="1" t="s">
        <v>3708</v>
      </c>
      <c r="L1277" s="2">
        <v>144897.9</v>
      </c>
      <c r="M1277">
        <f t="shared" si="57"/>
        <v>156173.27498640001</v>
      </c>
      <c r="N1277">
        <f t="shared" si="58"/>
        <v>13820.643804106194</v>
      </c>
      <c r="O1277" t="str">
        <f t="shared" si="59"/>
        <v>FJERN</v>
      </c>
      <c r="P1277" s="1" t="s">
        <v>6264</v>
      </c>
    </row>
    <row r="1278" spans="1:16" ht="15" customHeight="1" x14ac:dyDescent="0.2">
      <c r="A1278" s="1" t="s">
        <v>3709</v>
      </c>
      <c r="B1278" s="1" t="s">
        <v>3710</v>
      </c>
      <c r="C1278" s="1" t="s">
        <v>9</v>
      </c>
      <c r="D1278" s="1" t="s">
        <v>3</v>
      </c>
      <c r="E1278" s="5">
        <v>44370</v>
      </c>
      <c r="F1278" s="5">
        <v>46153</v>
      </c>
      <c r="G1278" s="2">
        <v>6.7796500000000002</v>
      </c>
      <c r="H1278" s="1" t="s">
        <v>10</v>
      </c>
      <c r="I1278" s="2">
        <v>61.516606060000001</v>
      </c>
      <c r="J1278" s="1" t="s">
        <v>236</v>
      </c>
      <c r="K1278" s="1" t="s">
        <v>3711</v>
      </c>
      <c r="L1278" s="2">
        <v>7046.473</v>
      </c>
      <c r="M1278">
        <f t="shared" si="57"/>
        <v>47772.620674450001</v>
      </c>
      <c r="N1278">
        <f t="shared" si="58"/>
        <v>4227.6655464115047</v>
      </c>
      <c r="O1278" t="str">
        <f t="shared" si="59"/>
        <v>FJERN</v>
      </c>
      <c r="P1278" s="1" t="s">
        <v>6265</v>
      </c>
    </row>
    <row r="1279" spans="1:16" ht="15" customHeight="1" x14ac:dyDescent="0.2">
      <c r="A1279" s="1" t="s">
        <v>3712</v>
      </c>
      <c r="B1279" s="1" t="s">
        <v>3713</v>
      </c>
      <c r="C1279" s="1" t="s">
        <v>9</v>
      </c>
      <c r="D1279" s="1" t="s">
        <v>3</v>
      </c>
      <c r="E1279" s="5">
        <v>44314</v>
      </c>
      <c r="F1279" s="5">
        <v>46155</v>
      </c>
      <c r="G1279" s="2">
        <v>17.935870000000001</v>
      </c>
      <c r="H1279" s="1" t="s">
        <v>10</v>
      </c>
      <c r="I1279" s="2">
        <v>200.471766</v>
      </c>
      <c r="J1279" s="1" t="s">
        <v>236</v>
      </c>
      <c r="K1279" s="1" t="s">
        <v>3714</v>
      </c>
      <c r="L1279" s="2">
        <v>6516.32</v>
      </c>
      <c r="M1279">
        <f t="shared" si="57"/>
        <v>116875.86839840001</v>
      </c>
      <c r="N1279">
        <f t="shared" si="58"/>
        <v>10342.99720339823</v>
      </c>
      <c r="O1279" t="str">
        <f t="shared" si="59"/>
        <v>FJERN</v>
      </c>
      <c r="P1279" s="1" t="s">
        <v>6266</v>
      </c>
    </row>
    <row r="1280" spans="1:16" ht="15" customHeight="1" x14ac:dyDescent="0.2">
      <c r="A1280" s="1" t="s">
        <v>3715</v>
      </c>
      <c r="B1280" s="1" t="s">
        <v>3716</v>
      </c>
      <c r="C1280" s="1" t="s">
        <v>2</v>
      </c>
      <c r="D1280" s="1" t="s">
        <v>3</v>
      </c>
      <c r="E1280" s="5">
        <v>33802</v>
      </c>
      <c r="F1280" s="5">
        <v>46155</v>
      </c>
      <c r="G1280" s="2">
        <v>40.631819999999998</v>
      </c>
      <c r="H1280" s="1" t="s">
        <v>4</v>
      </c>
      <c r="I1280" s="2">
        <v>2571.3557472000002</v>
      </c>
      <c r="J1280" s="1" t="s">
        <v>11</v>
      </c>
      <c r="K1280" s="1" t="s">
        <v>3717</v>
      </c>
      <c r="L1280" s="2">
        <v>25990.240000000002</v>
      </c>
      <c r="M1280">
        <f t="shared" si="57"/>
        <v>1056030.7534368001</v>
      </c>
      <c r="N1280">
        <f t="shared" si="58"/>
        <v>141749.09442104699</v>
      </c>
      <c r="O1280" t="str">
        <f t="shared" si="59"/>
        <v>BEHOLD</v>
      </c>
      <c r="P1280" s="1" t="s">
        <v>6267</v>
      </c>
    </row>
    <row r="1281" spans="1:16" ht="15" customHeight="1" x14ac:dyDescent="0.2">
      <c r="A1281" s="1" t="s">
        <v>3718</v>
      </c>
      <c r="B1281" s="1" t="s">
        <v>3719</v>
      </c>
      <c r="C1281" s="1" t="s">
        <v>9</v>
      </c>
      <c r="D1281" s="1" t="s">
        <v>3</v>
      </c>
      <c r="E1281" s="5">
        <v>44448</v>
      </c>
      <c r="F1281" s="5">
        <v>46155</v>
      </c>
      <c r="G1281" s="2">
        <v>32.503860000000003</v>
      </c>
      <c r="H1281" s="1" t="s">
        <v>10</v>
      </c>
      <c r="I1281" s="2">
        <v>201.31170499999999</v>
      </c>
      <c r="J1281" s="1" t="s">
        <v>184</v>
      </c>
      <c r="K1281" s="1" t="s">
        <v>3720</v>
      </c>
      <c r="L1281" s="2">
        <v>4740.2049999999999</v>
      </c>
      <c r="M1281">
        <f t="shared" si="57"/>
        <v>154074.9596913</v>
      </c>
      <c r="N1281">
        <f t="shared" si="58"/>
        <v>13634.952185070795</v>
      </c>
      <c r="O1281" t="str">
        <f t="shared" si="59"/>
        <v>FJERN</v>
      </c>
      <c r="P1281" s="1"/>
    </row>
    <row r="1282" spans="1:16" ht="15" customHeight="1" x14ac:dyDescent="0.2">
      <c r="A1282" s="1" t="s">
        <v>3721</v>
      </c>
      <c r="B1282" s="1" t="s">
        <v>3722</v>
      </c>
      <c r="C1282" s="1" t="s">
        <v>9</v>
      </c>
      <c r="D1282" s="1" t="s">
        <v>3</v>
      </c>
      <c r="E1282" s="5">
        <v>44454</v>
      </c>
      <c r="F1282" s="5">
        <v>46155</v>
      </c>
      <c r="G1282" s="2">
        <v>39.443950000000001</v>
      </c>
      <c r="H1282" s="1" t="s">
        <v>10</v>
      </c>
      <c r="I1282" s="2">
        <v>2618.7812604000001</v>
      </c>
      <c r="J1282" s="1" t="s">
        <v>61</v>
      </c>
      <c r="K1282" s="1" t="s">
        <v>3723</v>
      </c>
      <c r="L1282" s="2">
        <v>7846.39</v>
      </c>
      <c r="M1282">
        <f t="shared" si="57"/>
        <v>309492.6148405</v>
      </c>
      <c r="N1282">
        <f t="shared" si="58"/>
        <v>27388.726977035396</v>
      </c>
      <c r="O1282" t="str">
        <f t="shared" si="59"/>
        <v>FJERN</v>
      </c>
      <c r="P1282" s="1" t="s">
        <v>6268</v>
      </c>
    </row>
    <row r="1283" spans="1:16" ht="15" customHeight="1" x14ac:dyDescent="0.2">
      <c r="A1283" s="1" t="s">
        <v>3724</v>
      </c>
      <c r="B1283" s="1" t="s">
        <v>3725</v>
      </c>
      <c r="C1283" s="1" t="s">
        <v>9</v>
      </c>
      <c r="D1283" s="1" t="s">
        <v>3</v>
      </c>
      <c r="E1283" s="5">
        <v>42726</v>
      </c>
      <c r="F1283" s="5">
        <v>46155</v>
      </c>
      <c r="G1283" s="2">
        <v>29.296019999999999</v>
      </c>
      <c r="H1283" s="1" t="s">
        <v>10</v>
      </c>
      <c r="I1283" s="2">
        <v>135.49451651999999</v>
      </c>
      <c r="J1283" s="1" t="s">
        <v>289</v>
      </c>
      <c r="K1283" s="1" t="s">
        <v>3726</v>
      </c>
      <c r="L1283" s="2">
        <v>19691.36</v>
      </c>
      <c r="M1283">
        <f t="shared" ref="M1283:M1346" si="60">IF(OR(G1283="",L1283=""),"",G1283*L1283)</f>
        <v>576878.47638719995</v>
      </c>
      <c r="N1283">
        <f t="shared" ref="N1283:N1346" si="61">IF(M1283="","",IF(H1283="DKK",M1283/7.45,IF(H1283="SEK",M1283/11.3,M1283)))</f>
        <v>51051.192600637158</v>
      </c>
      <c r="O1283" t="str">
        <f t="shared" ref="O1283:O1346" si="62">IF(AND(E1283&lt;=DATE(2024,12,31),F1283&gt;=DATE(2010,1,1),D1283="SHARE",N1283&gt;=100000),"BEHOLD","FJERN")</f>
        <v>FJERN</v>
      </c>
      <c r="P1283" s="1" t="s">
        <v>6269</v>
      </c>
    </row>
    <row r="1284" spans="1:16" ht="15" customHeight="1" x14ac:dyDescent="0.2">
      <c r="A1284" s="1" t="s">
        <v>3727</v>
      </c>
      <c r="B1284" s="1" t="s">
        <v>3728</v>
      </c>
      <c r="C1284" s="1" t="s">
        <v>9</v>
      </c>
      <c r="D1284" s="1" t="s">
        <v>3</v>
      </c>
      <c r="E1284" s="5">
        <v>44523</v>
      </c>
      <c r="F1284" s="5">
        <v>46155</v>
      </c>
      <c r="G1284" s="2">
        <v>9.6578110000000006</v>
      </c>
      <c r="H1284" s="1" t="s">
        <v>10</v>
      </c>
      <c r="I1284" s="2"/>
      <c r="J1284" s="1" t="s">
        <v>184</v>
      </c>
      <c r="K1284" s="1" t="s">
        <v>3729</v>
      </c>
      <c r="L1284" s="2">
        <v>7332.2950000000001</v>
      </c>
      <c r="M1284">
        <f t="shared" si="60"/>
        <v>70813.919306245007</v>
      </c>
      <c r="N1284">
        <f t="shared" si="61"/>
        <v>6266.7185226765487</v>
      </c>
      <c r="O1284" t="str">
        <f t="shared" si="62"/>
        <v>FJERN</v>
      </c>
      <c r="P1284" s="1" t="s">
        <v>6270</v>
      </c>
    </row>
    <row r="1285" spans="1:16" ht="15" customHeight="1" x14ac:dyDescent="0.2">
      <c r="A1285" s="1" t="s">
        <v>3730</v>
      </c>
      <c r="B1285" s="1" t="s">
        <v>3731</v>
      </c>
      <c r="C1285" s="1" t="s">
        <v>9</v>
      </c>
      <c r="D1285" s="1" t="s">
        <v>3</v>
      </c>
      <c r="E1285" s="5">
        <v>42167</v>
      </c>
      <c r="F1285" s="5">
        <v>46155</v>
      </c>
      <c r="G1285" s="2">
        <v>1690.19</v>
      </c>
      <c r="H1285" s="1" t="s">
        <v>10</v>
      </c>
      <c r="I1285" s="2">
        <v>1248.8449014</v>
      </c>
      <c r="J1285" s="1" t="s">
        <v>61</v>
      </c>
      <c r="K1285" s="1" t="s">
        <v>3732</v>
      </c>
      <c r="L1285" s="2">
        <v>113976.8</v>
      </c>
      <c r="M1285">
        <f t="shared" si="60"/>
        <v>192642447.59200001</v>
      </c>
      <c r="N1285">
        <f t="shared" si="61"/>
        <v>17048004.211681414</v>
      </c>
      <c r="O1285" t="str">
        <f t="shared" si="62"/>
        <v>BEHOLD</v>
      </c>
      <c r="P1285" s="1" t="s">
        <v>6271</v>
      </c>
    </row>
    <row r="1286" spans="1:16" ht="15" customHeight="1" x14ac:dyDescent="0.2">
      <c r="A1286" s="1" t="s">
        <v>3733</v>
      </c>
      <c r="B1286" s="1" t="s">
        <v>3734</v>
      </c>
      <c r="C1286" s="1" t="s">
        <v>9</v>
      </c>
      <c r="D1286" s="1" t="s">
        <v>3</v>
      </c>
      <c r="E1286" s="5">
        <v>44510</v>
      </c>
      <c r="F1286" s="5">
        <v>46155</v>
      </c>
      <c r="G1286" s="2">
        <v>12.8436</v>
      </c>
      <c r="H1286" s="1" t="s">
        <v>10</v>
      </c>
      <c r="I1286" s="2">
        <v>205.967805</v>
      </c>
      <c r="J1286" s="1" t="s">
        <v>23</v>
      </c>
      <c r="K1286" s="1" t="s">
        <v>3735</v>
      </c>
      <c r="L1286" s="2">
        <v>7442.7089999999998</v>
      </c>
      <c r="M1286">
        <f t="shared" si="60"/>
        <v>95591.177312400003</v>
      </c>
      <c r="N1286">
        <f t="shared" si="61"/>
        <v>8459.3962223362832</v>
      </c>
      <c r="O1286" t="str">
        <f t="shared" si="62"/>
        <v>FJERN</v>
      </c>
      <c r="P1286" s="1"/>
    </row>
    <row r="1287" spans="1:16" ht="15" customHeight="1" x14ac:dyDescent="0.2">
      <c r="A1287" s="1" t="s">
        <v>3736</v>
      </c>
      <c r="B1287" s="1" t="s">
        <v>3737</v>
      </c>
      <c r="C1287" s="1" t="s">
        <v>9</v>
      </c>
      <c r="D1287" s="1" t="s">
        <v>3</v>
      </c>
      <c r="E1287" s="5">
        <v>41740</v>
      </c>
      <c r="F1287" s="5">
        <v>46155</v>
      </c>
      <c r="G1287" s="2">
        <v>3.850406</v>
      </c>
      <c r="H1287" s="1" t="s">
        <v>10</v>
      </c>
      <c r="I1287" s="2">
        <v>72.119025054999994</v>
      </c>
      <c r="J1287" s="1" t="s">
        <v>34</v>
      </c>
      <c r="K1287" s="1" t="s">
        <v>3738</v>
      </c>
      <c r="L1287" s="2">
        <v>80110.600000000006</v>
      </c>
      <c r="M1287">
        <f t="shared" si="60"/>
        <v>308458.33490360004</v>
      </c>
      <c r="N1287">
        <f t="shared" si="61"/>
        <v>27297.197779079648</v>
      </c>
      <c r="O1287" t="str">
        <f t="shared" si="62"/>
        <v>FJERN</v>
      </c>
      <c r="P1287" s="1" t="s">
        <v>6272</v>
      </c>
    </row>
    <row r="1288" spans="1:16" ht="15" customHeight="1" x14ac:dyDescent="0.2">
      <c r="A1288" s="1" t="s">
        <v>3739</v>
      </c>
      <c r="B1288" s="1" t="s">
        <v>3740</v>
      </c>
      <c r="C1288" s="1" t="s">
        <v>9</v>
      </c>
      <c r="D1288" s="1" t="s">
        <v>3</v>
      </c>
      <c r="E1288" s="5">
        <v>41775</v>
      </c>
      <c r="F1288" s="5">
        <v>46155</v>
      </c>
      <c r="G1288" s="2">
        <v>78.57338</v>
      </c>
      <c r="H1288" s="1" t="s">
        <v>10</v>
      </c>
      <c r="I1288" s="2">
        <v>390.61159199999997</v>
      </c>
      <c r="J1288" s="1" t="s">
        <v>86</v>
      </c>
      <c r="K1288" s="1" t="s">
        <v>3741</v>
      </c>
      <c r="L1288" s="2">
        <v>1364.17</v>
      </c>
      <c r="M1288">
        <f t="shared" si="60"/>
        <v>107187.44779460001</v>
      </c>
      <c r="N1288">
        <f t="shared" si="61"/>
        <v>9485.6148490796459</v>
      </c>
      <c r="O1288" t="str">
        <f t="shared" si="62"/>
        <v>FJERN</v>
      </c>
      <c r="P1288" s="1" t="s">
        <v>6273</v>
      </c>
    </row>
    <row r="1289" spans="1:16" ht="15" customHeight="1" x14ac:dyDescent="0.2">
      <c r="A1289" s="1" t="s">
        <v>3742</v>
      </c>
      <c r="B1289" s="1" t="s">
        <v>3743</v>
      </c>
      <c r="C1289" s="1" t="s">
        <v>9</v>
      </c>
      <c r="D1289" s="1" t="s">
        <v>3</v>
      </c>
      <c r="E1289" s="5">
        <v>37137</v>
      </c>
      <c r="F1289" s="5">
        <v>46155</v>
      </c>
      <c r="G1289" s="2">
        <v>92.082300000000004</v>
      </c>
      <c r="H1289" s="1" t="s">
        <v>10</v>
      </c>
      <c r="I1289" s="2">
        <v>79015.614681599996</v>
      </c>
      <c r="J1289" s="1" t="s">
        <v>11</v>
      </c>
      <c r="K1289" s="1" t="s">
        <v>3744</v>
      </c>
      <c r="L1289" s="2">
        <v>262509.90000000002</v>
      </c>
      <c r="M1289">
        <f t="shared" si="60"/>
        <v>24172515.364770003</v>
      </c>
      <c r="N1289">
        <f t="shared" si="61"/>
        <v>2139160.6517495578</v>
      </c>
      <c r="O1289" t="str">
        <f t="shared" si="62"/>
        <v>BEHOLD</v>
      </c>
      <c r="P1289" s="1" t="s">
        <v>6274</v>
      </c>
    </row>
    <row r="1290" spans="1:16" ht="15" customHeight="1" x14ac:dyDescent="0.2">
      <c r="A1290" s="1" t="s">
        <v>3745</v>
      </c>
      <c r="B1290" s="1" t="s">
        <v>3746</v>
      </c>
      <c r="C1290" s="1" t="s">
        <v>9</v>
      </c>
      <c r="D1290" s="1" t="s">
        <v>3</v>
      </c>
      <c r="E1290" s="5">
        <v>36059</v>
      </c>
      <c r="F1290" s="5">
        <v>46155</v>
      </c>
      <c r="G1290" s="2">
        <v>76.152180000000001</v>
      </c>
      <c r="H1290" s="1" t="s">
        <v>10</v>
      </c>
      <c r="I1290" s="2">
        <v>54424.134991463899</v>
      </c>
      <c r="J1290" s="1" t="s">
        <v>11</v>
      </c>
      <c r="K1290" s="1" t="s">
        <v>3747</v>
      </c>
      <c r="L1290" s="2">
        <v>218468.8</v>
      </c>
      <c r="M1290">
        <f t="shared" si="60"/>
        <v>16636875.381983999</v>
      </c>
      <c r="N1290">
        <f t="shared" si="61"/>
        <v>1472289.8568127432</v>
      </c>
      <c r="O1290" t="str">
        <f t="shared" si="62"/>
        <v>BEHOLD</v>
      </c>
      <c r="P1290" s="1" t="s">
        <v>6275</v>
      </c>
    </row>
    <row r="1291" spans="1:16" ht="15" customHeight="1" x14ac:dyDescent="0.2">
      <c r="A1291" s="1" t="s">
        <v>3748</v>
      </c>
      <c r="B1291" s="1" t="s">
        <v>3749</v>
      </c>
      <c r="C1291" s="1" t="s">
        <v>9</v>
      </c>
      <c r="D1291" s="1" t="s">
        <v>3</v>
      </c>
      <c r="E1291" s="5">
        <v>44687</v>
      </c>
      <c r="F1291" s="5">
        <v>46155</v>
      </c>
      <c r="G1291" s="2">
        <v>60.307389999999998</v>
      </c>
      <c r="H1291" s="1" t="s">
        <v>10</v>
      </c>
      <c r="I1291" s="2">
        <v>33</v>
      </c>
      <c r="J1291" s="1" t="s">
        <v>289</v>
      </c>
      <c r="K1291" s="1" t="s">
        <v>3750</v>
      </c>
      <c r="L1291" s="2">
        <v>539.72190000000001</v>
      </c>
      <c r="M1291">
        <f t="shared" si="60"/>
        <v>32549.219114840998</v>
      </c>
      <c r="N1291">
        <f t="shared" si="61"/>
        <v>2880.4618685699998</v>
      </c>
      <c r="O1291" t="str">
        <f t="shared" si="62"/>
        <v>FJERN</v>
      </c>
      <c r="P1291" s="1"/>
    </row>
    <row r="1292" spans="1:16" ht="15" customHeight="1" x14ac:dyDescent="0.2">
      <c r="A1292" s="1" t="s">
        <v>3751</v>
      </c>
      <c r="B1292" s="1" t="s">
        <v>3752</v>
      </c>
      <c r="C1292" s="1" t="s">
        <v>9</v>
      </c>
      <c r="D1292" s="1" t="s">
        <v>3</v>
      </c>
      <c r="E1292" s="5">
        <v>41808</v>
      </c>
      <c r="F1292" s="5">
        <v>46155</v>
      </c>
      <c r="G1292" s="2">
        <v>1.447187</v>
      </c>
      <c r="H1292" s="1" t="s">
        <v>10</v>
      </c>
      <c r="I1292" s="2">
        <v>885.38394810399996</v>
      </c>
      <c r="J1292" s="1" t="s">
        <v>51</v>
      </c>
      <c r="K1292" s="1" t="s">
        <v>3753</v>
      </c>
      <c r="L1292" s="2">
        <v>2495720</v>
      </c>
      <c r="M1292">
        <f t="shared" si="60"/>
        <v>3611773.5396400001</v>
      </c>
      <c r="N1292">
        <f t="shared" si="61"/>
        <v>319625.97695929202</v>
      </c>
      <c r="O1292" t="str">
        <f t="shared" si="62"/>
        <v>BEHOLD</v>
      </c>
      <c r="P1292" s="1" t="s">
        <v>6276</v>
      </c>
    </row>
    <row r="1293" spans="1:16" ht="15" customHeight="1" x14ac:dyDescent="0.2">
      <c r="A1293" s="1" t="s">
        <v>3754</v>
      </c>
      <c r="B1293" s="1" t="s">
        <v>3755</v>
      </c>
      <c r="C1293" s="1" t="s">
        <v>9</v>
      </c>
      <c r="D1293" s="1" t="s">
        <v>3</v>
      </c>
      <c r="E1293" s="5">
        <v>44342</v>
      </c>
      <c r="F1293" s="5">
        <v>45161</v>
      </c>
      <c r="G1293" s="2">
        <v>95.899799999999999</v>
      </c>
      <c r="H1293" s="1" t="s">
        <v>10</v>
      </c>
      <c r="I1293" s="2">
        <v>1240</v>
      </c>
      <c r="J1293" s="1" t="s">
        <v>76</v>
      </c>
      <c r="K1293" s="1" t="s">
        <v>3756</v>
      </c>
      <c r="L1293" s="2">
        <v>11981.22</v>
      </c>
      <c r="M1293">
        <f t="shared" si="60"/>
        <v>1148996.601756</v>
      </c>
      <c r="N1293">
        <f t="shared" si="61"/>
        <v>101681.11519964601</v>
      </c>
      <c r="O1293" t="str">
        <f t="shared" si="62"/>
        <v>BEHOLD</v>
      </c>
      <c r="P1293" s="1"/>
    </row>
    <row r="1294" spans="1:16" ht="15" customHeight="1" x14ac:dyDescent="0.2">
      <c r="A1294" s="1" t="s">
        <v>3757</v>
      </c>
      <c r="B1294" s="1" t="s">
        <v>3758</v>
      </c>
      <c r="C1294" s="1" t="s">
        <v>9</v>
      </c>
      <c r="D1294" s="1" t="s">
        <v>3</v>
      </c>
      <c r="E1294" s="5">
        <v>44341</v>
      </c>
      <c r="F1294" s="5">
        <v>46155</v>
      </c>
      <c r="G1294" s="2">
        <v>45.351700000000001</v>
      </c>
      <c r="H1294" s="1" t="s">
        <v>10</v>
      </c>
      <c r="I1294" s="2">
        <v>1028.02</v>
      </c>
      <c r="J1294" s="1" t="s">
        <v>51</v>
      </c>
      <c r="K1294" s="1" t="s">
        <v>3759</v>
      </c>
      <c r="L1294" s="2">
        <v>13476.57</v>
      </c>
      <c r="M1294">
        <f t="shared" si="60"/>
        <v>611185.35966900003</v>
      </c>
      <c r="N1294">
        <f t="shared" si="61"/>
        <v>54087.199970707967</v>
      </c>
      <c r="O1294" t="str">
        <f t="shared" si="62"/>
        <v>FJERN</v>
      </c>
      <c r="P1294" s="1" t="s">
        <v>6277</v>
      </c>
    </row>
    <row r="1295" spans="1:16" ht="15" customHeight="1" x14ac:dyDescent="0.2">
      <c r="A1295" s="1" t="s">
        <v>3760</v>
      </c>
      <c r="B1295" s="1" t="s">
        <v>3761</v>
      </c>
      <c r="C1295" s="1" t="s">
        <v>2</v>
      </c>
      <c r="D1295" s="1" t="s">
        <v>3</v>
      </c>
      <c r="E1295" s="5">
        <v>44153</v>
      </c>
      <c r="F1295" s="5">
        <v>46155</v>
      </c>
      <c r="G1295" s="2">
        <v>69.320220000000006</v>
      </c>
      <c r="H1295" s="1" t="s">
        <v>4</v>
      </c>
      <c r="I1295" s="2">
        <v>795.08390429999997</v>
      </c>
      <c r="J1295" s="1" t="s">
        <v>197</v>
      </c>
      <c r="K1295" s="1" t="s">
        <v>3762</v>
      </c>
      <c r="L1295" s="2">
        <v>36175.32</v>
      </c>
      <c r="M1295">
        <f t="shared" si="60"/>
        <v>2507681.1409704001</v>
      </c>
      <c r="N1295">
        <f t="shared" si="61"/>
        <v>336601.49543226848</v>
      </c>
      <c r="O1295" t="str">
        <f t="shared" si="62"/>
        <v>BEHOLD</v>
      </c>
      <c r="P1295" s="1" t="s">
        <v>6278</v>
      </c>
    </row>
    <row r="1296" spans="1:16" ht="15" customHeight="1" x14ac:dyDescent="0.2">
      <c r="A1296" s="1" t="s">
        <v>3763</v>
      </c>
      <c r="B1296" s="1" t="s">
        <v>3764</v>
      </c>
      <c r="C1296" s="1" t="s">
        <v>9</v>
      </c>
      <c r="D1296" s="1" t="s">
        <v>3</v>
      </c>
      <c r="E1296" s="5">
        <v>44174</v>
      </c>
      <c r="F1296" s="5">
        <v>46155</v>
      </c>
      <c r="G1296" s="2">
        <v>4.7028290000000004</v>
      </c>
      <c r="H1296" s="1" t="s">
        <v>10</v>
      </c>
      <c r="I1296" s="2">
        <v>35.702785032000001</v>
      </c>
      <c r="J1296" s="1" t="s">
        <v>51</v>
      </c>
      <c r="K1296" s="1" t="s">
        <v>3765</v>
      </c>
      <c r="L1296" s="2">
        <v>70287.429999999993</v>
      </c>
      <c r="M1296">
        <f t="shared" si="60"/>
        <v>330549.76413947</v>
      </c>
      <c r="N1296">
        <f t="shared" si="61"/>
        <v>29252.191516767256</v>
      </c>
      <c r="O1296" t="str">
        <f t="shared" si="62"/>
        <v>FJERN</v>
      </c>
      <c r="P1296" s="1" t="s">
        <v>6279</v>
      </c>
    </row>
    <row r="1297" spans="1:16" ht="15" customHeight="1" x14ac:dyDescent="0.2">
      <c r="A1297" s="1" t="s">
        <v>3766</v>
      </c>
      <c r="B1297" s="1" t="s">
        <v>3767</v>
      </c>
      <c r="C1297" s="1" t="s">
        <v>9</v>
      </c>
      <c r="D1297" s="1" t="s">
        <v>3</v>
      </c>
      <c r="E1297" s="5">
        <v>41802</v>
      </c>
      <c r="F1297" s="5">
        <v>46155</v>
      </c>
      <c r="G1297" s="2">
        <v>48.827559999999998</v>
      </c>
      <c r="H1297" s="1" t="s">
        <v>10</v>
      </c>
      <c r="I1297" s="2">
        <v>413.21469200000001</v>
      </c>
      <c r="J1297" s="1" t="s">
        <v>328</v>
      </c>
      <c r="K1297" s="1" t="s">
        <v>3768</v>
      </c>
      <c r="L1297" s="2">
        <v>7402.2569999999996</v>
      </c>
      <c r="M1297">
        <f t="shared" si="60"/>
        <v>361434.14780291996</v>
      </c>
      <c r="N1297">
        <f t="shared" si="61"/>
        <v>31985.322814417694</v>
      </c>
      <c r="O1297" t="str">
        <f t="shared" si="62"/>
        <v>FJERN</v>
      </c>
      <c r="P1297" s="1" t="s">
        <v>6280</v>
      </c>
    </row>
    <row r="1298" spans="1:16" ht="15" customHeight="1" x14ac:dyDescent="0.2">
      <c r="A1298" s="1" t="s">
        <v>3769</v>
      </c>
      <c r="B1298" s="1" t="s">
        <v>3770</v>
      </c>
      <c r="C1298" s="1" t="s">
        <v>9</v>
      </c>
      <c r="D1298" s="1" t="s">
        <v>3</v>
      </c>
      <c r="E1298" s="5">
        <v>41809</v>
      </c>
      <c r="F1298" s="5">
        <v>46155</v>
      </c>
      <c r="G1298" s="2">
        <v>21.485720000000001</v>
      </c>
      <c r="H1298" s="1" t="s">
        <v>10</v>
      </c>
      <c r="I1298" s="2">
        <v>166.77038848000001</v>
      </c>
      <c r="J1298" s="1" t="s">
        <v>23</v>
      </c>
      <c r="K1298" s="1" t="s">
        <v>3771</v>
      </c>
      <c r="L1298" s="2">
        <v>71742.7</v>
      </c>
      <c r="M1298">
        <f t="shared" si="60"/>
        <v>1541443.564244</v>
      </c>
      <c r="N1298">
        <f t="shared" si="61"/>
        <v>136410.93488884956</v>
      </c>
      <c r="O1298" t="str">
        <f t="shared" si="62"/>
        <v>BEHOLD</v>
      </c>
      <c r="P1298" s="1" t="s">
        <v>6281</v>
      </c>
    </row>
    <row r="1299" spans="1:16" ht="15" customHeight="1" x14ac:dyDescent="0.2">
      <c r="A1299" s="1" t="s">
        <v>3772</v>
      </c>
      <c r="B1299" s="1" t="s">
        <v>3773</v>
      </c>
      <c r="C1299" s="1" t="s">
        <v>2</v>
      </c>
      <c r="D1299" s="1" t="s">
        <v>3</v>
      </c>
      <c r="E1299" s="5">
        <v>31049</v>
      </c>
      <c r="F1299" s="5">
        <v>46155</v>
      </c>
      <c r="G1299" s="2">
        <v>51131.9</v>
      </c>
      <c r="H1299" s="1" t="s">
        <v>4</v>
      </c>
      <c r="I1299" s="2">
        <v>69.520849999999996</v>
      </c>
      <c r="J1299" s="1" t="s">
        <v>11</v>
      </c>
      <c r="K1299" s="1" t="s">
        <v>3774</v>
      </c>
      <c r="L1299" s="2">
        <v>26.806789999999999</v>
      </c>
      <c r="M1299">
        <f t="shared" si="60"/>
        <v>1370682.1056009999</v>
      </c>
      <c r="N1299">
        <f t="shared" si="61"/>
        <v>183984.17524845636</v>
      </c>
      <c r="O1299" t="str">
        <f t="shared" si="62"/>
        <v>BEHOLD</v>
      </c>
      <c r="P1299" s="1" t="s">
        <v>6282</v>
      </c>
    </row>
    <row r="1300" spans="1:16" ht="15" customHeight="1" x14ac:dyDescent="0.2">
      <c r="A1300" s="1" t="s">
        <v>3775</v>
      </c>
      <c r="B1300" s="1" t="s">
        <v>3776</v>
      </c>
      <c r="C1300" s="1" t="s">
        <v>2</v>
      </c>
      <c r="D1300" s="1" t="s">
        <v>3</v>
      </c>
      <c r="E1300" s="5">
        <v>44225</v>
      </c>
      <c r="F1300" s="5">
        <v>46154</v>
      </c>
      <c r="G1300" s="2">
        <v>3.5912709999999999</v>
      </c>
      <c r="H1300" s="1" t="s">
        <v>4</v>
      </c>
      <c r="I1300" s="2">
        <v>57.427159000000003</v>
      </c>
      <c r="J1300" s="1" t="s">
        <v>236</v>
      </c>
      <c r="K1300" s="1" t="s">
        <v>3777</v>
      </c>
      <c r="L1300" s="2">
        <v>13405.26</v>
      </c>
      <c r="M1300">
        <f t="shared" si="60"/>
        <v>48141.92148546</v>
      </c>
      <c r="N1300">
        <f t="shared" si="61"/>
        <v>6462.002883954362</v>
      </c>
      <c r="O1300" t="str">
        <f t="shared" si="62"/>
        <v>FJERN</v>
      </c>
      <c r="P1300" s="1"/>
    </row>
    <row r="1301" spans="1:16" ht="15" customHeight="1" x14ac:dyDescent="0.2">
      <c r="A1301" s="1" t="s">
        <v>3778</v>
      </c>
      <c r="B1301" s="1" t="s">
        <v>3779</v>
      </c>
      <c r="C1301" s="1" t="s">
        <v>9</v>
      </c>
      <c r="D1301" s="1" t="s">
        <v>3</v>
      </c>
      <c r="E1301" s="5">
        <v>44540</v>
      </c>
      <c r="F1301" s="5">
        <v>46155</v>
      </c>
      <c r="G1301" s="2">
        <v>94.230379999999997</v>
      </c>
      <c r="H1301" s="1" t="s">
        <v>10</v>
      </c>
      <c r="I1301" s="2">
        <v>1901.8476294</v>
      </c>
      <c r="J1301" s="1" t="s">
        <v>34</v>
      </c>
      <c r="K1301" s="1" t="s">
        <v>3780</v>
      </c>
      <c r="L1301" s="2">
        <v>18757.72</v>
      </c>
      <c r="M1301">
        <f t="shared" si="60"/>
        <v>1767547.0835336</v>
      </c>
      <c r="N1301">
        <f t="shared" si="61"/>
        <v>156420.0958879292</v>
      </c>
      <c r="O1301" t="str">
        <f t="shared" si="62"/>
        <v>BEHOLD</v>
      </c>
      <c r="P1301" s="1" t="s">
        <v>6283</v>
      </c>
    </row>
    <row r="1302" spans="1:16" ht="15" customHeight="1" x14ac:dyDescent="0.2">
      <c r="A1302" s="1" t="s">
        <v>3781</v>
      </c>
      <c r="B1302" s="1" t="s">
        <v>3782</v>
      </c>
      <c r="C1302" s="1" t="s">
        <v>9</v>
      </c>
      <c r="D1302" s="1" t="s">
        <v>3</v>
      </c>
      <c r="E1302" s="5">
        <v>41991</v>
      </c>
      <c r="F1302" s="5">
        <v>46155</v>
      </c>
      <c r="G1302" s="2">
        <v>21.889679999999998</v>
      </c>
      <c r="H1302" s="1" t="s">
        <v>10</v>
      </c>
      <c r="I1302" s="2">
        <v>442.69509699999998</v>
      </c>
      <c r="J1302" s="1" t="s">
        <v>236</v>
      </c>
      <c r="K1302" s="1" t="s">
        <v>3783</v>
      </c>
      <c r="L1302" s="2">
        <v>26638.53</v>
      </c>
      <c r="M1302">
        <f t="shared" si="60"/>
        <v>583108.89737039991</v>
      </c>
      <c r="N1302">
        <f t="shared" si="61"/>
        <v>51602.55728941592</v>
      </c>
      <c r="O1302" t="str">
        <f t="shared" si="62"/>
        <v>FJERN</v>
      </c>
      <c r="P1302" s="1" t="s">
        <v>6284</v>
      </c>
    </row>
    <row r="1303" spans="1:16" ht="15" customHeight="1" x14ac:dyDescent="0.2">
      <c r="A1303" s="1" t="s">
        <v>3784</v>
      </c>
      <c r="B1303" s="1" t="s">
        <v>3785</v>
      </c>
      <c r="C1303" s="1" t="s">
        <v>9</v>
      </c>
      <c r="D1303" s="1" t="s">
        <v>3</v>
      </c>
      <c r="E1303" s="5">
        <v>44351</v>
      </c>
      <c r="F1303" s="5">
        <v>46155</v>
      </c>
      <c r="G1303" s="2">
        <v>95.965389999999999</v>
      </c>
      <c r="H1303" s="1" t="s">
        <v>10</v>
      </c>
      <c r="I1303" s="2">
        <v>5644.3644210000002</v>
      </c>
      <c r="J1303" s="1" t="s">
        <v>38</v>
      </c>
      <c r="K1303" s="1" t="s">
        <v>3786</v>
      </c>
      <c r="L1303" s="2">
        <v>173447</v>
      </c>
      <c r="M1303">
        <f t="shared" si="60"/>
        <v>16644908.999329999</v>
      </c>
      <c r="N1303">
        <f t="shared" si="61"/>
        <v>1473000.7964008849</v>
      </c>
      <c r="O1303" t="str">
        <f t="shared" si="62"/>
        <v>BEHOLD</v>
      </c>
      <c r="P1303" s="1" t="s">
        <v>6285</v>
      </c>
    </row>
    <row r="1304" spans="1:16" ht="15" customHeight="1" x14ac:dyDescent="0.2">
      <c r="A1304" s="1" t="s">
        <v>3787</v>
      </c>
      <c r="B1304" s="1" t="s">
        <v>3788</v>
      </c>
      <c r="C1304" s="1" t="s">
        <v>9</v>
      </c>
      <c r="D1304" s="1" t="s">
        <v>3</v>
      </c>
      <c r="E1304" s="5">
        <v>44648</v>
      </c>
      <c r="F1304" s="5">
        <v>46155</v>
      </c>
      <c r="G1304" s="2">
        <v>1.813539</v>
      </c>
      <c r="H1304" s="1" t="s">
        <v>10</v>
      </c>
      <c r="I1304" s="2"/>
      <c r="J1304" s="1" t="s">
        <v>23</v>
      </c>
      <c r="K1304" s="1" t="s">
        <v>3789</v>
      </c>
      <c r="L1304" s="2">
        <v>9076.7489999999998</v>
      </c>
      <c r="M1304">
        <f t="shared" si="60"/>
        <v>16461.038304711001</v>
      </c>
      <c r="N1304">
        <f t="shared" si="61"/>
        <v>1456.7290535142479</v>
      </c>
      <c r="O1304" t="str">
        <f t="shared" si="62"/>
        <v>FJERN</v>
      </c>
      <c r="P1304" s="1" t="s">
        <v>6286</v>
      </c>
    </row>
    <row r="1305" spans="1:16" ht="15" customHeight="1" x14ac:dyDescent="0.2">
      <c r="A1305" s="1" t="s">
        <v>3790</v>
      </c>
      <c r="B1305" s="1" t="s">
        <v>3791</v>
      </c>
      <c r="C1305" s="1" t="s">
        <v>9</v>
      </c>
      <c r="D1305" s="1" t="s">
        <v>3</v>
      </c>
      <c r="E1305" s="5">
        <v>44106</v>
      </c>
      <c r="F1305" s="5">
        <v>46155</v>
      </c>
      <c r="G1305" s="2">
        <v>23.363589999999999</v>
      </c>
      <c r="H1305" s="1" t="s">
        <v>10</v>
      </c>
      <c r="I1305" s="2">
        <v>494.83878499999997</v>
      </c>
      <c r="J1305" s="1" t="s">
        <v>328</v>
      </c>
      <c r="K1305" s="1" t="s">
        <v>3792</v>
      </c>
      <c r="L1305" s="2">
        <v>32017.9</v>
      </c>
      <c r="M1305">
        <f t="shared" si="60"/>
        <v>748053.088261</v>
      </c>
      <c r="N1305">
        <f t="shared" si="61"/>
        <v>66199.388341681406</v>
      </c>
      <c r="O1305" t="str">
        <f t="shared" si="62"/>
        <v>FJERN</v>
      </c>
      <c r="P1305" s="1" t="s">
        <v>6287</v>
      </c>
    </row>
    <row r="1306" spans="1:16" ht="15" customHeight="1" x14ac:dyDescent="0.2">
      <c r="A1306" s="1" t="s">
        <v>3793</v>
      </c>
      <c r="B1306" s="1" t="s">
        <v>3794</v>
      </c>
      <c r="C1306" s="1" t="s">
        <v>9</v>
      </c>
      <c r="D1306" s="1" t="s">
        <v>3</v>
      </c>
      <c r="E1306" s="5">
        <v>44498</v>
      </c>
      <c r="F1306" s="5">
        <v>46155</v>
      </c>
      <c r="G1306" s="2">
        <v>11.64452</v>
      </c>
      <c r="H1306" s="1" t="s">
        <v>10</v>
      </c>
      <c r="I1306" s="2">
        <v>139.561229</v>
      </c>
      <c r="J1306" s="1" t="s">
        <v>30</v>
      </c>
      <c r="K1306" s="1" t="s">
        <v>3795</v>
      </c>
      <c r="L1306" s="2">
        <v>24203.72</v>
      </c>
      <c r="M1306">
        <f t="shared" si="60"/>
        <v>281840.70161440002</v>
      </c>
      <c r="N1306">
        <f t="shared" si="61"/>
        <v>24941.655010123894</v>
      </c>
      <c r="O1306" t="str">
        <f t="shared" si="62"/>
        <v>FJERN</v>
      </c>
      <c r="P1306" s="1" t="s">
        <v>6288</v>
      </c>
    </row>
    <row r="1307" spans="1:16" ht="15" customHeight="1" x14ac:dyDescent="0.2">
      <c r="A1307" s="1" t="s">
        <v>3796</v>
      </c>
      <c r="B1307" s="1" t="s">
        <v>3797</v>
      </c>
      <c r="C1307" s="1" t="s">
        <v>9</v>
      </c>
      <c r="D1307" s="1" t="s">
        <v>3</v>
      </c>
      <c r="E1307" s="5">
        <v>44270</v>
      </c>
      <c r="F1307" s="5">
        <v>45622</v>
      </c>
      <c r="G1307" s="2">
        <v>4.2684280000000001</v>
      </c>
      <c r="H1307" s="1" t="s">
        <v>10</v>
      </c>
      <c r="I1307" s="2">
        <v>9.7271502460000008</v>
      </c>
      <c r="J1307" s="1" t="s">
        <v>23</v>
      </c>
      <c r="K1307" s="1" t="s">
        <v>3798</v>
      </c>
      <c r="L1307" s="2">
        <v>30715.48</v>
      </c>
      <c r="M1307">
        <f t="shared" si="60"/>
        <v>131106.81486544001</v>
      </c>
      <c r="N1307">
        <f t="shared" si="61"/>
        <v>11602.372996941593</v>
      </c>
      <c r="O1307" t="str">
        <f t="shared" si="62"/>
        <v>FJERN</v>
      </c>
      <c r="P1307" s="1"/>
    </row>
    <row r="1308" spans="1:16" ht="15" customHeight="1" x14ac:dyDescent="0.2">
      <c r="A1308" s="1" t="s">
        <v>3799</v>
      </c>
      <c r="B1308" s="1" t="s">
        <v>3800</v>
      </c>
      <c r="C1308" s="1" t="s">
        <v>9</v>
      </c>
      <c r="D1308" s="1" t="s">
        <v>3</v>
      </c>
      <c r="E1308" s="5">
        <v>44475</v>
      </c>
      <c r="F1308" s="5">
        <v>46155</v>
      </c>
      <c r="G1308" s="2">
        <v>13.582739999999999</v>
      </c>
      <c r="H1308" s="1" t="s">
        <v>10</v>
      </c>
      <c r="I1308" s="2">
        <v>19802.154071059998</v>
      </c>
      <c r="J1308" s="1" t="s">
        <v>76</v>
      </c>
      <c r="K1308" s="1" t="s">
        <v>3801</v>
      </c>
      <c r="L1308" s="2">
        <v>4785928</v>
      </c>
      <c r="M1308">
        <f t="shared" si="60"/>
        <v>65006015.682719998</v>
      </c>
      <c r="N1308">
        <f t="shared" si="61"/>
        <v>5752744.7506831856</v>
      </c>
      <c r="O1308" t="str">
        <f t="shared" si="62"/>
        <v>BEHOLD</v>
      </c>
      <c r="P1308" s="1" t="s">
        <v>6289</v>
      </c>
    </row>
    <row r="1309" spans="1:16" ht="15" customHeight="1" x14ac:dyDescent="0.2">
      <c r="A1309" s="1" t="s">
        <v>3802</v>
      </c>
      <c r="B1309" s="1" t="s">
        <v>3803</v>
      </c>
      <c r="C1309" s="1" t="s">
        <v>9</v>
      </c>
      <c r="D1309" s="1" t="s">
        <v>3</v>
      </c>
      <c r="E1309" s="5">
        <v>44355</v>
      </c>
      <c r="F1309" s="5">
        <v>46155</v>
      </c>
      <c r="G1309" s="2">
        <v>37.104520000000001</v>
      </c>
      <c r="H1309" s="1" t="s">
        <v>10</v>
      </c>
      <c r="I1309" s="2">
        <v>520.11949095</v>
      </c>
      <c r="J1309" s="1" t="s">
        <v>236</v>
      </c>
      <c r="K1309" s="1" t="s">
        <v>3804</v>
      </c>
      <c r="L1309" s="2">
        <v>24694.880000000001</v>
      </c>
      <c r="M1309">
        <f t="shared" si="60"/>
        <v>916291.66885760007</v>
      </c>
      <c r="N1309">
        <f t="shared" si="61"/>
        <v>81087.758305982308</v>
      </c>
      <c r="O1309" t="str">
        <f t="shared" si="62"/>
        <v>FJERN</v>
      </c>
      <c r="P1309" s="1" t="s">
        <v>6290</v>
      </c>
    </row>
    <row r="1310" spans="1:16" ht="15" customHeight="1" x14ac:dyDescent="0.2">
      <c r="A1310" s="1" t="s">
        <v>3805</v>
      </c>
      <c r="B1310" s="1" t="s">
        <v>3806</v>
      </c>
      <c r="C1310" s="1" t="s">
        <v>9</v>
      </c>
      <c r="D1310" s="1" t="s">
        <v>3</v>
      </c>
      <c r="E1310" s="5">
        <v>44365</v>
      </c>
      <c r="F1310" s="5">
        <v>46154</v>
      </c>
      <c r="G1310" s="2">
        <v>11.264250000000001</v>
      </c>
      <c r="H1310" s="1" t="s">
        <v>10</v>
      </c>
      <c r="I1310" s="2">
        <v>208.41129090000001</v>
      </c>
      <c r="J1310" s="1" t="s">
        <v>236</v>
      </c>
      <c r="K1310" s="1" t="s">
        <v>3807</v>
      </c>
      <c r="L1310" s="2">
        <v>14290.14</v>
      </c>
      <c r="M1310">
        <f t="shared" si="60"/>
        <v>160967.70949499999</v>
      </c>
      <c r="N1310">
        <f t="shared" si="61"/>
        <v>14244.930043805307</v>
      </c>
      <c r="O1310" t="str">
        <f t="shared" si="62"/>
        <v>FJERN</v>
      </c>
      <c r="P1310" s="1" t="s">
        <v>6291</v>
      </c>
    </row>
    <row r="1311" spans="1:16" ht="15" customHeight="1" x14ac:dyDescent="0.2">
      <c r="A1311" s="1" t="s">
        <v>3808</v>
      </c>
      <c r="B1311" s="1" t="s">
        <v>3809</v>
      </c>
      <c r="C1311" s="1" t="s">
        <v>2</v>
      </c>
      <c r="D1311" s="1" t="s">
        <v>3</v>
      </c>
      <c r="E1311" s="5">
        <v>44369</v>
      </c>
      <c r="F1311" s="5">
        <v>45827</v>
      </c>
      <c r="G1311" s="2">
        <v>9.9681110000000004</v>
      </c>
      <c r="H1311" s="1" t="s">
        <v>4</v>
      </c>
      <c r="I1311" s="2">
        <v>1133.91276808</v>
      </c>
      <c r="J1311" s="1" t="s">
        <v>23</v>
      </c>
      <c r="K1311" s="1" t="s">
        <v>3810</v>
      </c>
      <c r="L1311" s="2">
        <v>512160.5</v>
      </c>
      <c r="M1311">
        <f t="shared" si="60"/>
        <v>5105272.7138155</v>
      </c>
      <c r="N1311">
        <f t="shared" si="61"/>
        <v>685271.5052101342</v>
      </c>
      <c r="O1311" t="str">
        <f t="shared" si="62"/>
        <v>BEHOLD</v>
      </c>
      <c r="P1311" s="1" t="s">
        <v>6292</v>
      </c>
    </row>
    <row r="1312" spans="1:16" ht="15" customHeight="1" x14ac:dyDescent="0.2">
      <c r="A1312" s="1" t="s">
        <v>3811</v>
      </c>
      <c r="B1312" s="1" t="s">
        <v>3812</v>
      </c>
      <c r="C1312" s="1" t="s">
        <v>9</v>
      </c>
      <c r="D1312" s="1" t="s">
        <v>3</v>
      </c>
      <c r="E1312" s="5">
        <v>44246</v>
      </c>
      <c r="F1312" s="5">
        <v>46155</v>
      </c>
      <c r="G1312" s="2">
        <v>30.398720000000001</v>
      </c>
      <c r="H1312" s="1" t="s">
        <v>10</v>
      </c>
      <c r="I1312" s="2">
        <v>1018.78221921</v>
      </c>
      <c r="J1312" s="1" t="s">
        <v>289</v>
      </c>
      <c r="K1312" s="1" t="s">
        <v>3813</v>
      </c>
      <c r="L1312" s="2">
        <v>1277845</v>
      </c>
      <c r="M1312">
        <f t="shared" si="60"/>
        <v>38844852.358400002</v>
      </c>
      <c r="N1312">
        <f t="shared" si="61"/>
        <v>3437597.553840708</v>
      </c>
      <c r="O1312" t="str">
        <f t="shared" si="62"/>
        <v>BEHOLD</v>
      </c>
      <c r="P1312" s="1" t="s">
        <v>6293</v>
      </c>
    </row>
    <row r="1313" spans="1:16" ht="15" customHeight="1" x14ac:dyDescent="0.2">
      <c r="A1313" s="1" t="s">
        <v>3814</v>
      </c>
      <c r="B1313" s="1" t="s">
        <v>3815</v>
      </c>
      <c r="C1313" s="1" t="s">
        <v>9</v>
      </c>
      <c r="D1313" s="1" t="s">
        <v>255</v>
      </c>
      <c r="E1313" s="5">
        <v>44095</v>
      </c>
      <c r="F1313" s="5">
        <v>46155</v>
      </c>
      <c r="G1313" s="2">
        <v>54.080530000000003</v>
      </c>
      <c r="H1313" s="1" t="s">
        <v>10</v>
      </c>
      <c r="I1313" s="2">
        <v>2922.1560467999998</v>
      </c>
      <c r="J1313" s="1" t="s">
        <v>34</v>
      </c>
      <c r="K1313" s="1" t="s">
        <v>3816</v>
      </c>
      <c r="L1313" s="2">
        <v>53583.47</v>
      </c>
      <c r="M1313">
        <f t="shared" si="60"/>
        <v>2897822.4568391005</v>
      </c>
      <c r="N1313">
        <f t="shared" si="61"/>
        <v>256444.46520700003</v>
      </c>
      <c r="O1313" t="str">
        <f t="shared" si="62"/>
        <v>FJERN</v>
      </c>
      <c r="P1313" s="1" t="s">
        <v>6294</v>
      </c>
    </row>
    <row r="1314" spans="1:16" ht="15" customHeight="1" x14ac:dyDescent="0.2">
      <c r="A1314" s="1" t="s">
        <v>3817</v>
      </c>
      <c r="B1314" s="1" t="s">
        <v>3818</v>
      </c>
      <c r="C1314" s="1" t="s">
        <v>9</v>
      </c>
      <c r="D1314" s="1" t="s">
        <v>3</v>
      </c>
      <c r="E1314" s="5">
        <v>44371</v>
      </c>
      <c r="F1314" s="5">
        <v>45257</v>
      </c>
      <c r="G1314" s="2">
        <v>2.1760660000000001</v>
      </c>
      <c r="H1314" s="1" t="s">
        <v>10</v>
      </c>
      <c r="I1314" s="2"/>
      <c r="J1314" s="1" t="s">
        <v>366</v>
      </c>
      <c r="K1314" s="1" t="s">
        <v>3819</v>
      </c>
      <c r="L1314" s="2">
        <v>63104.79</v>
      </c>
      <c r="M1314">
        <f t="shared" si="60"/>
        <v>137320.18795614</v>
      </c>
      <c r="N1314">
        <f t="shared" si="61"/>
        <v>12152.229022667256</v>
      </c>
      <c r="O1314" t="str">
        <f t="shared" si="62"/>
        <v>FJERN</v>
      </c>
      <c r="P1314" s="1" t="s">
        <v>6295</v>
      </c>
    </row>
    <row r="1315" spans="1:16" ht="15" customHeight="1" x14ac:dyDescent="0.2">
      <c r="A1315" s="1" t="s">
        <v>3820</v>
      </c>
      <c r="B1315" s="1" t="s">
        <v>3821</v>
      </c>
      <c r="C1315" s="1" t="s">
        <v>9</v>
      </c>
      <c r="D1315" s="1" t="s">
        <v>3</v>
      </c>
      <c r="E1315" s="5">
        <v>44371</v>
      </c>
      <c r="F1315" s="5">
        <v>46155</v>
      </c>
      <c r="G1315" s="2">
        <v>76.744820000000004</v>
      </c>
      <c r="H1315" s="1" t="s">
        <v>10</v>
      </c>
      <c r="I1315" s="2">
        <v>588.80931999999996</v>
      </c>
      <c r="J1315" s="1" t="s">
        <v>289</v>
      </c>
      <c r="K1315" s="1" t="s">
        <v>3822</v>
      </c>
      <c r="L1315" s="2">
        <v>7297.2560000000003</v>
      </c>
      <c r="M1315">
        <f t="shared" si="60"/>
        <v>560026.59821392002</v>
      </c>
      <c r="N1315">
        <f t="shared" si="61"/>
        <v>49559.875948134511</v>
      </c>
      <c r="O1315" t="str">
        <f t="shared" si="62"/>
        <v>FJERN</v>
      </c>
      <c r="P1315" s="1" t="s">
        <v>6296</v>
      </c>
    </row>
    <row r="1316" spans="1:16" ht="15" customHeight="1" x14ac:dyDescent="0.2">
      <c r="A1316" s="1" t="s">
        <v>3823</v>
      </c>
      <c r="B1316" s="1" t="s">
        <v>3824</v>
      </c>
      <c r="C1316" s="1" t="s">
        <v>2</v>
      </c>
      <c r="D1316" s="1" t="s">
        <v>3</v>
      </c>
      <c r="E1316" s="5">
        <v>44337</v>
      </c>
      <c r="F1316" s="5">
        <v>45329</v>
      </c>
      <c r="G1316" s="2">
        <v>3.9684520000000001</v>
      </c>
      <c r="H1316" s="1" t="s">
        <v>4</v>
      </c>
      <c r="I1316" s="2"/>
      <c r="J1316" s="1" t="s">
        <v>76</v>
      </c>
      <c r="K1316" s="1" t="s">
        <v>3825</v>
      </c>
      <c r="L1316" s="2">
        <v>9726.1689999999999</v>
      </c>
      <c r="M1316">
        <f t="shared" si="60"/>
        <v>38597.834820388001</v>
      </c>
      <c r="N1316">
        <f t="shared" si="61"/>
        <v>5180.9174255554362</v>
      </c>
      <c r="O1316" t="str">
        <f t="shared" si="62"/>
        <v>FJERN</v>
      </c>
      <c r="P1316" s="1"/>
    </row>
    <row r="1317" spans="1:16" ht="15" customHeight="1" x14ac:dyDescent="0.2">
      <c r="A1317" s="1" t="s">
        <v>3826</v>
      </c>
      <c r="B1317" s="1" t="s">
        <v>3827</v>
      </c>
      <c r="C1317" s="1" t="s">
        <v>9</v>
      </c>
      <c r="D1317" s="1" t="s">
        <v>3</v>
      </c>
      <c r="E1317" s="5">
        <v>44371</v>
      </c>
      <c r="F1317" s="5">
        <v>46155</v>
      </c>
      <c r="G1317" s="2">
        <v>24.048639999999999</v>
      </c>
      <c r="H1317" s="1" t="s">
        <v>10</v>
      </c>
      <c r="I1317" s="2">
        <v>61.017314399999997</v>
      </c>
      <c r="J1317" s="1" t="s">
        <v>122</v>
      </c>
      <c r="K1317" s="1" t="s">
        <v>3828</v>
      </c>
      <c r="L1317" s="2">
        <v>3689.9560000000001</v>
      </c>
      <c r="M1317">
        <f t="shared" si="60"/>
        <v>88738.423459839993</v>
      </c>
      <c r="N1317">
        <f t="shared" si="61"/>
        <v>7852.9578283044239</v>
      </c>
      <c r="O1317" t="str">
        <f t="shared" si="62"/>
        <v>FJERN</v>
      </c>
      <c r="P1317" s="1" t="s">
        <v>6297</v>
      </c>
    </row>
    <row r="1318" spans="1:16" ht="15" customHeight="1" x14ac:dyDescent="0.2">
      <c r="A1318" s="1" t="s">
        <v>3829</v>
      </c>
      <c r="B1318" s="1" t="s">
        <v>3830</v>
      </c>
      <c r="C1318" s="1" t="s">
        <v>9</v>
      </c>
      <c r="D1318" s="1" t="s">
        <v>3</v>
      </c>
      <c r="E1318" s="5">
        <v>42165</v>
      </c>
      <c r="F1318" s="5">
        <v>46155</v>
      </c>
      <c r="G1318" s="2">
        <v>30.348220000000001</v>
      </c>
      <c r="H1318" s="1" t="s">
        <v>10</v>
      </c>
      <c r="I1318" s="2">
        <v>1145.2867454</v>
      </c>
      <c r="J1318" s="1" t="s">
        <v>115</v>
      </c>
      <c r="K1318" s="1" t="s">
        <v>3831</v>
      </c>
      <c r="L1318" s="2">
        <v>9430.4369999999999</v>
      </c>
      <c r="M1318">
        <f t="shared" si="60"/>
        <v>286196.97677214001</v>
      </c>
      <c r="N1318">
        <f t="shared" si="61"/>
        <v>25327.166086030087</v>
      </c>
      <c r="O1318" t="str">
        <f t="shared" si="62"/>
        <v>FJERN</v>
      </c>
      <c r="P1318" s="1" t="s">
        <v>6298</v>
      </c>
    </row>
    <row r="1319" spans="1:16" ht="15" customHeight="1" x14ac:dyDescent="0.2">
      <c r="A1319" s="1" t="s">
        <v>3832</v>
      </c>
      <c r="B1319" s="1" t="s">
        <v>3833</v>
      </c>
      <c r="C1319" s="1" t="s">
        <v>9</v>
      </c>
      <c r="D1319" s="1" t="s">
        <v>3</v>
      </c>
      <c r="E1319" s="5">
        <v>40717</v>
      </c>
      <c r="F1319" s="5">
        <v>46155</v>
      </c>
      <c r="G1319" s="2">
        <v>23.655339999999999</v>
      </c>
      <c r="H1319" s="1" t="s">
        <v>10</v>
      </c>
      <c r="I1319" s="2">
        <v>4725.0645811200002</v>
      </c>
      <c r="J1319" s="1" t="s">
        <v>115</v>
      </c>
      <c r="K1319" s="1" t="s">
        <v>3834</v>
      </c>
      <c r="L1319" s="2">
        <v>670490.5</v>
      </c>
      <c r="M1319">
        <f t="shared" si="60"/>
        <v>15860680.744269999</v>
      </c>
      <c r="N1319">
        <f t="shared" si="61"/>
        <v>1403600.0658646016</v>
      </c>
      <c r="O1319" t="str">
        <f t="shared" si="62"/>
        <v>BEHOLD</v>
      </c>
      <c r="P1319" s="1" t="s">
        <v>6299</v>
      </c>
    </row>
    <row r="1320" spans="1:16" ht="15" customHeight="1" x14ac:dyDescent="0.2">
      <c r="A1320" s="1" t="s">
        <v>3835</v>
      </c>
      <c r="B1320" s="1" t="s">
        <v>3836</v>
      </c>
      <c r="C1320" s="1" t="s">
        <v>9</v>
      </c>
      <c r="D1320" s="1" t="s">
        <v>3</v>
      </c>
      <c r="E1320" s="5">
        <v>33591</v>
      </c>
      <c r="F1320" s="5">
        <v>46155</v>
      </c>
      <c r="G1320" s="2">
        <v>45.64772</v>
      </c>
      <c r="H1320" s="1" t="s">
        <v>10</v>
      </c>
      <c r="I1320" s="2">
        <v>4566.9168159999999</v>
      </c>
      <c r="J1320" s="1" t="s">
        <v>23</v>
      </c>
      <c r="K1320" s="1" t="s">
        <v>3837</v>
      </c>
      <c r="L1320" s="2">
        <v>15015.95</v>
      </c>
      <c r="M1320">
        <f t="shared" si="60"/>
        <v>685443.88113400002</v>
      </c>
      <c r="N1320">
        <f t="shared" si="61"/>
        <v>60658.750542831855</v>
      </c>
      <c r="O1320" t="str">
        <f t="shared" si="62"/>
        <v>FJERN</v>
      </c>
      <c r="P1320" s="1" t="s">
        <v>6300</v>
      </c>
    </row>
    <row r="1321" spans="1:16" ht="15" customHeight="1" x14ac:dyDescent="0.2">
      <c r="A1321" s="1" t="s">
        <v>3838</v>
      </c>
      <c r="B1321" s="1" t="s">
        <v>3839</v>
      </c>
      <c r="C1321" s="1" t="s">
        <v>9</v>
      </c>
      <c r="D1321" s="1" t="s">
        <v>3</v>
      </c>
      <c r="E1321" s="5">
        <v>41255</v>
      </c>
      <c r="F1321" s="5">
        <v>46155</v>
      </c>
      <c r="G1321" s="2">
        <v>14.113390000000001</v>
      </c>
      <c r="H1321" s="1" t="s">
        <v>10</v>
      </c>
      <c r="I1321" s="2">
        <v>1981.7871010839301</v>
      </c>
      <c r="J1321" s="1" t="s">
        <v>64</v>
      </c>
      <c r="K1321" s="1" t="s">
        <v>3840</v>
      </c>
      <c r="L1321" s="2">
        <v>19342.98</v>
      </c>
      <c r="M1321">
        <f t="shared" si="60"/>
        <v>272995.0205022</v>
      </c>
      <c r="N1321">
        <f t="shared" si="61"/>
        <v>24158.851371876106</v>
      </c>
      <c r="O1321" t="str">
        <f t="shared" si="62"/>
        <v>FJERN</v>
      </c>
      <c r="P1321" s="1" t="s">
        <v>6301</v>
      </c>
    </row>
    <row r="1322" spans="1:16" ht="15" customHeight="1" x14ac:dyDescent="0.2">
      <c r="A1322" s="1" t="s">
        <v>3841</v>
      </c>
      <c r="B1322" s="1" t="s">
        <v>3842</v>
      </c>
      <c r="C1322" s="1" t="s">
        <v>9</v>
      </c>
      <c r="D1322" s="1" t="s">
        <v>3</v>
      </c>
      <c r="E1322" s="5">
        <v>44378</v>
      </c>
      <c r="F1322" s="5">
        <v>46155</v>
      </c>
      <c r="G1322" s="2">
        <v>65.942599999999999</v>
      </c>
      <c r="H1322" s="1" t="s">
        <v>10</v>
      </c>
      <c r="I1322" s="2">
        <v>422</v>
      </c>
      <c r="J1322" s="1" t="s">
        <v>38</v>
      </c>
      <c r="K1322" s="1" t="s">
        <v>3843</v>
      </c>
      <c r="L1322" s="2">
        <v>20482.73</v>
      </c>
      <c r="M1322">
        <f t="shared" si="60"/>
        <v>1350684.4712979998</v>
      </c>
      <c r="N1322">
        <f t="shared" si="61"/>
        <v>119529.59922991149</v>
      </c>
      <c r="O1322" t="str">
        <f t="shared" si="62"/>
        <v>BEHOLD</v>
      </c>
      <c r="P1322" s="1" t="s">
        <v>6302</v>
      </c>
    </row>
    <row r="1323" spans="1:16" ht="15" customHeight="1" x14ac:dyDescent="0.2">
      <c r="A1323" s="1" t="s">
        <v>3844</v>
      </c>
      <c r="B1323" s="1" t="s">
        <v>3845</v>
      </c>
      <c r="C1323" s="1" t="s">
        <v>2</v>
      </c>
      <c r="D1323" s="1" t="s">
        <v>3</v>
      </c>
      <c r="E1323" s="5">
        <v>44008</v>
      </c>
      <c r="F1323" s="5">
        <v>46155</v>
      </c>
      <c r="G1323" s="2">
        <v>26.767869999999998</v>
      </c>
      <c r="H1323" s="1" t="s">
        <v>4</v>
      </c>
      <c r="I1323" s="2">
        <v>55.177594290000002</v>
      </c>
      <c r="J1323" s="1" t="s">
        <v>23</v>
      </c>
      <c r="K1323" s="1" t="s">
        <v>3846</v>
      </c>
      <c r="L1323" s="2">
        <v>13783.97</v>
      </c>
      <c r="M1323">
        <f t="shared" si="60"/>
        <v>368967.51704389998</v>
      </c>
      <c r="N1323">
        <f t="shared" si="61"/>
        <v>49525.841213946303</v>
      </c>
      <c r="O1323" t="str">
        <f t="shared" si="62"/>
        <v>FJERN</v>
      </c>
      <c r="P1323" s="1"/>
    </row>
    <row r="1324" spans="1:16" ht="15" customHeight="1" x14ac:dyDescent="0.2">
      <c r="A1324" s="1" t="s">
        <v>3847</v>
      </c>
      <c r="B1324" s="1" t="s">
        <v>3848</v>
      </c>
      <c r="C1324" s="1" t="s">
        <v>2</v>
      </c>
      <c r="D1324" s="1" t="s">
        <v>3</v>
      </c>
      <c r="E1324" s="5">
        <v>44007</v>
      </c>
      <c r="F1324" s="5">
        <v>46028</v>
      </c>
      <c r="G1324" s="2">
        <v>18.747070000000001</v>
      </c>
      <c r="H1324" s="1" t="s">
        <v>4</v>
      </c>
      <c r="I1324" s="2">
        <v>233.52284499999999</v>
      </c>
      <c r="J1324" s="1" t="s">
        <v>122</v>
      </c>
      <c r="K1324" s="1" t="s">
        <v>3849</v>
      </c>
      <c r="L1324" s="2">
        <v>51549.25</v>
      </c>
      <c r="M1324">
        <f t="shared" si="60"/>
        <v>966397.39819750004</v>
      </c>
      <c r="N1324">
        <f t="shared" si="61"/>
        <v>129717.77157013422</v>
      </c>
      <c r="O1324" t="str">
        <f t="shared" si="62"/>
        <v>BEHOLD</v>
      </c>
      <c r="P1324" s="1"/>
    </row>
    <row r="1325" spans="1:16" ht="15" customHeight="1" x14ac:dyDescent="0.2">
      <c r="A1325" s="1" t="s">
        <v>3850</v>
      </c>
      <c r="B1325" s="1" t="s">
        <v>3851</v>
      </c>
      <c r="C1325" s="1" t="s">
        <v>9</v>
      </c>
      <c r="D1325" s="1" t="s">
        <v>3</v>
      </c>
      <c r="E1325" s="5">
        <v>36167</v>
      </c>
      <c r="F1325" s="5">
        <v>45964</v>
      </c>
      <c r="G1325" s="2">
        <v>112.9025</v>
      </c>
      <c r="H1325" s="1" t="s">
        <v>10</v>
      </c>
      <c r="I1325" s="2">
        <v>1640.113233</v>
      </c>
      <c r="J1325" s="1" t="s">
        <v>236</v>
      </c>
      <c r="K1325" s="1" t="s">
        <v>3852</v>
      </c>
      <c r="L1325" s="2">
        <v>17331.740000000002</v>
      </c>
      <c r="M1325">
        <f t="shared" si="60"/>
        <v>1956796.7753500002</v>
      </c>
      <c r="N1325">
        <f t="shared" si="61"/>
        <v>173167.85622566374</v>
      </c>
      <c r="O1325" t="str">
        <f t="shared" si="62"/>
        <v>BEHOLD</v>
      </c>
      <c r="P1325" s="1" t="s">
        <v>6303</v>
      </c>
    </row>
    <row r="1326" spans="1:16" ht="15" customHeight="1" x14ac:dyDescent="0.2">
      <c r="A1326" s="1" t="s">
        <v>3853</v>
      </c>
      <c r="B1326" s="1" t="s">
        <v>3854</v>
      </c>
      <c r="C1326" s="1" t="s">
        <v>9</v>
      </c>
      <c r="D1326" s="1" t="s">
        <v>3</v>
      </c>
      <c r="E1326" s="5">
        <v>44356</v>
      </c>
      <c r="F1326" s="5">
        <v>46155</v>
      </c>
      <c r="G1326" s="2">
        <v>5.0921649999999996</v>
      </c>
      <c r="H1326" s="1" t="s">
        <v>10</v>
      </c>
      <c r="I1326" s="2">
        <v>109.98915072</v>
      </c>
      <c r="J1326" s="1" t="s">
        <v>328</v>
      </c>
      <c r="K1326" s="1" t="s">
        <v>3855</v>
      </c>
      <c r="L1326" s="2">
        <v>51938.69</v>
      </c>
      <c r="M1326">
        <f t="shared" si="60"/>
        <v>264480.37936384999</v>
      </c>
      <c r="N1326">
        <f t="shared" si="61"/>
        <v>23405.343306535397</v>
      </c>
      <c r="O1326" t="str">
        <f t="shared" si="62"/>
        <v>FJERN</v>
      </c>
      <c r="P1326" s="1" t="s">
        <v>6304</v>
      </c>
    </row>
    <row r="1327" spans="1:16" ht="15" customHeight="1" x14ac:dyDescent="0.2">
      <c r="A1327" s="1" t="s">
        <v>3856</v>
      </c>
      <c r="B1327" s="1" t="s">
        <v>3857</v>
      </c>
      <c r="C1327" s="1" t="s">
        <v>9</v>
      </c>
      <c r="D1327" s="1" t="s">
        <v>3</v>
      </c>
      <c r="E1327" s="5">
        <v>44336</v>
      </c>
      <c r="F1327" s="5">
        <v>46155</v>
      </c>
      <c r="G1327" s="2">
        <v>29.555160000000001</v>
      </c>
      <c r="H1327" s="1" t="s">
        <v>10</v>
      </c>
      <c r="I1327" s="2">
        <v>155.40941000000001</v>
      </c>
      <c r="J1327" s="1" t="s">
        <v>236</v>
      </c>
      <c r="K1327" s="1" t="s">
        <v>3858</v>
      </c>
      <c r="L1327" s="2">
        <v>27285.65</v>
      </c>
      <c r="M1327">
        <f t="shared" si="60"/>
        <v>806431.75145400001</v>
      </c>
      <c r="N1327">
        <f t="shared" si="61"/>
        <v>71365.64172159291</v>
      </c>
      <c r="O1327" t="str">
        <f t="shared" si="62"/>
        <v>FJERN</v>
      </c>
      <c r="P1327" s="1" t="s">
        <v>6305</v>
      </c>
    </row>
    <row r="1328" spans="1:16" ht="15" customHeight="1" x14ac:dyDescent="0.2">
      <c r="A1328" s="1" t="s">
        <v>3859</v>
      </c>
      <c r="B1328" s="1" t="s">
        <v>3860</v>
      </c>
      <c r="C1328" s="1" t="s">
        <v>9</v>
      </c>
      <c r="D1328" s="1" t="s">
        <v>3</v>
      </c>
      <c r="E1328" s="5">
        <v>42201</v>
      </c>
      <c r="F1328" s="5">
        <v>46155</v>
      </c>
      <c r="G1328" s="2">
        <v>2.3688940000000001</v>
      </c>
      <c r="H1328" s="1" t="s">
        <v>10</v>
      </c>
      <c r="I1328" s="2">
        <v>2263.1370700075099</v>
      </c>
      <c r="J1328" s="1" t="s">
        <v>76</v>
      </c>
      <c r="K1328" s="1" t="s">
        <v>3861</v>
      </c>
      <c r="L1328" s="2">
        <v>847733.5</v>
      </c>
      <c r="M1328">
        <f t="shared" si="60"/>
        <v>2008190.8017490001</v>
      </c>
      <c r="N1328">
        <f t="shared" si="61"/>
        <v>177716.00015477877</v>
      </c>
      <c r="O1328" t="str">
        <f t="shared" si="62"/>
        <v>BEHOLD</v>
      </c>
      <c r="P1328" s="1" t="s">
        <v>6306</v>
      </c>
    </row>
    <row r="1329" spans="1:16" ht="15" customHeight="1" x14ac:dyDescent="0.2">
      <c r="A1329" s="1" t="s">
        <v>3862</v>
      </c>
      <c r="B1329" s="1" t="s">
        <v>3863</v>
      </c>
      <c r="C1329" s="1" t="s">
        <v>9</v>
      </c>
      <c r="D1329" s="1" t="s">
        <v>3</v>
      </c>
      <c r="E1329" s="5">
        <v>44615</v>
      </c>
      <c r="F1329" s="5">
        <v>45576</v>
      </c>
      <c r="G1329" s="2">
        <v>1.113321</v>
      </c>
      <c r="H1329" s="1" t="s">
        <v>10</v>
      </c>
      <c r="I1329" s="2">
        <v>2.7988328519999999</v>
      </c>
      <c r="J1329" s="1" t="s">
        <v>11</v>
      </c>
      <c r="K1329" s="1" t="s">
        <v>3864</v>
      </c>
      <c r="L1329" s="2">
        <v>953224.9</v>
      </c>
      <c r="M1329">
        <f t="shared" si="60"/>
        <v>1061245.2988929001</v>
      </c>
      <c r="N1329">
        <f t="shared" si="61"/>
        <v>93915.513176362831</v>
      </c>
      <c r="O1329" t="str">
        <f t="shared" si="62"/>
        <v>FJERN</v>
      </c>
      <c r="P1329" s="1" t="s">
        <v>6307</v>
      </c>
    </row>
    <row r="1330" spans="1:16" ht="15" customHeight="1" x14ac:dyDescent="0.2">
      <c r="A1330" s="1" t="s">
        <v>3865</v>
      </c>
      <c r="B1330" s="1" t="s">
        <v>3866</v>
      </c>
      <c r="C1330" s="1" t="s">
        <v>9</v>
      </c>
      <c r="D1330" s="1" t="s">
        <v>3</v>
      </c>
      <c r="E1330" s="5">
        <v>42019</v>
      </c>
      <c r="F1330" s="5">
        <v>44007</v>
      </c>
      <c r="G1330" s="2">
        <v>14.05927</v>
      </c>
      <c r="H1330" s="1" t="s">
        <v>10</v>
      </c>
      <c r="I1330" s="2"/>
      <c r="J1330" s="1" t="s">
        <v>61</v>
      </c>
      <c r="K1330" s="1" t="s">
        <v>3867</v>
      </c>
      <c r="L1330" s="2">
        <v>77867.59</v>
      </c>
      <c r="M1330">
        <f t="shared" si="60"/>
        <v>1094761.4720592999</v>
      </c>
      <c r="N1330">
        <f t="shared" si="61"/>
        <v>96881.546199938035</v>
      </c>
      <c r="O1330" t="str">
        <f t="shared" si="62"/>
        <v>FJERN</v>
      </c>
      <c r="P1330" s="1" t="s">
        <v>6308</v>
      </c>
    </row>
    <row r="1331" spans="1:16" ht="15" customHeight="1" x14ac:dyDescent="0.2">
      <c r="A1331" s="1" t="s">
        <v>3868</v>
      </c>
      <c r="B1331" s="1" t="s">
        <v>3869</v>
      </c>
      <c r="C1331" s="1" t="s">
        <v>9</v>
      </c>
      <c r="D1331" s="1" t="s">
        <v>3</v>
      </c>
      <c r="E1331" s="5">
        <v>44159</v>
      </c>
      <c r="F1331" s="5">
        <v>46155</v>
      </c>
      <c r="G1331" s="2">
        <v>12.72677</v>
      </c>
      <c r="H1331" s="1" t="s">
        <v>10</v>
      </c>
      <c r="I1331" s="2">
        <v>4065.9837205200001</v>
      </c>
      <c r="J1331" s="1" t="s">
        <v>61</v>
      </c>
      <c r="K1331" s="1" t="s">
        <v>3870</v>
      </c>
      <c r="L1331" s="2">
        <v>241648.5</v>
      </c>
      <c r="M1331">
        <f t="shared" si="60"/>
        <v>3075404.880345</v>
      </c>
      <c r="N1331">
        <f t="shared" si="61"/>
        <v>272159.72392433626</v>
      </c>
      <c r="O1331" t="str">
        <f t="shared" si="62"/>
        <v>BEHOLD</v>
      </c>
      <c r="P1331" s="1" t="s">
        <v>6309</v>
      </c>
    </row>
    <row r="1332" spans="1:16" ht="15" customHeight="1" x14ac:dyDescent="0.2">
      <c r="A1332" s="1" t="s">
        <v>3871</v>
      </c>
      <c r="B1332" s="1" t="s">
        <v>3872</v>
      </c>
      <c r="C1332" s="1" t="s">
        <v>9</v>
      </c>
      <c r="D1332" s="1" t="s">
        <v>3</v>
      </c>
      <c r="E1332" s="5">
        <v>41022</v>
      </c>
      <c r="F1332" s="5">
        <v>46155</v>
      </c>
      <c r="G1332" s="2">
        <v>10.781169999999999</v>
      </c>
      <c r="H1332" s="1" t="s">
        <v>10</v>
      </c>
      <c r="I1332" s="2">
        <v>51.834336215999997</v>
      </c>
      <c r="J1332" s="1" t="s">
        <v>61</v>
      </c>
      <c r="K1332" s="1" t="s">
        <v>3873</v>
      </c>
      <c r="L1332" s="2">
        <v>117970.5</v>
      </c>
      <c r="M1332">
        <f t="shared" si="60"/>
        <v>1271860.0154849999</v>
      </c>
      <c r="N1332">
        <f t="shared" si="61"/>
        <v>112553.98367123892</v>
      </c>
      <c r="O1332" t="str">
        <f t="shared" si="62"/>
        <v>BEHOLD</v>
      </c>
      <c r="P1332" s="1" t="s">
        <v>6310</v>
      </c>
    </row>
    <row r="1333" spans="1:16" ht="15" customHeight="1" x14ac:dyDescent="0.2">
      <c r="A1333" s="1" t="s">
        <v>3874</v>
      </c>
      <c r="B1333" s="1" t="s">
        <v>3875</v>
      </c>
      <c r="C1333" s="1" t="s">
        <v>9</v>
      </c>
      <c r="D1333" s="1" t="s">
        <v>3</v>
      </c>
      <c r="E1333" s="5">
        <v>44138</v>
      </c>
      <c r="F1333" s="5">
        <v>46155</v>
      </c>
      <c r="G1333" s="2">
        <v>191.9084</v>
      </c>
      <c r="H1333" s="1" t="s">
        <v>10</v>
      </c>
      <c r="I1333" s="2">
        <v>17.756796300000001</v>
      </c>
      <c r="J1333" s="1" t="s">
        <v>64</v>
      </c>
      <c r="K1333" s="1" t="s">
        <v>3876</v>
      </c>
      <c r="L1333" s="2">
        <v>79882.14</v>
      </c>
      <c r="M1333">
        <f t="shared" si="60"/>
        <v>15330053.675976001</v>
      </c>
      <c r="N1333">
        <f t="shared" si="61"/>
        <v>1356641.9182279645</v>
      </c>
      <c r="O1333" t="str">
        <f t="shared" si="62"/>
        <v>BEHOLD</v>
      </c>
      <c r="P1333" s="1" t="s">
        <v>6311</v>
      </c>
    </row>
    <row r="1334" spans="1:16" ht="15" customHeight="1" x14ac:dyDescent="0.2">
      <c r="A1334" s="1" t="s">
        <v>3877</v>
      </c>
      <c r="B1334" s="1" t="s">
        <v>3878</v>
      </c>
      <c r="C1334" s="1" t="s">
        <v>9</v>
      </c>
      <c r="D1334" s="1" t="s">
        <v>3</v>
      </c>
      <c r="E1334" s="5">
        <v>42346</v>
      </c>
      <c r="F1334" s="5">
        <v>46155</v>
      </c>
      <c r="G1334" s="2">
        <v>23.361689999999999</v>
      </c>
      <c r="H1334" s="1" t="s">
        <v>10</v>
      </c>
      <c r="I1334" s="2">
        <v>3219.5173334999999</v>
      </c>
      <c r="J1334" s="1" t="s">
        <v>236</v>
      </c>
      <c r="K1334" s="1" t="s">
        <v>3879</v>
      </c>
      <c r="L1334" s="2">
        <v>1440230</v>
      </c>
      <c r="M1334">
        <f t="shared" si="60"/>
        <v>33646206.788699999</v>
      </c>
      <c r="N1334">
        <f t="shared" si="61"/>
        <v>2977540.4237787607</v>
      </c>
      <c r="O1334" t="str">
        <f t="shared" si="62"/>
        <v>BEHOLD</v>
      </c>
      <c r="P1334" s="1" t="s">
        <v>6312</v>
      </c>
    </row>
    <row r="1335" spans="1:16" ht="15" customHeight="1" x14ac:dyDescent="0.2">
      <c r="A1335" s="1" t="s">
        <v>3880</v>
      </c>
      <c r="B1335" s="1" t="s">
        <v>3881</v>
      </c>
      <c r="C1335" s="1" t="s">
        <v>9</v>
      </c>
      <c r="D1335" s="1" t="s">
        <v>3</v>
      </c>
      <c r="E1335" s="5">
        <v>44489</v>
      </c>
      <c r="F1335" s="5">
        <v>46155</v>
      </c>
      <c r="G1335" s="2">
        <v>13.033759999999999</v>
      </c>
      <c r="H1335" s="1" t="s">
        <v>10</v>
      </c>
      <c r="I1335" s="2">
        <v>7348.1497059599997</v>
      </c>
      <c r="J1335" s="1" t="s">
        <v>76</v>
      </c>
      <c r="K1335" s="1" t="s">
        <v>3882</v>
      </c>
      <c r="L1335" s="2">
        <v>304942.3</v>
      </c>
      <c r="M1335">
        <f t="shared" si="60"/>
        <v>3974544.7520479998</v>
      </c>
      <c r="N1335">
        <f t="shared" si="61"/>
        <v>351729.62407504418</v>
      </c>
      <c r="O1335" t="str">
        <f t="shared" si="62"/>
        <v>BEHOLD</v>
      </c>
      <c r="P1335" s="1"/>
    </row>
    <row r="1336" spans="1:16" ht="15" customHeight="1" x14ac:dyDescent="0.2">
      <c r="A1336" s="1" t="s">
        <v>3883</v>
      </c>
      <c r="B1336" s="1" t="s">
        <v>3884</v>
      </c>
      <c r="C1336" s="1" t="s">
        <v>9</v>
      </c>
      <c r="D1336" s="1" t="s">
        <v>3</v>
      </c>
      <c r="E1336" s="5">
        <v>44139</v>
      </c>
      <c r="F1336" s="5">
        <v>45527</v>
      </c>
      <c r="G1336" s="2">
        <v>61.759819999999998</v>
      </c>
      <c r="H1336" s="1" t="s">
        <v>10</v>
      </c>
      <c r="I1336" s="2">
        <v>1846.2896447999999</v>
      </c>
      <c r="J1336" s="1" t="s">
        <v>61</v>
      </c>
      <c r="K1336" s="1" t="s">
        <v>3885</v>
      </c>
      <c r="L1336" s="2">
        <v>6412.2</v>
      </c>
      <c r="M1336">
        <f t="shared" si="60"/>
        <v>396016.31780399999</v>
      </c>
      <c r="N1336">
        <f t="shared" si="61"/>
        <v>35045.691841061947</v>
      </c>
      <c r="O1336" t="str">
        <f t="shared" si="62"/>
        <v>FJERN</v>
      </c>
      <c r="P1336" s="1" t="s">
        <v>6313</v>
      </c>
    </row>
    <row r="1337" spans="1:16" ht="15" customHeight="1" x14ac:dyDescent="0.2">
      <c r="A1337" s="1" t="s">
        <v>3886</v>
      </c>
      <c r="B1337" s="1" t="s">
        <v>3887</v>
      </c>
      <c r="C1337" s="1" t="s">
        <v>9</v>
      </c>
      <c r="D1337" s="1" t="s">
        <v>3</v>
      </c>
      <c r="E1337" s="5">
        <v>42531</v>
      </c>
      <c r="F1337" s="5">
        <v>45740</v>
      </c>
      <c r="G1337" s="2">
        <v>128.18709999999999</v>
      </c>
      <c r="H1337" s="1" t="s">
        <v>10</v>
      </c>
      <c r="I1337" s="2">
        <v>4079.4506487135</v>
      </c>
      <c r="J1337" s="1" t="s">
        <v>86</v>
      </c>
      <c r="K1337" s="1" t="s">
        <v>3888</v>
      </c>
      <c r="L1337" s="2">
        <v>53091.93</v>
      </c>
      <c r="M1337">
        <f t="shared" si="60"/>
        <v>6805700.5401029997</v>
      </c>
      <c r="N1337">
        <f t="shared" si="61"/>
        <v>602274.3840799114</v>
      </c>
      <c r="O1337" t="str">
        <f t="shared" si="62"/>
        <v>BEHOLD</v>
      </c>
      <c r="P1337" s="1" t="s">
        <v>6314</v>
      </c>
    </row>
    <row r="1338" spans="1:16" ht="15" customHeight="1" x14ac:dyDescent="0.2">
      <c r="A1338" s="1" t="s">
        <v>3889</v>
      </c>
      <c r="B1338" s="1" t="s">
        <v>3890</v>
      </c>
      <c r="C1338" s="1" t="s">
        <v>9</v>
      </c>
      <c r="D1338" s="1" t="s">
        <v>3</v>
      </c>
      <c r="E1338" s="5">
        <v>44477</v>
      </c>
      <c r="F1338" s="5">
        <v>46155</v>
      </c>
      <c r="G1338" s="2">
        <v>45.552320000000002</v>
      </c>
      <c r="H1338" s="1" t="s">
        <v>10</v>
      </c>
      <c r="I1338" s="2">
        <v>6522.2526150000003</v>
      </c>
      <c r="J1338" s="1" t="s">
        <v>236</v>
      </c>
      <c r="K1338" s="1" t="s">
        <v>3891</v>
      </c>
      <c r="L1338" s="2">
        <v>1395540</v>
      </c>
      <c r="M1338">
        <f t="shared" si="60"/>
        <v>63570084.652800001</v>
      </c>
      <c r="N1338">
        <f t="shared" si="61"/>
        <v>5625671.2082123887</v>
      </c>
      <c r="O1338" t="str">
        <f t="shared" si="62"/>
        <v>BEHOLD</v>
      </c>
      <c r="P1338" s="1" t="s">
        <v>6315</v>
      </c>
    </row>
    <row r="1339" spans="1:16" ht="15" customHeight="1" x14ac:dyDescent="0.2">
      <c r="A1339" s="1" t="s">
        <v>3892</v>
      </c>
      <c r="B1339" s="1" t="s">
        <v>3893</v>
      </c>
      <c r="C1339" s="1" t="s">
        <v>9</v>
      </c>
      <c r="D1339" s="1" t="s">
        <v>3</v>
      </c>
      <c r="E1339" s="5">
        <v>44481</v>
      </c>
      <c r="F1339" s="5">
        <v>46155</v>
      </c>
      <c r="G1339" s="2">
        <v>22.646660000000001</v>
      </c>
      <c r="H1339" s="1" t="s">
        <v>10</v>
      </c>
      <c r="I1339" s="2">
        <v>807.05392470000004</v>
      </c>
      <c r="J1339" s="1" t="s">
        <v>11</v>
      </c>
      <c r="K1339" s="1" t="s">
        <v>3894</v>
      </c>
      <c r="L1339" s="2">
        <v>55399.54</v>
      </c>
      <c r="M1339">
        <f t="shared" si="60"/>
        <v>1254614.5465364</v>
      </c>
      <c r="N1339">
        <f t="shared" si="61"/>
        <v>111027.83597667256</v>
      </c>
      <c r="O1339" t="str">
        <f t="shared" si="62"/>
        <v>BEHOLD</v>
      </c>
      <c r="P1339" s="1" t="s">
        <v>6316</v>
      </c>
    </row>
    <row r="1340" spans="1:16" ht="15" customHeight="1" x14ac:dyDescent="0.2">
      <c r="A1340" s="1" t="s">
        <v>3895</v>
      </c>
      <c r="B1340" s="1" t="s">
        <v>3896</v>
      </c>
      <c r="C1340" s="1" t="s">
        <v>9</v>
      </c>
      <c r="D1340" s="1" t="s">
        <v>3</v>
      </c>
      <c r="E1340" s="5">
        <v>44463</v>
      </c>
      <c r="F1340" s="5">
        <v>46155</v>
      </c>
      <c r="G1340" s="2">
        <v>39.930210000000002</v>
      </c>
      <c r="H1340" s="1" t="s">
        <v>10</v>
      </c>
      <c r="I1340" s="2">
        <v>885.89964150000003</v>
      </c>
      <c r="J1340" s="1" t="s">
        <v>23</v>
      </c>
      <c r="K1340" s="1" t="s">
        <v>3897</v>
      </c>
      <c r="L1340" s="2">
        <v>139668.29999999999</v>
      </c>
      <c r="M1340">
        <f t="shared" si="60"/>
        <v>5576984.5493430002</v>
      </c>
      <c r="N1340">
        <f t="shared" si="61"/>
        <v>493538.45569407078</v>
      </c>
      <c r="O1340" t="str">
        <f t="shared" si="62"/>
        <v>BEHOLD</v>
      </c>
      <c r="P1340" s="1" t="s">
        <v>6317</v>
      </c>
    </row>
    <row r="1341" spans="1:16" ht="15" customHeight="1" x14ac:dyDescent="0.2">
      <c r="A1341" s="1" t="s">
        <v>3898</v>
      </c>
      <c r="B1341" s="1" t="s">
        <v>3899</v>
      </c>
      <c r="C1341" s="1" t="s">
        <v>2</v>
      </c>
      <c r="D1341" s="1" t="s">
        <v>3</v>
      </c>
      <c r="E1341" s="5">
        <v>44476</v>
      </c>
      <c r="F1341" s="5">
        <v>46100</v>
      </c>
      <c r="G1341" s="2">
        <v>0.32286920000000002</v>
      </c>
      <c r="H1341" s="1" t="s">
        <v>4</v>
      </c>
      <c r="I1341" s="2">
        <v>19.936297493001501</v>
      </c>
      <c r="J1341" s="1" t="s">
        <v>64</v>
      </c>
      <c r="K1341" s="1" t="s">
        <v>3900</v>
      </c>
      <c r="L1341" s="2">
        <v>1947050</v>
      </c>
      <c r="M1341">
        <f t="shared" si="60"/>
        <v>628642.47586000001</v>
      </c>
      <c r="N1341">
        <f t="shared" si="61"/>
        <v>84381.540383892614</v>
      </c>
      <c r="O1341" t="str">
        <f t="shared" si="62"/>
        <v>FJERN</v>
      </c>
      <c r="P1341" s="1" t="s">
        <v>6318</v>
      </c>
    </row>
    <row r="1342" spans="1:16" ht="15" customHeight="1" x14ac:dyDescent="0.2">
      <c r="A1342" s="1" t="s">
        <v>3901</v>
      </c>
      <c r="B1342" s="1" t="s">
        <v>3902</v>
      </c>
      <c r="C1342" s="1" t="s">
        <v>9</v>
      </c>
      <c r="D1342" s="1" t="s">
        <v>3</v>
      </c>
      <c r="E1342" s="5">
        <v>44363</v>
      </c>
      <c r="F1342" s="5">
        <v>46155</v>
      </c>
      <c r="G1342" s="2">
        <v>53.711739999999999</v>
      </c>
      <c r="H1342" s="1" t="s">
        <v>10</v>
      </c>
      <c r="I1342" s="2">
        <v>4654.86704964</v>
      </c>
      <c r="J1342" s="1" t="s">
        <v>184</v>
      </c>
      <c r="K1342" s="1" t="s">
        <v>3903</v>
      </c>
      <c r="L1342" s="2">
        <v>299034.90000000002</v>
      </c>
      <c r="M1342">
        <f t="shared" si="60"/>
        <v>16061684.799726</v>
      </c>
      <c r="N1342">
        <f t="shared" si="61"/>
        <v>1421388.0353739823</v>
      </c>
      <c r="O1342" t="str">
        <f t="shared" si="62"/>
        <v>BEHOLD</v>
      </c>
      <c r="P1342" s="1" t="s">
        <v>6319</v>
      </c>
    </row>
    <row r="1343" spans="1:16" ht="15" customHeight="1" x14ac:dyDescent="0.2">
      <c r="A1343" s="1" t="s">
        <v>3904</v>
      </c>
      <c r="B1343" s="1" t="s">
        <v>3905</v>
      </c>
      <c r="C1343" s="1" t="s">
        <v>2</v>
      </c>
      <c r="D1343" s="1" t="s">
        <v>3</v>
      </c>
      <c r="E1343" s="5">
        <v>43992</v>
      </c>
      <c r="F1343" s="5">
        <v>46155</v>
      </c>
      <c r="G1343" s="2">
        <v>2.0969090000000001</v>
      </c>
      <c r="H1343" s="1" t="s">
        <v>4</v>
      </c>
      <c r="I1343" s="2">
        <v>10.016025300000001</v>
      </c>
      <c r="J1343" s="1" t="s">
        <v>64</v>
      </c>
      <c r="K1343" s="1" t="s">
        <v>3906</v>
      </c>
      <c r="L1343" s="2">
        <v>44717.2</v>
      </c>
      <c r="M1343">
        <f t="shared" si="60"/>
        <v>93767.899134799998</v>
      </c>
      <c r="N1343">
        <f t="shared" si="61"/>
        <v>12586.295185879195</v>
      </c>
      <c r="O1343" t="str">
        <f t="shared" si="62"/>
        <v>FJERN</v>
      </c>
      <c r="P1343" s="1"/>
    </row>
    <row r="1344" spans="1:16" ht="15" customHeight="1" x14ac:dyDescent="0.2">
      <c r="A1344" s="1" t="s">
        <v>3907</v>
      </c>
      <c r="B1344" s="1" t="s">
        <v>3908</v>
      </c>
      <c r="C1344" s="1" t="s">
        <v>9</v>
      </c>
      <c r="D1344" s="1" t="s">
        <v>3</v>
      </c>
      <c r="E1344" s="5">
        <v>42475</v>
      </c>
      <c r="F1344" s="5">
        <v>46155</v>
      </c>
      <c r="G1344" s="2">
        <v>6.361351</v>
      </c>
      <c r="H1344" s="1" t="s">
        <v>10</v>
      </c>
      <c r="I1344" s="2">
        <v>472.83771630000001</v>
      </c>
      <c r="J1344" s="1" t="s">
        <v>236</v>
      </c>
      <c r="K1344" s="1" t="s">
        <v>3909</v>
      </c>
      <c r="L1344" s="2">
        <v>20830.47</v>
      </c>
      <c r="M1344">
        <f t="shared" si="60"/>
        <v>132509.93116497001</v>
      </c>
      <c r="N1344">
        <f t="shared" si="61"/>
        <v>11726.542580970796</v>
      </c>
      <c r="O1344" t="str">
        <f t="shared" si="62"/>
        <v>FJERN</v>
      </c>
      <c r="P1344" s="1" t="s">
        <v>6320</v>
      </c>
    </row>
    <row r="1345" spans="1:16" ht="15" customHeight="1" x14ac:dyDescent="0.2">
      <c r="A1345" s="1" t="s">
        <v>3910</v>
      </c>
      <c r="B1345" s="1" t="s">
        <v>3911</v>
      </c>
      <c r="C1345" s="1" t="s">
        <v>9</v>
      </c>
      <c r="D1345" s="1" t="s">
        <v>3</v>
      </c>
      <c r="E1345" s="5">
        <v>39587</v>
      </c>
      <c r="F1345" s="5">
        <v>46155</v>
      </c>
      <c r="G1345" s="2">
        <v>997.83010000000002</v>
      </c>
      <c r="H1345" s="1" t="s">
        <v>10</v>
      </c>
      <c r="I1345" s="2">
        <v>3333.4299811599999</v>
      </c>
      <c r="J1345" s="1" t="s">
        <v>11</v>
      </c>
      <c r="K1345" s="1" t="s">
        <v>3912</v>
      </c>
      <c r="L1345" s="2">
        <v>252640.7</v>
      </c>
      <c r="M1345">
        <f t="shared" si="60"/>
        <v>252092494.94507003</v>
      </c>
      <c r="N1345">
        <f t="shared" si="61"/>
        <v>22309070.349121239</v>
      </c>
      <c r="O1345" t="str">
        <f t="shared" si="62"/>
        <v>BEHOLD</v>
      </c>
      <c r="P1345" s="1" t="s">
        <v>6321</v>
      </c>
    </row>
    <row r="1346" spans="1:16" ht="15" customHeight="1" x14ac:dyDescent="0.2">
      <c r="A1346" s="1" t="s">
        <v>3913</v>
      </c>
      <c r="B1346" s="1" t="s">
        <v>3914</v>
      </c>
      <c r="C1346" s="1" t="s">
        <v>9</v>
      </c>
      <c r="D1346" s="1" t="s">
        <v>3</v>
      </c>
      <c r="E1346" s="5">
        <v>44370</v>
      </c>
      <c r="F1346" s="5">
        <v>45586</v>
      </c>
      <c r="G1346" s="2">
        <v>64.485489999999999</v>
      </c>
      <c r="H1346" s="1" t="s">
        <v>10</v>
      </c>
      <c r="I1346" s="2">
        <v>14947.589592099999</v>
      </c>
      <c r="J1346" s="1" t="s">
        <v>11</v>
      </c>
      <c r="K1346" s="1" t="s">
        <v>3915</v>
      </c>
      <c r="L1346" s="2">
        <v>535633.9</v>
      </c>
      <c r="M1346">
        <f t="shared" si="60"/>
        <v>34540614.502111003</v>
      </c>
      <c r="N1346">
        <f t="shared" si="61"/>
        <v>3056691.5488593807</v>
      </c>
      <c r="O1346" t="str">
        <f t="shared" si="62"/>
        <v>BEHOLD</v>
      </c>
      <c r="P1346" s="1" t="s">
        <v>6322</v>
      </c>
    </row>
    <row r="1347" spans="1:16" ht="15" customHeight="1" x14ac:dyDescent="0.2">
      <c r="A1347" s="1" t="s">
        <v>3916</v>
      </c>
      <c r="B1347" s="1" t="s">
        <v>3917</v>
      </c>
      <c r="C1347" s="1" t="s">
        <v>9</v>
      </c>
      <c r="D1347" s="1" t="s">
        <v>3</v>
      </c>
      <c r="E1347" s="5">
        <v>44375</v>
      </c>
      <c r="F1347" s="5">
        <v>45309</v>
      </c>
      <c r="G1347" s="2">
        <v>3.8269160000000002</v>
      </c>
      <c r="H1347" s="1" t="s">
        <v>10</v>
      </c>
      <c r="I1347" s="2">
        <v>114.989051</v>
      </c>
      <c r="J1347" s="1" t="s">
        <v>256</v>
      </c>
      <c r="K1347" s="1" t="s">
        <v>3918</v>
      </c>
      <c r="L1347" s="2">
        <v>70821.62</v>
      </c>
      <c r="M1347">
        <f t="shared" ref="M1347:M1410" si="63">IF(OR(G1347="",L1347=""),"",G1347*L1347)</f>
        <v>271028.39072392002</v>
      </c>
      <c r="N1347">
        <f t="shared" ref="N1347:N1410" si="64">IF(M1347="","",IF(H1347="DKK",M1347/7.45,IF(H1347="SEK",M1347/11.3,M1347)))</f>
        <v>23984.813338399999</v>
      </c>
      <c r="O1347" t="str">
        <f t="shared" ref="O1347:O1410" si="65">IF(AND(E1347&lt;=DATE(2024,12,31),F1347&gt;=DATE(2010,1,1),D1347="SHARE",N1347&gt;=100000),"BEHOLD","FJERN")</f>
        <v>FJERN</v>
      </c>
      <c r="P1347" s="1" t="s">
        <v>6323</v>
      </c>
    </row>
    <row r="1348" spans="1:16" ht="15" customHeight="1" x14ac:dyDescent="0.2">
      <c r="A1348" s="1" t="s">
        <v>3919</v>
      </c>
      <c r="B1348" s="1" t="s">
        <v>3920</v>
      </c>
      <c r="C1348" s="1" t="s">
        <v>9</v>
      </c>
      <c r="D1348" s="1" t="s">
        <v>3</v>
      </c>
      <c r="E1348" s="5">
        <v>38614</v>
      </c>
      <c r="F1348" s="5">
        <v>46155</v>
      </c>
      <c r="G1348" s="2">
        <v>18.444210000000002</v>
      </c>
      <c r="H1348" s="1" t="s">
        <v>10</v>
      </c>
      <c r="I1348" s="2">
        <v>257.8048</v>
      </c>
      <c r="J1348" s="1" t="s">
        <v>38</v>
      </c>
      <c r="K1348" s="1" t="s">
        <v>3921</v>
      </c>
      <c r="L1348" s="2">
        <v>7511.7719999999999</v>
      </c>
      <c r="M1348">
        <f t="shared" si="63"/>
        <v>138548.70024012</v>
      </c>
      <c r="N1348">
        <f t="shared" si="64"/>
        <v>12260.946923904425</v>
      </c>
      <c r="O1348" t="str">
        <f t="shared" si="65"/>
        <v>FJERN</v>
      </c>
      <c r="P1348" s="1" t="s">
        <v>6324</v>
      </c>
    </row>
    <row r="1349" spans="1:16" ht="15" customHeight="1" x14ac:dyDescent="0.2">
      <c r="A1349" s="1" t="s">
        <v>3922</v>
      </c>
      <c r="B1349" s="1" t="s">
        <v>3923</v>
      </c>
      <c r="C1349" s="1" t="s">
        <v>9</v>
      </c>
      <c r="D1349" s="1" t="s">
        <v>3</v>
      </c>
      <c r="E1349" s="5">
        <v>43269</v>
      </c>
      <c r="F1349" s="5">
        <v>46155</v>
      </c>
      <c r="G1349" s="2">
        <v>169.81800000000001</v>
      </c>
      <c r="H1349" s="1" t="s">
        <v>10</v>
      </c>
      <c r="I1349" s="2">
        <v>253778.22107836499</v>
      </c>
      <c r="J1349" s="1" t="s">
        <v>23</v>
      </c>
      <c r="K1349" s="1" t="s">
        <v>3924</v>
      </c>
      <c r="L1349" s="2">
        <v>1321616</v>
      </c>
      <c r="M1349">
        <f t="shared" si="63"/>
        <v>224434185.88800001</v>
      </c>
      <c r="N1349">
        <f t="shared" si="64"/>
        <v>19861432.379469026</v>
      </c>
      <c r="O1349" t="str">
        <f t="shared" si="65"/>
        <v>BEHOLD</v>
      </c>
      <c r="P1349" s="1" t="s">
        <v>6325</v>
      </c>
    </row>
    <row r="1350" spans="1:16" ht="15" customHeight="1" x14ac:dyDescent="0.2">
      <c r="A1350" s="1" t="s">
        <v>3925</v>
      </c>
      <c r="B1350" s="1" t="s">
        <v>3926</v>
      </c>
      <c r="C1350" s="1" t="s">
        <v>9</v>
      </c>
      <c r="D1350" s="1" t="s">
        <v>3</v>
      </c>
      <c r="E1350" s="5">
        <v>44321</v>
      </c>
      <c r="F1350" s="5">
        <v>46154</v>
      </c>
      <c r="G1350" s="2">
        <v>0.55003120000000005</v>
      </c>
      <c r="H1350" s="1" t="s">
        <v>10</v>
      </c>
      <c r="I1350" s="2">
        <v>29.572604672000001</v>
      </c>
      <c r="J1350" s="1" t="s">
        <v>328</v>
      </c>
      <c r="K1350" s="1" t="s">
        <v>3927</v>
      </c>
      <c r="L1350" s="2">
        <v>809373.2</v>
      </c>
      <c r="M1350">
        <f t="shared" si="63"/>
        <v>445180.51244384004</v>
      </c>
      <c r="N1350">
        <f t="shared" si="64"/>
        <v>39396.505526003544</v>
      </c>
      <c r="O1350" t="str">
        <f t="shared" si="65"/>
        <v>FJERN</v>
      </c>
      <c r="P1350" s="1"/>
    </row>
    <row r="1351" spans="1:16" ht="15" customHeight="1" x14ac:dyDescent="0.2">
      <c r="A1351" s="1" t="s">
        <v>3928</v>
      </c>
      <c r="B1351" s="1" t="s">
        <v>3929</v>
      </c>
      <c r="C1351" s="1" t="s">
        <v>9</v>
      </c>
      <c r="D1351" s="1" t="s">
        <v>3</v>
      </c>
      <c r="E1351" s="5">
        <v>44238</v>
      </c>
      <c r="F1351" s="5">
        <v>46155</v>
      </c>
      <c r="G1351" s="2">
        <v>32.496789999999997</v>
      </c>
      <c r="H1351" s="1" t="s">
        <v>10</v>
      </c>
      <c r="I1351" s="2">
        <v>863.44680000000005</v>
      </c>
      <c r="J1351" s="1" t="s">
        <v>115</v>
      </c>
      <c r="K1351" s="1" t="s">
        <v>3930</v>
      </c>
      <c r="L1351" s="2">
        <v>53746.79</v>
      </c>
      <c r="M1351">
        <f t="shared" si="63"/>
        <v>1746598.1478040998</v>
      </c>
      <c r="N1351">
        <f t="shared" si="64"/>
        <v>154566.20777027431</v>
      </c>
      <c r="O1351" t="str">
        <f t="shared" si="65"/>
        <v>BEHOLD</v>
      </c>
      <c r="P1351" s="1" t="s">
        <v>6326</v>
      </c>
    </row>
    <row r="1352" spans="1:16" ht="15" customHeight="1" x14ac:dyDescent="0.2">
      <c r="A1352" s="1" t="s">
        <v>3931</v>
      </c>
      <c r="B1352" s="1" t="s">
        <v>3932</v>
      </c>
      <c r="C1352" s="1" t="s">
        <v>2</v>
      </c>
      <c r="D1352" s="1" t="s">
        <v>3</v>
      </c>
      <c r="E1352" s="5">
        <v>44141</v>
      </c>
      <c r="F1352" s="5">
        <v>46155</v>
      </c>
      <c r="G1352" s="2">
        <v>2.6888070000000002</v>
      </c>
      <c r="H1352" s="1" t="s">
        <v>4</v>
      </c>
      <c r="I1352" s="2">
        <v>35.984719920000003</v>
      </c>
      <c r="J1352" s="1" t="s">
        <v>5</v>
      </c>
      <c r="K1352" s="1" t="s">
        <v>3933</v>
      </c>
      <c r="L1352" s="2">
        <v>21731.3</v>
      </c>
      <c r="M1352">
        <f t="shared" si="63"/>
        <v>58431.271559100001</v>
      </c>
      <c r="N1352">
        <f t="shared" si="64"/>
        <v>7843.1236992080539</v>
      </c>
      <c r="O1352" t="str">
        <f t="shared" si="65"/>
        <v>FJERN</v>
      </c>
      <c r="P1352" s="1"/>
    </row>
    <row r="1353" spans="1:16" ht="15" customHeight="1" x14ac:dyDescent="0.2">
      <c r="A1353" s="1" t="s">
        <v>3934</v>
      </c>
      <c r="B1353" s="1" t="s">
        <v>3935</v>
      </c>
      <c r="C1353" s="1" t="s">
        <v>9</v>
      </c>
      <c r="D1353" s="1" t="s">
        <v>3</v>
      </c>
      <c r="E1353" s="5">
        <v>44126</v>
      </c>
      <c r="F1353" s="5">
        <v>45923</v>
      </c>
      <c r="G1353" s="2">
        <v>36.374070000000003</v>
      </c>
      <c r="H1353" s="1" t="s">
        <v>10</v>
      </c>
      <c r="I1353" s="2">
        <v>3343.8210362929299</v>
      </c>
      <c r="J1353" s="1" t="s">
        <v>176</v>
      </c>
      <c r="K1353" s="1" t="s">
        <v>3936</v>
      </c>
      <c r="L1353" s="2">
        <v>116400.1</v>
      </c>
      <c r="M1353">
        <f t="shared" si="63"/>
        <v>4233945.3854070008</v>
      </c>
      <c r="N1353">
        <f t="shared" si="64"/>
        <v>374685.43233690271</v>
      </c>
      <c r="O1353" t="str">
        <f t="shared" si="65"/>
        <v>BEHOLD</v>
      </c>
      <c r="P1353" s="1" t="s">
        <v>6327</v>
      </c>
    </row>
    <row r="1354" spans="1:16" ht="15" customHeight="1" x14ac:dyDescent="0.2">
      <c r="A1354" s="1" t="s">
        <v>3937</v>
      </c>
      <c r="B1354" s="1" t="s">
        <v>3938</v>
      </c>
      <c r="C1354" s="1" t="s">
        <v>9</v>
      </c>
      <c r="D1354" s="1" t="s">
        <v>3</v>
      </c>
      <c r="E1354" s="5">
        <v>45446</v>
      </c>
      <c r="F1354" s="5">
        <v>46155</v>
      </c>
      <c r="G1354" s="2">
        <v>1.7259150000000001</v>
      </c>
      <c r="H1354" s="1" t="s">
        <v>10</v>
      </c>
      <c r="I1354" s="2">
        <v>87.088555224999993</v>
      </c>
      <c r="J1354" s="1" t="s">
        <v>236</v>
      </c>
      <c r="K1354" s="1" t="s">
        <v>3939</v>
      </c>
      <c r="L1354" s="2">
        <v>163135</v>
      </c>
      <c r="M1354">
        <f t="shared" si="63"/>
        <v>281557.14352500002</v>
      </c>
      <c r="N1354">
        <f t="shared" si="64"/>
        <v>24916.561373893805</v>
      </c>
      <c r="O1354" t="str">
        <f t="shared" si="65"/>
        <v>FJERN</v>
      </c>
      <c r="P1354" s="1" t="s">
        <v>6328</v>
      </c>
    </row>
    <row r="1355" spans="1:16" ht="15" customHeight="1" x14ac:dyDescent="0.2">
      <c r="A1355" s="1" t="s">
        <v>3940</v>
      </c>
      <c r="B1355" s="1" t="s">
        <v>3941</v>
      </c>
      <c r="C1355" s="1" t="s">
        <v>9</v>
      </c>
      <c r="D1355" s="1" t="s">
        <v>3</v>
      </c>
      <c r="E1355" s="5">
        <v>44316</v>
      </c>
      <c r="F1355" s="5">
        <v>45259</v>
      </c>
      <c r="G1355" s="2">
        <v>3.7772709999999998</v>
      </c>
      <c r="H1355" s="1" t="s">
        <v>10</v>
      </c>
      <c r="I1355" s="2"/>
      <c r="J1355" s="1" t="s">
        <v>23</v>
      </c>
      <c r="K1355" s="1" t="s">
        <v>3942</v>
      </c>
      <c r="L1355" s="2">
        <v>934990.2</v>
      </c>
      <c r="M1355">
        <f t="shared" si="63"/>
        <v>3531711.3677441995</v>
      </c>
      <c r="N1355">
        <f t="shared" si="64"/>
        <v>312540.82900391147</v>
      </c>
      <c r="O1355" t="str">
        <f t="shared" si="65"/>
        <v>BEHOLD</v>
      </c>
      <c r="P1355" s="1" t="s">
        <v>6329</v>
      </c>
    </row>
    <row r="1356" spans="1:16" ht="15" customHeight="1" x14ac:dyDescent="0.2">
      <c r="A1356" s="1" t="s">
        <v>3943</v>
      </c>
      <c r="B1356" s="1" t="s">
        <v>3944</v>
      </c>
      <c r="C1356" s="1" t="s">
        <v>2</v>
      </c>
      <c r="D1356" s="1" t="s">
        <v>3</v>
      </c>
      <c r="E1356" s="5">
        <v>44323</v>
      </c>
      <c r="F1356" s="5">
        <v>45173</v>
      </c>
      <c r="G1356" s="2">
        <v>7.6464600000000003</v>
      </c>
      <c r="H1356" s="1" t="s">
        <v>4</v>
      </c>
      <c r="I1356" s="2"/>
      <c r="J1356" s="1" t="s">
        <v>236</v>
      </c>
      <c r="K1356" s="1" t="s">
        <v>3945</v>
      </c>
      <c r="L1356" s="2">
        <v>32911.339999999997</v>
      </c>
      <c r="M1356">
        <f t="shared" si="63"/>
        <v>251655.24485639998</v>
      </c>
      <c r="N1356">
        <f t="shared" si="64"/>
        <v>33779.227497503351</v>
      </c>
      <c r="O1356" t="str">
        <f t="shared" si="65"/>
        <v>FJERN</v>
      </c>
      <c r="P1356" s="1"/>
    </row>
    <row r="1357" spans="1:16" ht="15" customHeight="1" x14ac:dyDescent="0.2">
      <c r="A1357" s="1" t="s">
        <v>3946</v>
      </c>
      <c r="B1357" s="1" t="s">
        <v>3947</v>
      </c>
      <c r="C1357" s="1" t="s">
        <v>9</v>
      </c>
      <c r="D1357" s="1" t="s">
        <v>3</v>
      </c>
      <c r="E1357" s="5">
        <v>44613</v>
      </c>
      <c r="F1357" s="5">
        <v>46155</v>
      </c>
      <c r="G1357" s="2">
        <v>2.3423530000000001</v>
      </c>
      <c r="H1357" s="1" t="s">
        <v>10</v>
      </c>
      <c r="I1357" s="2">
        <v>191.93648687999999</v>
      </c>
      <c r="J1357" s="1" t="s">
        <v>23</v>
      </c>
      <c r="K1357" s="1" t="s">
        <v>3948</v>
      </c>
      <c r="L1357" s="2">
        <v>23745.63</v>
      </c>
      <c r="M1357">
        <f t="shared" si="63"/>
        <v>55620.647667390003</v>
      </c>
      <c r="N1357">
        <f t="shared" si="64"/>
        <v>4922.1812095035402</v>
      </c>
      <c r="O1357" t="str">
        <f t="shared" si="65"/>
        <v>FJERN</v>
      </c>
      <c r="P1357" s="1" t="s">
        <v>6330</v>
      </c>
    </row>
    <row r="1358" spans="1:16" ht="15" customHeight="1" x14ac:dyDescent="0.2">
      <c r="A1358" s="1" t="s">
        <v>3949</v>
      </c>
      <c r="B1358" s="1" t="s">
        <v>3950</v>
      </c>
      <c r="C1358" s="1" t="s">
        <v>9</v>
      </c>
      <c r="D1358" s="1" t="s">
        <v>3</v>
      </c>
      <c r="E1358" s="5">
        <v>44595</v>
      </c>
      <c r="F1358" s="5">
        <v>45302</v>
      </c>
      <c r="G1358" s="2">
        <v>0.4576344</v>
      </c>
      <c r="H1358" s="1" t="s">
        <v>10</v>
      </c>
      <c r="I1358" s="2"/>
      <c r="J1358" s="1" t="s">
        <v>64</v>
      </c>
      <c r="K1358" s="1" t="s">
        <v>3951</v>
      </c>
      <c r="L1358" s="2">
        <v>260318.7</v>
      </c>
      <c r="M1358">
        <f t="shared" si="63"/>
        <v>119130.79208328</v>
      </c>
      <c r="N1358">
        <f t="shared" si="64"/>
        <v>10542.54797197168</v>
      </c>
      <c r="O1358" t="str">
        <f t="shared" si="65"/>
        <v>FJERN</v>
      </c>
      <c r="P1358" s="1" t="s">
        <v>6331</v>
      </c>
    </row>
    <row r="1359" spans="1:16" ht="15" customHeight="1" x14ac:dyDescent="0.2">
      <c r="A1359" s="1" t="s">
        <v>3952</v>
      </c>
      <c r="B1359" s="1" t="s">
        <v>3953</v>
      </c>
      <c r="C1359" s="1" t="s">
        <v>2</v>
      </c>
      <c r="D1359" s="1" t="s">
        <v>3</v>
      </c>
      <c r="E1359" s="5">
        <v>44526</v>
      </c>
      <c r="F1359" s="5">
        <v>46155</v>
      </c>
      <c r="G1359" s="2">
        <v>4.7010519999999998</v>
      </c>
      <c r="H1359" s="1" t="s">
        <v>4</v>
      </c>
      <c r="I1359" s="2">
        <v>124.64683169</v>
      </c>
      <c r="J1359" s="1" t="s">
        <v>23</v>
      </c>
      <c r="K1359" s="1" t="s">
        <v>3954</v>
      </c>
      <c r="L1359" s="2">
        <v>49476.58</v>
      </c>
      <c r="M1359">
        <f t="shared" si="63"/>
        <v>232591.97536216001</v>
      </c>
      <c r="N1359">
        <f t="shared" si="64"/>
        <v>31220.399377471142</v>
      </c>
      <c r="O1359" t="str">
        <f t="shared" si="65"/>
        <v>FJERN</v>
      </c>
      <c r="P1359" s="1" t="s">
        <v>6332</v>
      </c>
    </row>
    <row r="1360" spans="1:16" ht="15" customHeight="1" x14ac:dyDescent="0.2">
      <c r="A1360" s="1" t="s">
        <v>3955</v>
      </c>
      <c r="B1360" s="1" t="s">
        <v>3956</v>
      </c>
      <c r="C1360" s="1" t="s">
        <v>9</v>
      </c>
      <c r="D1360" s="1" t="s">
        <v>3</v>
      </c>
      <c r="E1360" s="5">
        <v>40961</v>
      </c>
      <c r="F1360" s="5">
        <v>46155</v>
      </c>
      <c r="G1360" s="2">
        <v>47.776429999999998</v>
      </c>
      <c r="H1360" s="1" t="s">
        <v>10</v>
      </c>
      <c r="I1360" s="2">
        <v>10148.23872725</v>
      </c>
      <c r="J1360" s="1" t="s">
        <v>76</v>
      </c>
      <c r="K1360" s="1" t="s">
        <v>3957</v>
      </c>
      <c r="L1360" s="2">
        <v>90170.02</v>
      </c>
      <c r="M1360">
        <f t="shared" si="63"/>
        <v>4308001.6486285999</v>
      </c>
      <c r="N1360">
        <f t="shared" si="64"/>
        <v>381239.08394943358</v>
      </c>
      <c r="O1360" t="str">
        <f t="shared" si="65"/>
        <v>BEHOLD</v>
      </c>
      <c r="P1360" s="1" t="s">
        <v>6333</v>
      </c>
    </row>
    <row r="1361" spans="1:16" ht="15" customHeight="1" x14ac:dyDescent="0.2">
      <c r="A1361" s="1" t="s">
        <v>3958</v>
      </c>
      <c r="B1361" s="1" t="s">
        <v>3959</v>
      </c>
      <c r="C1361" s="1" t="s">
        <v>9</v>
      </c>
      <c r="D1361" s="1" t="s">
        <v>3</v>
      </c>
      <c r="E1361" s="5">
        <v>42584</v>
      </c>
      <c r="F1361" s="5">
        <v>46155</v>
      </c>
      <c r="G1361" s="2">
        <v>8.6807759999999998</v>
      </c>
      <c r="H1361" s="1" t="s">
        <v>10</v>
      </c>
      <c r="I1361" s="2">
        <v>53.875604750000001</v>
      </c>
      <c r="J1361" s="1" t="s">
        <v>236</v>
      </c>
      <c r="K1361" s="1" t="s">
        <v>3960</v>
      </c>
      <c r="L1361" s="2">
        <v>46036.27</v>
      </c>
      <c r="M1361">
        <f t="shared" si="63"/>
        <v>399630.54774551996</v>
      </c>
      <c r="N1361">
        <f t="shared" si="64"/>
        <v>35365.535198718579</v>
      </c>
      <c r="O1361" t="str">
        <f t="shared" si="65"/>
        <v>FJERN</v>
      </c>
      <c r="P1361" s="1" t="s">
        <v>6334</v>
      </c>
    </row>
    <row r="1362" spans="1:16" ht="15" customHeight="1" x14ac:dyDescent="0.2">
      <c r="A1362" s="1" t="s">
        <v>3961</v>
      </c>
      <c r="B1362" s="1" t="s">
        <v>3962</v>
      </c>
      <c r="C1362" s="1" t="s">
        <v>9</v>
      </c>
      <c r="D1362" s="1" t="s">
        <v>3</v>
      </c>
      <c r="E1362" s="5">
        <v>44732</v>
      </c>
      <c r="F1362" s="5">
        <v>46155</v>
      </c>
      <c r="G1362" s="2">
        <v>3.314667</v>
      </c>
      <c r="H1362" s="1" t="s">
        <v>10</v>
      </c>
      <c r="I1362" s="2"/>
      <c r="J1362" s="1" t="s">
        <v>222</v>
      </c>
      <c r="K1362" s="1" t="s">
        <v>3963</v>
      </c>
      <c r="L1362" s="2">
        <v>10273.51</v>
      </c>
      <c r="M1362">
        <f t="shared" si="63"/>
        <v>34053.264571170002</v>
      </c>
      <c r="N1362">
        <f t="shared" si="64"/>
        <v>3013.5632363867257</v>
      </c>
      <c r="O1362" t="str">
        <f t="shared" si="65"/>
        <v>FJERN</v>
      </c>
      <c r="P1362" s="1" t="s">
        <v>6335</v>
      </c>
    </row>
    <row r="1363" spans="1:16" ht="15" customHeight="1" x14ac:dyDescent="0.2">
      <c r="A1363" s="1" t="s">
        <v>3964</v>
      </c>
      <c r="B1363" s="1" t="s">
        <v>3965</v>
      </c>
      <c r="C1363" s="1" t="s">
        <v>9</v>
      </c>
      <c r="D1363" s="1" t="s">
        <v>3</v>
      </c>
      <c r="E1363" s="5">
        <v>44392</v>
      </c>
      <c r="F1363" s="5">
        <v>46155</v>
      </c>
      <c r="G1363" s="2">
        <v>3.345059</v>
      </c>
      <c r="H1363" s="1" t="s">
        <v>10</v>
      </c>
      <c r="I1363" s="2">
        <v>86.693894900000004</v>
      </c>
      <c r="J1363" s="1" t="s">
        <v>366</v>
      </c>
      <c r="K1363" s="1" t="s">
        <v>3966</v>
      </c>
      <c r="L1363" s="2">
        <v>83678.570000000007</v>
      </c>
      <c r="M1363">
        <f t="shared" si="63"/>
        <v>279909.75368563004</v>
      </c>
      <c r="N1363">
        <f t="shared" si="64"/>
        <v>24770.774662445136</v>
      </c>
      <c r="O1363" t="str">
        <f t="shared" si="65"/>
        <v>FJERN</v>
      </c>
      <c r="P1363" s="1" t="s">
        <v>6336</v>
      </c>
    </row>
    <row r="1364" spans="1:16" ht="15" customHeight="1" x14ac:dyDescent="0.2">
      <c r="A1364" s="1" t="s">
        <v>3967</v>
      </c>
      <c r="B1364" s="1" t="s">
        <v>3968</v>
      </c>
      <c r="C1364" s="1" t="s">
        <v>9</v>
      </c>
      <c r="D1364" s="1" t="s">
        <v>3</v>
      </c>
      <c r="E1364" s="5">
        <v>43949</v>
      </c>
      <c r="F1364" s="5">
        <v>46155</v>
      </c>
      <c r="G1364" s="2">
        <v>12.569800000000001</v>
      </c>
      <c r="H1364" s="1" t="s">
        <v>10</v>
      </c>
      <c r="I1364" s="2">
        <v>112.0764176</v>
      </c>
      <c r="J1364" s="1" t="s">
        <v>51</v>
      </c>
      <c r="K1364" s="1" t="s">
        <v>3969</v>
      </c>
      <c r="L1364" s="2">
        <v>80599.710000000006</v>
      </c>
      <c r="M1364">
        <f t="shared" si="63"/>
        <v>1013122.2347580001</v>
      </c>
      <c r="N1364">
        <f t="shared" si="64"/>
        <v>89656.834934336293</v>
      </c>
      <c r="O1364" t="str">
        <f t="shared" si="65"/>
        <v>FJERN</v>
      </c>
      <c r="P1364" s="1" t="s">
        <v>6337</v>
      </c>
    </row>
    <row r="1365" spans="1:16" ht="15" customHeight="1" x14ac:dyDescent="0.2">
      <c r="A1365" s="1" t="s">
        <v>3970</v>
      </c>
      <c r="B1365" s="1" t="s">
        <v>3971</v>
      </c>
      <c r="C1365" s="1" t="s">
        <v>9</v>
      </c>
      <c r="D1365" s="1" t="s">
        <v>3</v>
      </c>
      <c r="E1365" s="5">
        <v>44399</v>
      </c>
      <c r="F1365" s="5">
        <v>46155</v>
      </c>
      <c r="G1365" s="2">
        <v>0.88213520000000001</v>
      </c>
      <c r="H1365" s="1" t="s">
        <v>10</v>
      </c>
      <c r="I1365" s="2">
        <v>36.975061871999998</v>
      </c>
      <c r="J1365" s="1" t="s">
        <v>64</v>
      </c>
      <c r="K1365" s="1" t="s">
        <v>3972</v>
      </c>
      <c r="L1365" s="2">
        <v>167080.29999999999</v>
      </c>
      <c r="M1365">
        <f t="shared" si="63"/>
        <v>147387.41385655999</v>
      </c>
      <c r="N1365">
        <f t="shared" si="64"/>
        <v>13043.133969607077</v>
      </c>
      <c r="O1365" t="str">
        <f t="shared" si="65"/>
        <v>FJERN</v>
      </c>
      <c r="P1365" s="1" t="s">
        <v>6338</v>
      </c>
    </row>
    <row r="1366" spans="1:16" ht="15" customHeight="1" x14ac:dyDescent="0.2">
      <c r="A1366" s="1" t="s">
        <v>3973</v>
      </c>
      <c r="B1366" s="1" t="s">
        <v>3974</v>
      </c>
      <c r="C1366" s="1" t="s">
        <v>2</v>
      </c>
      <c r="D1366" s="1" t="s">
        <v>3</v>
      </c>
      <c r="E1366" s="5">
        <v>43969</v>
      </c>
      <c r="F1366" s="5">
        <v>46155</v>
      </c>
      <c r="G1366" s="2">
        <v>4.3080309999999997</v>
      </c>
      <c r="H1366" s="1" t="s">
        <v>4</v>
      </c>
      <c r="I1366" s="2">
        <v>63.847228357593501</v>
      </c>
      <c r="J1366" s="1" t="s">
        <v>5</v>
      </c>
      <c r="K1366" s="1" t="s">
        <v>3975</v>
      </c>
      <c r="L1366" s="2">
        <v>96462.76</v>
      </c>
      <c r="M1366">
        <f t="shared" si="63"/>
        <v>415564.56042555993</v>
      </c>
      <c r="N1366">
        <f t="shared" si="64"/>
        <v>55780.477909471134</v>
      </c>
      <c r="O1366" t="str">
        <f t="shared" si="65"/>
        <v>FJERN</v>
      </c>
      <c r="P1366" s="1" t="s">
        <v>6339</v>
      </c>
    </row>
    <row r="1367" spans="1:16" ht="15" customHeight="1" x14ac:dyDescent="0.2">
      <c r="A1367" s="1" t="s">
        <v>3976</v>
      </c>
      <c r="B1367" s="1" t="s">
        <v>3977</v>
      </c>
      <c r="C1367" s="1" t="s">
        <v>9</v>
      </c>
      <c r="D1367" s="1" t="s">
        <v>3</v>
      </c>
      <c r="E1367" s="5">
        <v>44280</v>
      </c>
      <c r="F1367" s="5">
        <v>46155</v>
      </c>
      <c r="G1367" s="2">
        <v>131.21430000000001</v>
      </c>
      <c r="H1367" s="1" t="s">
        <v>10</v>
      </c>
      <c r="I1367" s="2">
        <v>6554.7080086799997</v>
      </c>
      <c r="J1367" s="1" t="s">
        <v>38</v>
      </c>
      <c r="K1367" s="1" t="s">
        <v>3978</v>
      </c>
      <c r="L1367" s="2">
        <v>146766.29999999999</v>
      </c>
      <c r="M1367">
        <f t="shared" si="63"/>
        <v>19257837.318089999</v>
      </c>
      <c r="N1367">
        <f t="shared" si="64"/>
        <v>1704233.3909814158</v>
      </c>
      <c r="O1367" t="str">
        <f t="shared" si="65"/>
        <v>BEHOLD</v>
      </c>
      <c r="P1367" s="1" t="s">
        <v>6340</v>
      </c>
    </row>
    <row r="1368" spans="1:16" ht="15" customHeight="1" x14ac:dyDescent="0.2">
      <c r="A1368" s="1" t="s">
        <v>3979</v>
      </c>
      <c r="B1368" s="1" t="s">
        <v>3980</v>
      </c>
      <c r="C1368" s="1" t="s">
        <v>9</v>
      </c>
      <c r="D1368" s="1" t="s">
        <v>3</v>
      </c>
      <c r="E1368" s="5">
        <v>44284</v>
      </c>
      <c r="F1368" s="5">
        <v>46155</v>
      </c>
      <c r="G1368" s="2">
        <v>36.221609999999998</v>
      </c>
      <c r="H1368" s="1" t="s">
        <v>10</v>
      </c>
      <c r="I1368" s="2">
        <v>1037.7277928000001</v>
      </c>
      <c r="J1368" s="1" t="s">
        <v>222</v>
      </c>
      <c r="K1368" s="1" t="s">
        <v>3981</v>
      </c>
      <c r="L1368" s="2">
        <v>36068.67</v>
      </c>
      <c r="M1368">
        <f t="shared" si="63"/>
        <v>1306465.2979587</v>
      </c>
      <c r="N1368">
        <f t="shared" si="64"/>
        <v>115616.39804944248</v>
      </c>
      <c r="O1368" t="str">
        <f t="shared" si="65"/>
        <v>BEHOLD</v>
      </c>
      <c r="P1368" s="1" t="s">
        <v>6341</v>
      </c>
    </row>
    <row r="1369" spans="1:16" ht="15" customHeight="1" x14ac:dyDescent="0.2">
      <c r="A1369" s="1" t="s">
        <v>3982</v>
      </c>
      <c r="B1369" s="1" t="s">
        <v>3983</v>
      </c>
      <c r="C1369" s="1" t="s">
        <v>9</v>
      </c>
      <c r="D1369" s="1" t="s">
        <v>3</v>
      </c>
      <c r="E1369" s="5">
        <v>42905</v>
      </c>
      <c r="F1369" s="5">
        <v>46155</v>
      </c>
      <c r="G1369" s="2">
        <v>107.3981</v>
      </c>
      <c r="H1369" s="1" t="s">
        <v>10</v>
      </c>
      <c r="I1369" s="2">
        <v>1658.35267</v>
      </c>
      <c r="J1369" s="1" t="s">
        <v>34</v>
      </c>
      <c r="K1369" s="1" t="s">
        <v>3984</v>
      </c>
      <c r="L1369" s="2">
        <v>100959.4</v>
      </c>
      <c r="M1369">
        <f t="shared" si="63"/>
        <v>10842847.73714</v>
      </c>
      <c r="N1369">
        <f t="shared" si="64"/>
        <v>959544.04753451317</v>
      </c>
      <c r="O1369" t="str">
        <f t="shared" si="65"/>
        <v>BEHOLD</v>
      </c>
      <c r="P1369" s="1" t="s">
        <v>6342</v>
      </c>
    </row>
    <row r="1370" spans="1:16" ht="15" customHeight="1" x14ac:dyDescent="0.2">
      <c r="A1370" s="1" t="s">
        <v>3985</v>
      </c>
      <c r="B1370" s="1" t="s">
        <v>3986</v>
      </c>
      <c r="C1370" s="1" t="s">
        <v>9</v>
      </c>
      <c r="D1370" s="1" t="s">
        <v>3</v>
      </c>
      <c r="E1370" s="5">
        <v>44544</v>
      </c>
      <c r="F1370" s="5">
        <v>46155</v>
      </c>
      <c r="G1370" s="2">
        <v>41.357320000000001</v>
      </c>
      <c r="H1370" s="1" t="s">
        <v>10</v>
      </c>
      <c r="I1370" s="2">
        <v>3155.0423168000002</v>
      </c>
      <c r="J1370" s="1" t="s">
        <v>5</v>
      </c>
      <c r="K1370" s="1" t="s">
        <v>3987</v>
      </c>
      <c r="L1370" s="2">
        <v>25561.46</v>
      </c>
      <c r="M1370">
        <f t="shared" si="63"/>
        <v>1057153.4808872</v>
      </c>
      <c r="N1370">
        <f t="shared" si="64"/>
        <v>93553.405388247775</v>
      </c>
      <c r="O1370" t="str">
        <f t="shared" si="65"/>
        <v>FJERN</v>
      </c>
      <c r="P1370" s="1" t="s">
        <v>6343</v>
      </c>
    </row>
    <row r="1371" spans="1:16" ht="15" customHeight="1" x14ac:dyDescent="0.2">
      <c r="A1371" s="1" t="s">
        <v>3988</v>
      </c>
      <c r="B1371" s="1" t="s">
        <v>3989</v>
      </c>
      <c r="C1371" s="1" t="s">
        <v>9</v>
      </c>
      <c r="D1371" s="1" t="s">
        <v>3</v>
      </c>
      <c r="E1371" s="5">
        <v>44546</v>
      </c>
      <c r="F1371" s="5">
        <v>46155</v>
      </c>
      <c r="G1371" s="2">
        <v>1.65794</v>
      </c>
      <c r="H1371" s="1" t="s">
        <v>10</v>
      </c>
      <c r="I1371" s="2">
        <v>39.547486550000002</v>
      </c>
      <c r="J1371" s="1" t="s">
        <v>76</v>
      </c>
      <c r="K1371" s="1" t="s">
        <v>3990</v>
      </c>
      <c r="L1371" s="2">
        <v>46479.74</v>
      </c>
      <c r="M1371">
        <f t="shared" si="63"/>
        <v>77060.620135599995</v>
      </c>
      <c r="N1371">
        <f t="shared" si="64"/>
        <v>6819.5239058053085</v>
      </c>
      <c r="O1371" t="str">
        <f t="shared" si="65"/>
        <v>FJERN</v>
      </c>
      <c r="P1371" s="1"/>
    </row>
    <row r="1372" spans="1:16" ht="15" customHeight="1" x14ac:dyDescent="0.2">
      <c r="A1372" s="1" t="s">
        <v>3991</v>
      </c>
      <c r="B1372" s="1" t="s">
        <v>3992</v>
      </c>
      <c r="C1372" s="1" t="s">
        <v>9</v>
      </c>
      <c r="D1372" s="1" t="s">
        <v>3</v>
      </c>
      <c r="E1372" s="5">
        <v>43052</v>
      </c>
      <c r="F1372" s="5">
        <v>46155</v>
      </c>
      <c r="G1372" s="2">
        <v>33.181759999999997</v>
      </c>
      <c r="H1372" s="1" t="s">
        <v>10</v>
      </c>
      <c r="I1372" s="2">
        <v>242.38039395999999</v>
      </c>
      <c r="J1372" s="1" t="s">
        <v>236</v>
      </c>
      <c r="K1372" s="1" t="s">
        <v>3993</v>
      </c>
      <c r="L1372" s="2">
        <v>328758.8</v>
      </c>
      <c r="M1372">
        <f t="shared" si="63"/>
        <v>10908795.599487999</v>
      </c>
      <c r="N1372">
        <f t="shared" si="64"/>
        <v>965380.14154761052</v>
      </c>
      <c r="O1372" t="str">
        <f t="shared" si="65"/>
        <v>BEHOLD</v>
      </c>
      <c r="P1372" s="1" t="s">
        <v>6344</v>
      </c>
    </row>
    <row r="1373" spans="1:16" ht="15" customHeight="1" x14ac:dyDescent="0.2">
      <c r="A1373" s="1" t="s">
        <v>3994</v>
      </c>
      <c r="B1373" s="1" t="s">
        <v>3995</v>
      </c>
      <c r="C1373" s="1" t="s">
        <v>9</v>
      </c>
      <c r="D1373" s="1" t="s">
        <v>3</v>
      </c>
      <c r="E1373" s="5">
        <v>42725</v>
      </c>
      <c r="F1373" s="5">
        <v>46155</v>
      </c>
      <c r="G1373" s="2">
        <v>154.37819999999999</v>
      </c>
      <c r="H1373" s="1" t="s">
        <v>10</v>
      </c>
      <c r="I1373" s="2">
        <v>748.981359</v>
      </c>
      <c r="J1373" s="1" t="s">
        <v>23</v>
      </c>
      <c r="K1373" s="1" t="s">
        <v>3996</v>
      </c>
      <c r="L1373" s="2">
        <v>19960.36</v>
      </c>
      <c r="M1373">
        <f t="shared" si="63"/>
        <v>3081444.4481520001</v>
      </c>
      <c r="N1373">
        <f t="shared" si="64"/>
        <v>272694.19895150443</v>
      </c>
      <c r="O1373" t="str">
        <f t="shared" si="65"/>
        <v>BEHOLD</v>
      </c>
      <c r="P1373" s="1" t="s">
        <v>6345</v>
      </c>
    </row>
    <row r="1374" spans="1:16" ht="15" customHeight="1" x14ac:dyDescent="0.2">
      <c r="A1374" s="1" t="s">
        <v>3997</v>
      </c>
      <c r="B1374" s="1" t="s">
        <v>3998</v>
      </c>
      <c r="C1374" s="1" t="s">
        <v>2</v>
      </c>
      <c r="D1374" s="1" t="s">
        <v>3</v>
      </c>
      <c r="E1374" s="5">
        <v>33801</v>
      </c>
      <c r="F1374" s="5">
        <v>46155</v>
      </c>
      <c r="G1374" s="2">
        <v>167.02619999999999</v>
      </c>
      <c r="H1374" s="1" t="s">
        <v>4</v>
      </c>
      <c r="I1374" s="2">
        <v>10938.95067</v>
      </c>
      <c r="J1374" s="1" t="s">
        <v>61</v>
      </c>
      <c r="K1374" s="1" t="s">
        <v>3999</v>
      </c>
      <c r="L1374" s="2">
        <v>9954.0969999999998</v>
      </c>
      <c r="M1374">
        <f t="shared" si="63"/>
        <v>1662594.9963413998</v>
      </c>
      <c r="N1374">
        <f t="shared" si="64"/>
        <v>223167.11360287244</v>
      </c>
      <c r="O1374" t="str">
        <f t="shared" si="65"/>
        <v>BEHOLD</v>
      </c>
      <c r="P1374" s="1" t="s">
        <v>6346</v>
      </c>
    </row>
    <row r="1375" spans="1:16" ht="15" customHeight="1" x14ac:dyDescent="0.2">
      <c r="A1375" s="1" t="s">
        <v>4000</v>
      </c>
      <c r="B1375" s="1" t="s">
        <v>4001</v>
      </c>
      <c r="C1375" s="1" t="s">
        <v>9</v>
      </c>
      <c r="D1375" s="1" t="s">
        <v>3</v>
      </c>
      <c r="E1375" s="5">
        <v>33567</v>
      </c>
      <c r="F1375" s="5">
        <v>45281</v>
      </c>
      <c r="G1375" s="2">
        <v>36.469090000000001</v>
      </c>
      <c r="H1375" s="1" t="s">
        <v>10</v>
      </c>
      <c r="I1375" s="2">
        <v>1542.940846</v>
      </c>
      <c r="J1375" s="1" t="s">
        <v>19</v>
      </c>
      <c r="K1375" s="1" t="s">
        <v>4002</v>
      </c>
      <c r="L1375" s="2">
        <v>23971.07</v>
      </c>
      <c r="M1375">
        <f t="shared" si="63"/>
        <v>874203.10922630003</v>
      </c>
      <c r="N1375">
        <f t="shared" si="64"/>
        <v>77363.107011176995</v>
      </c>
      <c r="O1375" t="str">
        <f t="shared" si="65"/>
        <v>FJERN</v>
      </c>
      <c r="P1375" s="1" t="s">
        <v>6347</v>
      </c>
    </row>
    <row r="1376" spans="1:16" ht="15" customHeight="1" x14ac:dyDescent="0.2">
      <c r="A1376" s="1" t="s">
        <v>4003</v>
      </c>
      <c r="B1376" s="1" t="s">
        <v>4004</v>
      </c>
      <c r="C1376" s="1" t="s">
        <v>2</v>
      </c>
      <c r="D1376" s="1" t="s">
        <v>3</v>
      </c>
      <c r="E1376" s="5">
        <v>36329</v>
      </c>
      <c r="F1376" s="5">
        <v>46155</v>
      </c>
      <c r="G1376" s="2">
        <v>37.382550000000002</v>
      </c>
      <c r="H1376" s="1" t="s">
        <v>4</v>
      </c>
      <c r="I1376" s="2">
        <v>42821.158651960002</v>
      </c>
      <c r="J1376" s="1" t="s">
        <v>366</v>
      </c>
      <c r="K1376" s="1" t="s">
        <v>4005</v>
      </c>
      <c r="L1376" s="2">
        <v>1153612</v>
      </c>
      <c r="M1376">
        <f t="shared" si="63"/>
        <v>43124958.270599999</v>
      </c>
      <c r="N1376">
        <f t="shared" si="64"/>
        <v>5788585.0027651004</v>
      </c>
      <c r="O1376" t="str">
        <f t="shared" si="65"/>
        <v>BEHOLD</v>
      </c>
      <c r="P1376" s="1" t="s">
        <v>6348</v>
      </c>
    </row>
    <row r="1377" spans="1:16" ht="15" customHeight="1" x14ac:dyDescent="0.2">
      <c r="A1377" s="1" t="s">
        <v>4006</v>
      </c>
      <c r="B1377" s="1" t="s">
        <v>4007</v>
      </c>
      <c r="C1377" s="1" t="s">
        <v>2</v>
      </c>
      <c r="D1377" s="1" t="s">
        <v>3</v>
      </c>
      <c r="E1377" s="5">
        <v>44148</v>
      </c>
      <c r="F1377" s="5">
        <v>46155</v>
      </c>
      <c r="G1377" s="2">
        <v>5.1336649999999997</v>
      </c>
      <c r="H1377" s="1" t="s">
        <v>4</v>
      </c>
      <c r="I1377" s="2">
        <v>283.404</v>
      </c>
      <c r="J1377" s="1" t="s">
        <v>289</v>
      </c>
      <c r="K1377" s="1" t="s">
        <v>4008</v>
      </c>
      <c r="L1377" s="2">
        <v>52342.82</v>
      </c>
      <c r="M1377">
        <f t="shared" si="63"/>
        <v>268710.5030353</v>
      </c>
      <c r="N1377">
        <f t="shared" si="64"/>
        <v>36068.523897355706</v>
      </c>
      <c r="O1377" t="str">
        <f t="shared" si="65"/>
        <v>FJERN</v>
      </c>
      <c r="P1377" s="1"/>
    </row>
    <row r="1378" spans="1:16" ht="15" customHeight="1" x14ac:dyDescent="0.2">
      <c r="A1378" s="1" t="s">
        <v>4009</v>
      </c>
      <c r="B1378" s="1" t="s">
        <v>4010</v>
      </c>
      <c r="C1378" s="1" t="s">
        <v>2</v>
      </c>
      <c r="D1378" s="1" t="s">
        <v>3</v>
      </c>
      <c r="E1378" s="5">
        <v>43997</v>
      </c>
      <c r="F1378" s="5">
        <v>46119</v>
      </c>
      <c r="G1378" s="2">
        <v>1.1467419999999999</v>
      </c>
      <c r="H1378" s="1" t="s">
        <v>4</v>
      </c>
      <c r="I1378" s="2">
        <v>11.922068619999401</v>
      </c>
      <c r="J1378" s="1" t="s">
        <v>23</v>
      </c>
      <c r="K1378" s="1" t="s">
        <v>4011</v>
      </c>
      <c r="L1378" s="2">
        <v>138854.39999999999</v>
      </c>
      <c r="M1378">
        <f t="shared" si="63"/>
        <v>159230.17236479998</v>
      </c>
      <c r="N1378">
        <f t="shared" si="64"/>
        <v>21373.17749863087</v>
      </c>
      <c r="O1378" t="str">
        <f t="shared" si="65"/>
        <v>FJERN</v>
      </c>
      <c r="P1378" s="1" t="s">
        <v>6349</v>
      </c>
    </row>
    <row r="1379" spans="1:16" ht="15" customHeight="1" x14ac:dyDescent="0.2">
      <c r="A1379" s="1" t="s">
        <v>4012</v>
      </c>
      <c r="B1379" s="1" t="s">
        <v>4013</v>
      </c>
      <c r="C1379" s="1" t="s">
        <v>2</v>
      </c>
      <c r="D1379" s="1" t="s">
        <v>3</v>
      </c>
      <c r="E1379" s="5">
        <v>44756</v>
      </c>
      <c r="F1379" s="5">
        <v>46155</v>
      </c>
      <c r="G1379" s="2">
        <v>96.267910000000001</v>
      </c>
      <c r="H1379" s="1" t="s">
        <v>4</v>
      </c>
      <c r="I1379" s="2">
        <v>227.38456400000001</v>
      </c>
      <c r="J1379" s="1" t="s">
        <v>61</v>
      </c>
      <c r="K1379" s="1" t="s">
        <v>4014</v>
      </c>
      <c r="L1379" s="2">
        <v>649.66830000000004</v>
      </c>
      <c r="M1379">
        <f t="shared" si="63"/>
        <v>62542.209434253004</v>
      </c>
      <c r="N1379">
        <f t="shared" si="64"/>
        <v>8394.9274408393285</v>
      </c>
      <c r="O1379" t="str">
        <f t="shared" si="65"/>
        <v>FJERN</v>
      </c>
      <c r="P1379" s="1"/>
    </row>
    <row r="1380" spans="1:16" ht="15" customHeight="1" x14ac:dyDescent="0.2">
      <c r="A1380" s="1" t="s">
        <v>4015</v>
      </c>
      <c r="B1380" s="1" t="s">
        <v>4016</v>
      </c>
      <c r="C1380" s="1" t="s">
        <v>9</v>
      </c>
      <c r="D1380" s="1" t="s">
        <v>3</v>
      </c>
      <c r="E1380" s="5">
        <v>33668</v>
      </c>
      <c r="F1380" s="5">
        <v>46155</v>
      </c>
      <c r="G1380" s="2">
        <v>43.327419999999996</v>
      </c>
      <c r="H1380" s="1" t="s">
        <v>10</v>
      </c>
      <c r="I1380" s="2">
        <v>20212.905171599999</v>
      </c>
      <c r="J1380" s="1" t="s">
        <v>11</v>
      </c>
      <c r="K1380" s="1" t="s">
        <v>4017</v>
      </c>
      <c r="L1380" s="2">
        <v>50841.3</v>
      </c>
      <c r="M1380">
        <f t="shared" si="63"/>
        <v>2202822.3584460001</v>
      </c>
      <c r="N1380">
        <f t="shared" si="64"/>
        <v>194940.03172088496</v>
      </c>
      <c r="O1380" t="str">
        <f t="shared" si="65"/>
        <v>BEHOLD</v>
      </c>
      <c r="P1380" s="1" t="s">
        <v>6350</v>
      </c>
    </row>
    <row r="1381" spans="1:16" ht="15" customHeight="1" x14ac:dyDescent="0.2">
      <c r="A1381" s="1" t="s">
        <v>4018</v>
      </c>
      <c r="B1381" s="1" t="s">
        <v>4019</v>
      </c>
      <c r="C1381" s="1" t="s">
        <v>9</v>
      </c>
      <c r="D1381" s="1" t="s">
        <v>3</v>
      </c>
      <c r="E1381" s="5">
        <v>42907</v>
      </c>
      <c r="F1381" s="5">
        <v>46155</v>
      </c>
      <c r="G1381" s="2">
        <v>24.67313</v>
      </c>
      <c r="H1381" s="1" t="s">
        <v>10</v>
      </c>
      <c r="I1381" s="2">
        <v>3676.43076028</v>
      </c>
      <c r="J1381" s="1" t="s">
        <v>61</v>
      </c>
      <c r="K1381" s="1" t="s">
        <v>4020</v>
      </c>
      <c r="L1381" s="2">
        <v>66588.639999999999</v>
      </c>
      <c r="M1381">
        <f t="shared" si="63"/>
        <v>1642950.1712432001</v>
      </c>
      <c r="N1381">
        <f t="shared" si="64"/>
        <v>145393.82046399999</v>
      </c>
      <c r="O1381" t="str">
        <f t="shared" si="65"/>
        <v>BEHOLD</v>
      </c>
      <c r="P1381" s="1" t="s">
        <v>6351</v>
      </c>
    </row>
    <row r="1382" spans="1:16" ht="15" customHeight="1" x14ac:dyDescent="0.2">
      <c r="A1382" s="1" t="s">
        <v>4021</v>
      </c>
      <c r="B1382" s="1" t="s">
        <v>4022</v>
      </c>
      <c r="C1382" s="1" t="s">
        <v>9</v>
      </c>
      <c r="D1382" s="1" t="s">
        <v>3</v>
      </c>
      <c r="E1382" s="5">
        <v>44495</v>
      </c>
      <c r="F1382" s="5">
        <v>45922</v>
      </c>
      <c r="G1382" s="2">
        <v>3.7696260000000001</v>
      </c>
      <c r="H1382" s="1" t="s">
        <v>10</v>
      </c>
      <c r="I1382" s="2"/>
      <c r="J1382" s="1" t="s">
        <v>64</v>
      </c>
      <c r="K1382" s="1" t="s">
        <v>4023</v>
      </c>
      <c r="L1382" s="2">
        <v>28603.82</v>
      </c>
      <c r="M1382">
        <f t="shared" si="63"/>
        <v>107825.70357132</v>
      </c>
      <c r="N1382">
        <f t="shared" si="64"/>
        <v>9542.097661178761</v>
      </c>
      <c r="O1382" t="str">
        <f t="shared" si="65"/>
        <v>FJERN</v>
      </c>
      <c r="P1382" s="1" t="s">
        <v>6352</v>
      </c>
    </row>
    <row r="1383" spans="1:16" ht="15" customHeight="1" x14ac:dyDescent="0.2">
      <c r="A1383" s="1" t="s">
        <v>4024</v>
      </c>
      <c r="B1383" s="1" t="s">
        <v>4025</v>
      </c>
      <c r="C1383" s="1" t="s">
        <v>9</v>
      </c>
      <c r="D1383" s="1" t="s">
        <v>3</v>
      </c>
      <c r="E1383" s="5">
        <v>44533</v>
      </c>
      <c r="F1383" s="5">
        <v>46155</v>
      </c>
      <c r="G1383" s="2">
        <v>44.598019999999998</v>
      </c>
      <c r="H1383" s="1" t="s">
        <v>10</v>
      </c>
      <c r="I1383" s="2">
        <v>4062.3741112500002</v>
      </c>
      <c r="J1383" s="1" t="s">
        <v>61</v>
      </c>
      <c r="K1383" s="1" t="s">
        <v>4026</v>
      </c>
      <c r="L1383" s="2">
        <v>33345.61</v>
      </c>
      <c r="M1383">
        <f t="shared" si="63"/>
        <v>1487148.1816922</v>
      </c>
      <c r="N1383">
        <f t="shared" si="64"/>
        <v>131606.03377807079</v>
      </c>
      <c r="O1383" t="str">
        <f t="shared" si="65"/>
        <v>BEHOLD</v>
      </c>
      <c r="P1383" s="1" t="s">
        <v>6353</v>
      </c>
    </row>
    <row r="1384" spans="1:16" ht="15" customHeight="1" x14ac:dyDescent="0.2">
      <c r="A1384" s="1" t="s">
        <v>4027</v>
      </c>
      <c r="B1384" s="1" t="s">
        <v>4028</v>
      </c>
      <c r="C1384" s="1" t="s">
        <v>9</v>
      </c>
      <c r="D1384" s="1" t="s">
        <v>3</v>
      </c>
      <c r="E1384" s="5">
        <v>44117</v>
      </c>
      <c r="F1384" s="5">
        <v>46155</v>
      </c>
      <c r="G1384" s="2">
        <v>20.90812</v>
      </c>
      <c r="H1384" s="1" t="s">
        <v>10</v>
      </c>
      <c r="I1384" s="2">
        <v>468.80303184000002</v>
      </c>
      <c r="J1384" s="1" t="s">
        <v>11</v>
      </c>
      <c r="K1384" s="1" t="s">
        <v>4029</v>
      </c>
      <c r="L1384" s="2">
        <v>61758.79</v>
      </c>
      <c r="M1384">
        <f t="shared" si="63"/>
        <v>1291260.1923748001</v>
      </c>
      <c r="N1384">
        <f t="shared" si="64"/>
        <v>114270.81348449558</v>
      </c>
      <c r="O1384" t="str">
        <f t="shared" si="65"/>
        <v>BEHOLD</v>
      </c>
      <c r="P1384" s="1" t="s">
        <v>6354</v>
      </c>
    </row>
    <row r="1385" spans="1:16" ht="15" customHeight="1" x14ac:dyDescent="0.2">
      <c r="A1385" s="1" t="s">
        <v>4030</v>
      </c>
      <c r="B1385" s="1" t="s">
        <v>4031</v>
      </c>
      <c r="C1385" s="1" t="s">
        <v>9</v>
      </c>
      <c r="D1385" s="1" t="s">
        <v>3</v>
      </c>
      <c r="E1385" s="5">
        <v>41792</v>
      </c>
      <c r="F1385" s="5">
        <v>46155</v>
      </c>
      <c r="G1385" s="2">
        <v>156.3272</v>
      </c>
      <c r="H1385" s="1" t="s">
        <v>10</v>
      </c>
      <c r="I1385" s="2">
        <v>3699.8758574711601</v>
      </c>
      <c r="J1385" s="1" t="s">
        <v>167</v>
      </c>
      <c r="K1385" s="1" t="s">
        <v>4032</v>
      </c>
      <c r="L1385" s="2">
        <v>127235.3</v>
      </c>
      <c r="M1385">
        <f t="shared" si="63"/>
        <v>19890338.190160003</v>
      </c>
      <c r="N1385">
        <f t="shared" si="64"/>
        <v>1760206.919483186</v>
      </c>
      <c r="O1385" t="str">
        <f t="shared" si="65"/>
        <v>BEHOLD</v>
      </c>
      <c r="P1385" s="1" t="s">
        <v>6355</v>
      </c>
    </row>
    <row r="1386" spans="1:16" ht="15" customHeight="1" x14ac:dyDescent="0.2">
      <c r="A1386" s="1" t="s">
        <v>4033</v>
      </c>
      <c r="B1386" s="1" t="s">
        <v>4034</v>
      </c>
      <c r="C1386" s="1" t="s">
        <v>9</v>
      </c>
      <c r="D1386" s="1" t="s">
        <v>3</v>
      </c>
      <c r="E1386" s="5">
        <v>39034</v>
      </c>
      <c r="F1386" s="5">
        <v>45049</v>
      </c>
      <c r="G1386" s="2">
        <v>31.755929999999999</v>
      </c>
      <c r="H1386" s="1" t="s">
        <v>10</v>
      </c>
      <c r="I1386" s="2">
        <v>147.74008000000001</v>
      </c>
      <c r="J1386" s="1" t="s">
        <v>289</v>
      </c>
      <c r="K1386" s="1" t="s">
        <v>4035</v>
      </c>
      <c r="L1386" s="2">
        <v>5285.9920000000002</v>
      </c>
      <c r="M1386">
        <f t="shared" si="63"/>
        <v>167861.59193256</v>
      </c>
      <c r="N1386">
        <f t="shared" si="64"/>
        <v>14855.008135624777</v>
      </c>
      <c r="O1386" t="str">
        <f t="shared" si="65"/>
        <v>FJERN</v>
      </c>
      <c r="P1386" s="1" t="s">
        <v>6356</v>
      </c>
    </row>
    <row r="1387" spans="1:16" ht="15" customHeight="1" x14ac:dyDescent="0.2">
      <c r="A1387" s="1" t="s">
        <v>4036</v>
      </c>
      <c r="B1387" s="1" t="s">
        <v>4037</v>
      </c>
      <c r="C1387" s="1" t="s">
        <v>2</v>
      </c>
      <c r="D1387" s="1" t="s">
        <v>3</v>
      </c>
      <c r="E1387" s="5">
        <v>44078</v>
      </c>
      <c r="F1387" s="5">
        <v>46155</v>
      </c>
      <c r="G1387" s="2">
        <v>5.6525499999999997</v>
      </c>
      <c r="H1387" s="1" t="s">
        <v>4</v>
      </c>
      <c r="I1387" s="2">
        <v>53.022683946960001</v>
      </c>
      <c r="J1387" s="1" t="s">
        <v>236</v>
      </c>
      <c r="K1387" s="1" t="s">
        <v>4038</v>
      </c>
      <c r="L1387" s="2">
        <v>10090.73</v>
      </c>
      <c r="M1387">
        <f t="shared" si="63"/>
        <v>57038.355861499993</v>
      </c>
      <c r="N1387">
        <f t="shared" si="64"/>
        <v>7656.1551491946293</v>
      </c>
      <c r="O1387" t="str">
        <f t="shared" si="65"/>
        <v>FJERN</v>
      </c>
      <c r="P1387" s="1"/>
    </row>
    <row r="1388" spans="1:16" ht="15" customHeight="1" x14ac:dyDescent="0.2">
      <c r="A1388" s="1" t="s">
        <v>4039</v>
      </c>
      <c r="B1388" s="1" t="s">
        <v>4040</v>
      </c>
      <c r="C1388" s="1" t="s">
        <v>9</v>
      </c>
      <c r="D1388" s="1" t="s">
        <v>3</v>
      </c>
      <c r="E1388" s="5">
        <v>39325</v>
      </c>
      <c r="F1388" s="5">
        <v>46076</v>
      </c>
      <c r="G1388" s="2">
        <v>27.855409999999999</v>
      </c>
      <c r="H1388" s="1" t="s">
        <v>10</v>
      </c>
      <c r="I1388" s="2">
        <v>11.078531999999999</v>
      </c>
      <c r="J1388" s="1" t="s">
        <v>176</v>
      </c>
      <c r="K1388" s="1" t="s">
        <v>4041</v>
      </c>
      <c r="L1388" s="2">
        <v>8904.8019999999997</v>
      </c>
      <c r="M1388">
        <f t="shared" si="63"/>
        <v>248046.91067881999</v>
      </c>
      <c r="N1388">
        <f t="shared" si="64"/>
        <v>21951.054042373449</v>
      </c>
      <c r="O1388" t="str">
        <f t="shared" si="65"/>
        <v>FJERN</v>
      </c>
      <c r="P1388" s="1" t="s">
        <v>6357</v>
      </c>
    </row>
    <row r="1389" spans="1:16" ht="15" customHeight="1" x14ac:dyDescent="0.2">
      <c r="A1389" s="1" t="s">
        <v>4042</v>
      </c>
      <c r="B1389" s="1" t="s">
        <v>4043</v>
      </c>
      <c r="C1389" s="1" t="s">
        <v>9</v>
      </c>
      <c r="D1389" s="1" t="s">
        <v>3</v>
      </c>
      <c r="E1389" s="5">
        <v>44804</v>
      </c>
      <c r="F1389" s="5">
        <v>46155</v>
      </c>
      <c r="G1389" s="2">
        <v>66.693870000000004</v>
      </c>
      <c r="H1389" s="1" t="s">
        <v>10</v>
      </c>
      <c r="I1389" s="2">
        <v>20475.365019299999</v>
      </c>
      <c r="J1389" s="1" t="s">
        <v>19</v>
      </c>
      <c r="K1389" s="1" t="s">
        <v>4044</v>
      </c>
      <c r="L1389" s="2">
        <v>653852.1</v>
      </c>
      <c r="M1389">
        <f t="shared" si="63"/>
        <v>43607926.956627004</v>
      </c>
      <c r="N1389">
        <f t="shared" si="64"/>
        <v>3859108.5802324777</v>
      </c>
      <c r="O1389" t="str">
        <f t="shared" si="65"/>
        <v>BEHOLD</v>
      </c>
      <c r="P1389" s="1" t="s">
        <v>6358</v>
      </c>
    </row>
    <row r="1390" spans="1:16" ht="15" customHeight="1" x14ac:dyDescent="0.2">
      <c r="A1390" s="1" t="s">
        <v>4045</v>
      </c>
      <c r="B1390" s="1" t="s">
        <v>4046</v>
      </c>
      <c r="C1390" s="1" t="s">
        <v>9</v>
      </c>
      <c r="D1390" s="1" t="s">
        <v>3</v>
      </c>
      <c r="E1390" s="5">
        <v>41625</v>
      </c>
      <c r="F1390" s="5">
        <v>44120</v>
      </c>
      <c r="G1390" s="2">
        <v>44.434080000000002</v>
      </c>
      <c r="H1390" s="1" t="s">
        <v>10</v>
      </c>
      <c r="I1390" s="2"/>
      <c r="J1390" s="1" t="s">
        <v>61</v>
      </c>
      <c r="K1390" s="1" t="s">
        <v>4047</v>
      </c>
      <c r="L1390" s="2">
        <v>6148.8509999999997</v>
      </c>
      <c r="M1390">
        <f t="shared" si="63"/>
        <v>273218.53724207997</v>
      </c>
      <c r="N1390">
        <f t="shared" si="64"/>
        <v>24178.631614343358</v>
      </c>
      <c r="O1390" t="str">
        <f t="shared" si="65"/>
        <v>FJERN</v>
      </c>
      <c r="P1390" s="1" t="s">
        <v>6359</v>
      </c>
    </row>
    <row r="1391" spans="1:16" ht="15" customHeight="1" x14ac:dyDescent="0.2">
      <c r="A1391" s="1" t="s">
        <v>4048</v>
      </c>
      <c r="B1391" s="1" t="s">
        <v>4049</v>
      </c>
      <c r="C1391" s="1" t="s">
        <v>9</v>
      </c>
      <c r="D1391" s="1" t="s">
        <v>3</v>
      </c>
      <c r="E1391" s="5">
        <v>41816</v>
      </c>
      <c r="F1391" s="5">
        <v>46155</v>
      </c>
      <c r="G1391" s="2">
        <v>770.78610000000003</v>
      </c>
      <c r="H1391" s="1" t="s">
        <v>10</v>
      </c>
      <c r="I1391" s="2">
        <v>6441.2207749999998</v>
      </c>
      <c r="J1391" s="1" t="s">
        <v>122</v>
      </c>
      <c r="K1391" s="1" t="s">
        <v>4050</v>
      </c>
      <c r="L1391" s="2">
        <v>3529.3009999999999</v>
      </c>
      <c r="M1391">
        <f t="shared" si="63"/>
        <v>2720336.1535161003</v>
      </c>
      <c r="N1391">
        <f t="shared" si="64"/>
        <v>240737.71270053982</v>
      </c>
      <c r="O1391" t="str">
        <f t="shared" si="65"/>
        <v>BEHOLD</v>
      </c>
      <c r="P1391" s="1" t="s">
        <v>6360</v>
      </c>
    </row>
    <row r="1392" spans="1:16" ht="15" customHeight="1" x14ac:dyDescent="0.2">
      <c r="A1392" s="1" t="s">
        <v>4051</v>
      </c>
      <c r="B1392" s="1" t="s">
        <v>4052</v>
      </c>
      <c r="C1392" s="1" t="s">
        <v>9</v>
      </c>
      <c r="D1392" s="1" t="s">
        <v>3</v>
      </c>
      <c r="E1392" s="5">
        <v>36741</v>
      </c>
      <c r="F1392" s="5">
        <v>46155</v>
      </c>
      <c r="G1392" s="2">
        <v>2.2940320000000001</v>
      </c>
      <c r="H1392" s="1" t="s">
        <v>10</v>
      </c>
      <c r="I1392" s="2">
        <v>166.66736383439999</v>
      </c>
      <c r="J1392" s="1" t="s">
        <v>236</v>
      </c>
      <c r="K1392" s="1" t="s">
        <v>4053</v>
      </c>
      <c r="L1392" s="2">
        <v>3854172</v>
      </c>
      <c r="M1392">
        <f t="shared" si="63"/>
        <v>8841593.9015040006</v>
      </c>
      <c r="N1392">
        <f t="shared" si="64"/>
        <v>782441.93818619475</v>
      </c>
      <c r="O1392" t="str">
        <f t="shared" si="65"/>
        <v>BEHOLD</v>
      </c>
      <c r="P1392" s="1" t="s">
        <v>6361</v>
      </c>
    </row>
    <row r="1393" spans="1:16" ht="15" customHeight="1" x14ac:dyDescent="0.2">
      <c r="A1393" s="1" t="s">
        <v>4054</v>
      </c>
      <c r="B1393" s="1" t="s">
        <v>4055</v>
      </c>
      <c r="C1393" s="1" t="s">
        <v>2</v>
      </c>
      <c r="D1393" s="1" t="s">
        <v>3</v>
      </c>
      <c r="E1393" s="5">
        <v>44232</v>
      </c>
      <c r="F1393" s="5">
        <v>46155</v>
      </c>
      <c r="G1393" s="2">
        <v>5.7601769999999997</v>
      </c>
      <c r="H1393" s="1" t="s">
        <v>4</v>
      </c>
      <c r="I1393" s="2">
        <v>123.8221248</v>
      </c>
      <c r="J1393" s="1" t="s">
        <v>64</v>
      </c>
      <c r="K1393" s="1" t="s">
        <v>4056</v>
      </c>
      <c r="L1393" s="2">
        <v>52983.5</v>
      </c>
      <c r="M1393">
        <f t="shared" si="63"/>
        <v>305194.33807949995</v>
      </c>
      <c r="N1393">
        <f t="shared" si="64"/>
        <v>40965.682963691266</v>
      </c>
      <c r="O1393" t="str">
        <f t="shared" si="65"/>
        <v>FJERN</v>
      </c>
      <c r="P1393" s="1"/>
    </row>
    <row r="1394" spans="1:16" ht="15" customHeight="1" x14ac:dyDescent="0.2">
      <c r="A1394" s="1" t="s">
        <v>4057</v>
      </c>
      <c r="B1394" s="1" t="s">
        <v>4058</v>
      </c>
      <c r="C1394" s="1" t="s">
        <v>9</v>
      </c>
      <c r="D1394" s="1" t="s">
        <v>3</v>
      </c>
      <c r="E1394" s="5">
        <v>39267</v>
      </c>
      <c r="F1394" s="5">
        <v>46155</v>
      </c>
      <c r="G1394" s="2">
        <v>33.272019999999998</v>
      </c>
      <c r="H1394" s="1" t="s">
        <v>10</v>
      </c>
      <c r="I1394" s="2">
        <v>2766.7657667200001</v>
      </c>
      <c r="J1394" s="1" t="s">
        <v>76</v>
      </c>
      <c r="K1394" s="1" t="s">
        <v>4059</v>
      </c>
      <c r="L1394" s="2">
        <v>222193.3</v>
      </c>
      <c r="M1394">
        <f t="shared" si="63"/>
        <v>7392819.9214659994</v>
      </c>
      <c r="N1394">
        <f t="shared" si="64"/>
        <v>654231.851457168</v>
      </c>
      <c r="O1394" t="str">
        <f t="shared" si="65"/>
        <v>BEHOLD</v>
      </c>
      <c r="P1394" s="1" t="s">
        <v>6362</v>
      </c>
    </row>
    <row r="1395" spans="1:16" ht="15" customHeight="1" x14ac:dyDescent="0.2">
      <c r="A1395" s="1" t="s">
        <v>4060</v>
      </c>
      <c r="B1395" s="1" t="s">
        <v>4061</v>
      </c>
      <c r="C1395" s="1" t="s">
        <v>9</v>
      </c>
      <c r="D1395" s="1" t="s">
        <v>3</v>
      </c>
      <c r="E1395" s="5">
        <v>40527</v>
      </c>
      <c r="F1395" s="5">
        <v>46155</v>
      </c>
      <c r="G1395" s="2">
        <v>35.274059999999999</v>
      </c>
      <c r="H1395" s="1" t="s">
        <v>10</v>
      </c>
      <c r="I1395" s="2">
        <v>3261.4022208000001</v>
      </c>
      <c r="J1395" s="1" t="s">
        <v>184</v>
      </c>
      <c r="K1395" s="1" t="s">
        <v>4062</v>
      </c>
      <c r="L1395" s="2">
        <v>73791.34</v>
      </c>
      <c r="M1395">
        <f t="shared" si="63"/>
        <v>2602920.1546403999</v>
      </c>
      <c r="N1395">
        <f t="shared" si="64"/>
        <v>230346.91633985838</v>
      </c>
      <c r="O1395" t="str">
        <f t="shared" si="65"/>
        <v>BEHOLD</v>
      </c>
      <c r="P1395" s="1" t="s">
        <v>6363</v>
      </c>
    </row>
    <row r="1396" spans="1:16" ht="15" customHeight="1" x14ac:dyDescent="0.2">
      <c r="A1396" s="1" t="s">
        <v>4063</v>
      </c>
      <c r="B1396" s="1" t="s">
        <v>4064</v>
      </c>
      <c r="C1396" s="1" t="s">
        <v>9</v>
      </c>
      <c r="D1396" s="1" t="s">
        <v>3</v>
      </c>
      <c r="E1396" s="5">
        <v>44106</v>
      </c>
      <c r="F1396" s="5">
        <v>46155</v>
      </c>
      <c r="G1396" s="2">
        <v>2.3468</v>
      </c>
      <c r="H1396" s="1" t="s">
        <v>10</v>
      </c>
      <c r="I1396" s="2">
        <v>82.627248039999998</v>
      </c>
      <c r="J1396" s="1" t="s">
        <v>34</v>
      </c>
      <c r="K1396" s="1" t="s">
        <v>4065</v>
      </c>
      <c r="L1396" s="2">
        <v>27954.21</v>
      </c>
      <c r="M1396">
        <f t="shared" si="63"/>
        <v>65602.940027999997</v>
      </c>
      <c r="N1396">
        <f t="shared" si="64"/>
        <v>5805.5699139823</v>
      </c>
      <c r="O1396" t="str">
        <f t="shared" si="65"/>
        <v>FJERN</v>
      </c>
      <c r="P1396" s="1" t="s">
        <v>6364</v>
      </c>
    </row>
    <row r="1397" spans="1:16" ht="15" customHeight="1" x14ac:dyDescent="0.2">
      <c r="A1397" s="1" t="s">
        <v>4066</v>
      </c>
      <c r="B1397" s="1" t="s">
        <v>4067</v>
      </c>
      <c r="C1397" s="1" t="s">
        <v>9</v>
      </c>
      <c r="D1397" s="1" t="s">
        <v>3</v>
      </c>
      <c r="E1397" s="5">
        <v>44278</v>
      </c>
      <c r="F1397" s="5">
        <v>45601</v>
      </c>
      <c r="G1397" s="2">
        <v>41.37753</v>
      </c>
      <c r="H1397" s="1" t="s">
        <v>10</v>
      </c>
      <c r="I1397" s="2">
        <v>129.457874</v>
      </c>
      <c r="J1397" s="1" t="s">
        <v>167</v>
      </c>
      <c r="K1397" s="1" t="s">
        <v>4068</v>
      </c>
      <c r="L1397" s="2">
        <v>6752.8810000000003</v>
      </c>
      <c r="M1397">
        <f t="shared" si="63"/>
        <v>279417.53616393002</v>
      </c>
      <c r="N1397">
        <f t="shared" si="64"/>
        <v>24727.215589728319</v>
      </c>
      <c r="O1397" t="str">
        <f t="shared" si="65"/>
        <v>FJERN</v>
      </c>
      <c r="P1397" s="1" t="s">
        <v>6365</v>
      </c>
    </row>
    <row r="1398" spans="1:16" ht="15" customHeight="1" x14ac:dyDescent="0.2">
      <c r="A1398" s="1" t="s">
        <v>4069</v>
      </c>
      <c r="B1398" s="1" t="s">
        <v>4070</v>
      </c>
      <c r="C1398" s="1" t="s">
        <v>9</v>
      </c>
      <c r="D1398" s="1" t="s">
        <v>3</v>
      </c>
      <c r="E1398" s="5">
        <v>32043</v>
      </c>
      <c r="F1398" s="5">
        <v>46155</v>
      </c>
      <c r="G1398" s="2">
        <v>122.69329999999999</v>
      </c>
      <c r="H1398" s="1" t="s">
        <v>10</v>
      </c>
      <c r="I1398" s="2">
        <v>1012117.28113891</v>
      </c>
      <c r="J1398" s="1" t="s">
        <v>76</v>
      </c>
      <c r="K1398" s="1" t="s">
        <v>4071</v>
      </c>
      <c r="L1398" s="2">
        <v>4592585</v>
      </c>
      <c r="M1398">
        <f t="shared" si="63"/>
        <v>563479409.18049991</v>
      </c>
      <c r="N1398">
        <f t="shared" si="64"/>
        <v>49865434.440752201</v>
      </c>
      <c r="O1398" t="str">
        <f t="shared" si="65"/>
        <v>BEHOLD</v>
      </c>
      <c r="P1398" s="1" t="s">
        <v>6366</v>
      </c>
    </row>
    <row r="1399" spans="1:16" ht="15" customHeight="1" x14ac:dyDescent="0.2">
      <c r="A1399" s="1" t="s">
        <v>4072</v>
      </c>
      <c r="B1399" s="1" t="s">
        <v>4073</v>
      </c>
      <c r="C1399" s="1" t="s">
        <v>9</v>
      </c>
      <c r="D1399" s="1" t="s">
        <v>3</v>
      </c>
      <c r="E1399" s="5">
        <v>39791</v>
      </c>
      <c r="F1399" s="5">
        <v>46155</v>
      </c>
      <c r="G1399" s="2">
        <v>231.577</v>
      </c>
      <c r="H1399" s="1" t="s">
        <v>10</v>
      </c>
      <c r="I1399" s="2">
        <v>26126.4445595775</v>
      </c>
      <c r="J1399" s="1" t="s">
        <v>289</v>
      </c>
      <c r="K1399" s="1" t="s">
        <v>4074</v>
      </c>
      <c r="L1399" s="2">
        <v>181361.2</v>
      </c>
      <c r="M1399">
        <f t="shared" si="63"/>
        <v>41999082.612400003</v>
      </c>
      <c r="N1399">
        <f t="shared" si="64"/>
        <v>3716732.9745486728</v>
      </c>
      <c r="O1399" t="str">
        <f t="shared" si="65"/>
        <v>BEHOLD</v>
      </c>
      <c r="P1399" s="1" t="s">
        <v>6367</v>
      </c>
    </row>
    <row r="1400" spans="1:16" ht="15" customHeight="1" x14ac:dyDescent="0.2">
      <c r="A1400" s="1" t="s">
        <v>4075</v>
      </c>
      <c r="B1400" s="1" t="s">
        <v>4076</v>
      </c>
      <c r="C1400" s="1" t="s">
        <v>9</v>
      </c>
      <c r="D1400" s="1" t="s">
        <v>3</v>
      </c>
      <c r="E1400" s="5">
        <v>44239</v>
      </c>
      <c r="F1400" s="5">
        <v>46155</v>
      </c>
      <c r="G1400" s="2">
        <v>6.2962899999999999</v>
      </c>
      <c r="H1400" s="1" t="s">
        <v>10</v>
      </c>
      <c r="I1400" s="2">
        <v>85.494896240000003</v>
      </c>
      <c r="J1400" s="1" t="s">
        <v>366</v>
      </c>
      <c r="K1400" s="1" t="s">
        <v>4077</v>
      </c>
      <c r="L1400" s="2">
        <v>89856.34</v>
      </c>
      <c r="M1400">
        <f t="shared" si="63"/>
        <v>565761.57497860002</v>
      </c>
      <c r="N1400">
        <f t="shared" si="64"/>
        <v>50067.396015805309</v>
      </c>
      <c r="O1400" t="str">
        <f t="shared" si="65"/>
        <v>FJERN</v>
      </c>
      <c r="P1400" s="1" t="s">
        <v>6368</v>
      </c>
    </row>
    <row r="1401" spans="1:16" ht="15" customHeight="1" x14ac:dyDescent="0.2">
      <c r="A1401" s="1" t="s">
        <v>4078</v>
      </c>
      <c r="B1401" s="1" t="s">
        <v>4079</v>
      </c>
      <c r="C1401" s="1" t="s">
        <v>9</v>
      </c>
      <c r="D1401" s="1" t="s">
        <v>3</v>
      </c>
      <c r="E1401" s="5">
        <v>44286</v>
      </c>
      <c r="F1401" s="5">
        <v>45247</v>
      </c>
      <c r="G1401" s="2">
        <v>4.7934020000000004</v>
      </c>
      <c r="H1401" s="1" t="s">
        <v>10</v>
      </c>
      <c r="I1401" s="2"/>
      <c r="J1401" s="1" t="s">
        <v>34</v>
      </c>
      <c r="K1401" s="1" t="s">
        <v>4080</v>
      </c>
      <c r="L1401" s="2">
        <v>40519.870000000003</v>
      </c>
      <c r="M1401">
        <f t="shared" si="63"/>
        <v>194228.02589774004</v>
      </c>
      <c r="N1401">
        <f t="shared" si="64"/>
        <v>17188.320875906196</v>
      </c>
      <c r="O1401" t="str">
        <f t="shared" si="65"/>
        <v>FJERN</v>
      </c>
      <c r="P1401" s="1" t="s">
        <v>6369</v>
      </c>
    </row>
    <row r="1402" spans="1:16" ht="15" customHeight="1" x14ac:dyDescent="0.2">
      <c r="A1402" s="1" t="s">
        <v>4081</v>
      </c>
      <c r="B1402" s="1" t="s">
        <v>4082</v>
      </c>
      <c r="C1402" s="1" t="s">
        <v>9</v>
      </c>
      <c r="D1402" s="1" t="s">
        <v>3</v>
      </c>
      <c r="E1402" s="5">
        <v>44236</v>
      </c>
      <c r="F1402" s="5">
        <v>46155</v>
      </c>
      <c r="G1402" s="2">
        <v>35.09019</v>
      </c>
      <c r="H1402" s="1" t="s">
        <v>10</v>
      </c>
      <c r="I1402" s="2">
        <v>464.67988380000003</v>
      </c>
      <c r="J1402" s="1" t="s">
        <v>122</v>
      </c>
      <c r="K1402" s="1" t="s">
        <v>4083</v>
      </c>
      <c r="L1402" s="2">
        <v>22733.94</v>
      </c>
      <c r="M1402">
        <f t="shared" si="63"/>
        <v>797738.2740486</v>
      </c>
      <c r="N1402">
        <f t="shared" si="64"/>
        <v>70596.307437929194</v>
      </c>
      <c r="O1402" t="str">
        <f t="shared" si="65"/>
        <v>FJERN</v>
      </c>
      <c r="P1402" s="1" t="s">
        <v>6370</v>
      </c>
    </row>
    <row r="1403" spans="1:16" ht="15" customHeight="1" x14ac:dyDescent="0.2">
      <c r="A1403" s="1" t="s">
        <v>4084</v>
      </c>
      <c r="B1403" s="1" t="s">
        <v>4085</v>
      </c>
      <c r="C1403" s="1" t="s">
        <v>9</v>
      </c>
      <c r="D1403" s="1" t="s">
        <v>3</v>
      </c>
      <c r="E1403" s="5">
        <v>42445</v>
      </c>
      <c r="F1403" s="5">
        <v>46155</v>
      </c>
      <c r="G1403" s="2">
        <v>115.6328</v>
      </c>
      <c r="H1403" s="1" t="s">
        <v>10</v>
      </c>
      <c r="I1403" s="2">
        <v>19388.573323740598</v>
      </c>
      <c r="J1403" s="1" t="s">
        <v>64</v>
      </c>
      <c r="K1403" s="1" t="s">
        <v>4086</v>
      </c>
      <c r="L1403" s="2">
        <v>147708</v>
      </c>
      <c r="M1403">
        <f t="shared" si="63"/>
        <v>17079889.622400001</v>
      </c>
      <c r="N1403">
        <f t="shared" si="64"/>
        <v>1511494.6568495575</v>
      </c>
      <c r="O1403" t="str">
        <f t="shared" si="65"/>
        <v>BEHOLD</v>
      </c>
      <c r="P1403" s="1" t="s">
        <v>6371</v>
      </c>
    </row>
    <row r="1404" spans="1:16" ht="15" customHeight="1" x14ac:dyDescent="0.2">
      <c r="A1404" s="1" t="s">
        <v>4087</v>
      </c>
      <c r="B1404" s="1" t="s">
        <v>4088</v>
      </c>
      <c r="C1404" s="1" t="s">
        <v>9</v>
      </c>
      <c r="D1404" s="1" t="s">
        <v>3</v>
      </c>
      <c r="E1404" s="5">
        <v>44300</v>
      </c>
      <c r="F1404" s="5">
        <v>45407</v>
      </c>
      <c r="G1404" s="2">
        <v>2.3474279999999998</v>
      </c>
      <c r="H1404" s="1" t="s">
        <v>10</v>
      </c>
      <c r="I1404" s="2">
        <v>25.611466979999999</v>
      </c>
      <c r="J1404" s="1" t="s">
        <v>236</v>
      </c>
      <c r="K1404" s="1" t="s">
        <v>4089</v>
      </c>
      <c r="L1404" s="2">
        <v>441827.4</v>
      </c>
      <c r="M1404">
        <f t="shared" si="63"/>
        <v>1037158.0099272</v>
      </c>
      <c r="N1404">
        <f t="shared" si="64"/>
        <v>91783.894683823004</v>
      </c>
      <c r="O1404" t="str">
        <f t="shared" si="65"/>
        <v>FJERN</v>
      </c>
      <c r="P1404" s="1" t="s">
        <v>6372</v>
      </c>
    </row>
    <row r="1405" spans="1:16" ht="15" customHeight="1" x14ac:dyDescent="0.2">
      <c r="A1405" s="1" t="s">
        <v>4090</v>
      </c>
      <c r="B1405" s="1" t="s">
        <v>4091</v>
      </c>
      <c r="C1405" s="1" t="s">
        <v>9</v>
      </c>
      <c r="D1405" s="1" t="s">
        <v>3</v>
      </c>
      <c r="E1405" s="5">
        <v>42159</v>
      </c>
      <c r="F1405" s="5">
        <v>46155</v>
      </c>
      <c r="G1405" s="2">
        <v>7.4809109999999999</v>
      </c>
      <c r="H1405" s="1" t="s">
        <v>10</v>
      </c>
      <c r="I1405" s="2">
        <v>159.98568520000001</v>
      </c>
      <c r="J1405" s="1" t="s">
        <v>167</v>
      </c>
      <c r="K1405" s="1" t="s">
        <v>4092</v>
      </c>
      <c r="L1405" s="2">
        <v>156669.9</v>
      </c>
      <c r="M1405">
        <f t="shared" si="63"/>
        <v>1172033.5782788999</v>
      </c>
      <c r="N1405">
        <f t="shared" si="64"/>
        <v>103719.78568839822</v>
      </c>
      <c r="O1405" t="str">
        <f t="shared" si="65"/>
        <v>BEHOLD</v>
      </c>
      <c r="P1405" s="1" t="s">
        <v>6373</v>
      </c>
    </row>
    <row r="1406" spans="1:16" ht="15" customHeight="1" x14ac:dyDescent="0.2">
      <c r="A1406" s="1" t="s">
        <v>4093</v>
      </c>
      <c r="B1406" s="1" t="s">
        <v>4094</v>
      </c>
      <c r="C1406" s="1" t="s">
        <v>2</v>
      </c>
      <c r="D1406" s="1" t="s">
        <v>3</v>
      </c>
      <c r="E1406" s="5">
        <v>32106</v>
      </c>
      <c r="F1406" s="5">
        <v>45993</v>
      </c>
      <c r="G1406" s="2">
        <v>171.65809999999999</v>
      </c>
      <c r="H1406" s="1" t="s">
        <v>4</v>
      </c>
      <c r="I1406" s="2">
        <v>555.28668000000005</v>
      </c>
      <c r="J1406" s="1" t="s">
        <v>15</v>
      </c>
      <c r="K1406" s="1" t="s">
        <v>4095</v>
      </c>
      <c r="L1406" s="2">
        <v>995.05020000000002</v>
      </c>
      <c r="M1406">
        <f t="shared" si="63"/>
        <v>170808.42673661999</v>
      </c>
      <c r="N1406">
        <f t="shared" si="64"/>
        <v>22927.30560223087</v>
      </c>
      <c r="O1406" t="str">
        <f t="shared" si="65"/>
        <v>FJERN</v>
      </c>
      <c r="P1406" s="1" t="s">
        <v>6374</v>
      </c>
    </row>
    <row r="1407" spans="1:16" ht="15" customHeight="1" x14ac:dyDescent="0.2">
      <c r="A1407" s="1" t="s">
        <v>4096</v>
      </c>
      <c r="B1407" s="1" t="s">
        <v>4097</v>
      </c>
      <c r="C1407" s="1" t="s">
        <v>9</v>
      </c>
      <c r="D1407" s="1" t="s">
        <v>3</v>
      </c>
      <c r="E1407" s="5">
        <v>44154</v>
      </c>
      <c r="F1407" s="5">
        <v>46155</v>
      </c>
      <c r="G1407" s="2">
        <v>1.2694799999999999</v>
      </c>
      <c r="H1407" s="1" t="s">
        <v>10</v>
      </c>
      <c r="I1407" s="2">
        <v>60.388676175999201</v>
      </c>
      <c r="J1407" s="1" t="s">
        <v>34</v>
      </c>
      <c r="K1407" s="1" t="s">
        <v>4098</v>
      </c>
      <c r="L1407" s="2">
        <v>65456.14</v>
      </c>
      <c r="M1407">
        <f t="shared" si="63"/>
        <v>83095.260607199991</v>
      </c>
      <c r="N1407">
        <f t="shared" si="64"/>
        <v>7353.562885592919</v>
      </c>
      <c r="O1407" t="str">
        <f t="shared" si="65"/>
        <v>FJERN</v>
      </c>
      <c r="P1407" s="1" t="s">
        <v>6375</v>
      </c>
    </row>
    <row r="1408" spans="1:16" ht="15" customHeight="1" x14ac:dyDescent="0.2">
      <c r="A1408" s="1" t="s">
        <v>4099</v>
      </c>
      <c r="B1408" s="1" t="s">
        <v>4100</v>
      </c>
      <c r="C1408" s="1" t="s">
        <v>9</v>
      </c>
      <c r="D1408" s="1" t="s">
        <v>3</v>
      </c>
      <c r="E1408" s="5">
        <v>35816</v>
      </c>
      <c r="F1408" s="5">
        <v>46155</v>
      </c>
      <c r="G1408" s="2">
        <v>60.065370000000001</v>
      </c>
      <c r="H1408" s="1" t="s">
        <v>10</v>
      </c>
      <c r="I1408" s="2">
        <v>20331.271739100001</v>
      </c>
      <c r="J1408" s="1" t="s">
        <v>167</v>
      </c>
      <c r="K1408" s="1" t="s">
        <v>4101</v>
      </c>
      <c r="L1408" s="2">
        <v>579284.69999999995</v>
      </c>
      <c r="M1408">
        <f t="shared" si="63"/>
        <v>34794949.840838999</v>
      </c>
      <c r="N1408">
        <f t="shared" si="64"/>
        <v>3079199.1009592032</v>
      </c>
      <c r="O1408" t="str">
        <f t="shared" si="65"/>
        <v>BEHOLD</v>
      </c>
      <c r="P1408" s="1" t="s">
        <v>6376</v>
      </c>
    </row>
    <row r="1409" spans="1:16" ht="15" customHeight="1" x14ac:dyDescent="0.2">
      <c r="A1409" s="1" t="s">
        <v>4102</v>
      </c>
      <c r="B1409" s="1" t="s">
        <v>4103</v>
      </c>
      <c r="C1409" s="1" t="s">
        <v>9</v>
      </c>
      <c r="D1409" s="1" t="s">
        <v>3</v>
      </c>
      <c r="E1409" s="5">
        <v>44350</v>
      </c>
      <c r="F1409" s="5">
        <v>46155</v>
      </c>
      <c r="G1409" s="2">
        <v>7.262175</v>
      </c>
      <c r="H1409" s="1" t="s">
        <v>10</v>
      </c>
      <c r="I1409" s="2">
        <v>33.629992919999999</v>
      </c>
      <c r="J1409" s="1" t="s">
        <v>236</v>
      </c>
      <c r="K1409" s="1" t="s">
        <v>4104</v>
      </c>
      <c r="L1409" s="2">
        <v>7282.2030000000004</v>
      </c>
      <c r="M1409">
        <f t="shared" si="63"/>
        <v>52884.632571525006</v>
      </c>
      <c r="N1409">
        <f t="shared" si="64"/>
        <v>4680.0559797809738</v>
      </c>
      <c r="O1409" t="str">
        <f t="shared" si="65"/>
        <v>FJERN</v>
      </c>
      <c r="P1409" s="1"/>
    </row>
    <row r="1410" spans="1:16" ht="15" customHeight="1" x14ac:dyDescent="0.2">
      <c r="A1410" s="1" t="s">
        <v>4105</v>
      </c>
      <c r="B1410" s="1" t="s">
        <v>4106</v>
      </c>
      <c r="C1410" s="1" t="s">
        <v>9</v>
      </c>
      <c r="D1410" s="1" t="s">
        <v>3</v>
      </c>
      <c r="E1410" s="5">
        <v>37137</v>
      </c>
      <c r="F1410" s="5">
        <v>46155</v>
      </c>
      <c r="G1410" s="2">
        <v>59.459499999999998</v>
      </c>
      <c r="H1410" s="1" t="s">
        <v>10</v>
      </c>
      <c r="I1410" s="2">
        <v>42536.500247999997</v>
      </c>
      <c r="J1410" s="1" t="s">
        <v>23</v>
      </c>
      <c r="K1410" s="1" t="s">
        <v>4107</v>
      </c>
      <c r="L1410" s="2">
        <v>174586</v>
      </c>
      <c r="M1410">
        <f t="shared" si="63"/>
        <v>10380796.266999999</v>
      </c>
      <c r="N1410">
        <f t="shared" si="64"/>
        <v>918654.53690265468</v>
      </c>
      <c r="O1410" t="str">
        <f t="shared" si="65"/>
        <v>BEHOLD</v>
      </c>
      <c r="P1410" s="1" t="s">
        <v>6377</v>
      </c>
    </row>
    <row r="1411" spans="1:16" ht="15" customHeight="1" x14ac:dyDescent="0.2">
      <c r="A1411" s="1" t="s">
        <v>4108</v>
      </c>
      <c r="B1411" s="1" t="s">
        <v>4109</v>
      </c>
      <c r="C1411" s="1" t="s">
        <v>9</v>
      </c>
      <c r="D1411" s="1" t="s">
        <v>3</v>
      </c>
      <c r="E1411" s="5">
        <v>44091</v>
      </c>
      <c r="F1411" s="5">
        <v>45821</v>
      </c>
      <c r="G1411" s="2">
        <v>20.510069999999999</v>
      </c>
      <c r="H1411" s="1" t="s">
        <v>10</v>
      </c>
      <c r="I1411" s="2">
        <v>530.66633200000001</v>
      </c>
      <c r="J1411" s="1" t="s">
        <v>236</v>
      </c>
      <c r="K1411" s="1" t="s">
        <v>4110</v>
      </c>
      <c r="L1411" s="2">
        <v>98449.41</v>
      </c>
      <c r="M1411">
        <f t="shared" ref="M1411:M1474" si="66">IF(OR(G1411="",L1411=""),"",G1411*L1411)</f>
        <v>2019204.2905587</v>
      </c>
      <c r="N1411">
        <f t="shared" ref="N1411:N1474" si="67">IF(M1411="","",IF(H1411="DKK",M1411/7.45,IF(H1411="SEK",M1411/11.3,M1411)))</f>
        <v>178690.64518218584</v>
      </c>
      <c r="O1411" t="str">
        <f t="shared" ref="O1411:O1474" si="68">IF(AND(E1411&lt;=DATE(2024,12,31),F1411&gt;=DATE(2010,1,1),D1411="SHARE",N1411&gt;=100000),"BEHOLD","FJERN")</f>
        <v>BEHOLD</v>
      </c>
      <c r="P1411" s="1" t="s">
        <v>6378</v>
      </c>
    </row>
    <row r="1412" spans="1:16" ht="15" customHeight="1" x14ac:dyDescent="0.2">
      <c r="A1412" s="1" t="s">
        <v>4111</v>
      </c>
      <c r="B1412" s="1" t="s">
        <v>4112</v>
      </c>
      <c r="C1412" s="1" t="s">
        <v>9</v>
      </c>
      <c r="D1412" s="1" t="s">
        <v>3</v>
      </c>
      <c r="E1412" s="5">
        <v>44256</v>
      </c>
      <c r="F1412" s="5">
        <v>46155</v>
      </c>
      <c r="G1412" s="2">
        <v>1.2097070000000001</v>
      </c>
      <c r="H1412" s="1" t="s">
        <v>10</v>
      </c>
      <c r="I1412" s="2">
        <v>5.2110301897999998</v>
      </c>
      <c r="J1412" s="1" t="s">
        <v>366</v>
      </c>
      <c r="K1412" s="1" t="s">
        <v>4113</v>
      </c>
      <c r="L1412" s="2">
        <v>1540153</v>
      </c>
      <c r="M1412">
        <f t="shared" si="66"/>
        <v>1863133.8651710001</v>
      </c>
      <c r="N1412">
        <f t="shared" si="67"/>
        <v>164879.10311247787</v>
      </c>
      <c r="O1412" t="str">
        <f t="shared" si="68"/>
        <v>BEHOLD</v>
      </c>
      <c r="P1412" s="1" t="s">
        <v>6379</v>
      </c>
    </row>
    <row r="1413" spans="1:16" ht="15" customHeight="1" x14ac:dyDescent="0.2">
      <c r="A1413" s="1" t="s">
        <v>4114</v>
      </c>
      <c r="B1413" s="1" t="s">
        <v>4115</v>
      </c>
      <c r="C1413" s="1" t="s">
        <v>9</v>
      </c>
      <c r="D1413" s="1" t="s">
        <v>3</v>
      </c>
      <c r="E1413" s="5">
        <v>44470</v>
      </c>
      <c r="F1413" s="5">
        <v>46155</v>
      </c>
      <c r="G1413" s="2">
        <v>13.738799999999999</v>
      </c>
      <c r="H1413" s="1" t="s">
        <v>10</v>
      </c>
      <c r="I1413" s="2">
        <v>144.23998358</v>
      </c>
      <c r="J1413" s="1" t="s">
        <v>236</v>
      </c>
      <c r="K1413" s="1" t="s">
        <v>4116</v>
      </c>
      <c r="L1413" s="2">
        <v>20608.14</v>
      </c>
      <c r="M1413">
        <f t="shared" si="66"/>
        <v>283131.113832</v>
      </c>
      <c r="N1413">
        <f t="shared" si="67"/>
        <v>25055.850781592919</v>
      </c>
      <c r="O1413" t="str">
        <f t="shared" si="68"/>
        <v>FJERN</v>
      </c>
      <c r="P1413" s="1" t="s">
        <v>6380</v>
      </c>
    </row>
    <row r="1414" spans="1:16" ht="15" customHeight="1" x14ac:dyDescent="0.2">
      <c r="A1414" s="1" t="s">
        <v>4117</v>
      </c>
      <c r="B1414" s="1" t="s">
        <v>4118</v>
      </c>
      <c r="C1414" s="1" t="s">
        <v>9</v>
      </c>
      <c r="D1414" s="1" t="s">
        <v>3</v>
      </c>
      <c r="E1414" s="5">
        <v>44266</v>
      </c>
      <c r="F1414" s="5">
        <v>46101</v>
      </c>
      <c r="G1414" s="2">
        <v>65.044870000000003</v>
      </c>
      <c r="H1414" s="1" t="s">
        <v>10</v>
      </c>
      <c r="I1414" s="2">
        <v>5526.8044149999996</v>
      </c>
      <c r="J1414" s="1" t="s">
        <v>328</v>
      </c>
      <c r="K1414" s="1" t="s">
        <v>4119</v>
      </c>
      <c r="L1414" s="2">
        <v>69670.38</v>
      </c>
      <c r="M1414">
        <f t="shared" si="66"/>
        <v>4531700.8099506004</v>
      </c>
      <c r="N1414">
        <f t="shared" si="67"/>
        <v>401035.46990713273</v>
      </c>
      <c r="O1414" t="str">
        <f t="shared" si="68"/>
        <v>BEHOLD</v>
      </c>
      <c r="P1414" s="1" t="s">
        <v>6381</v>
      </c>
    </row>
    <row r="1415" spans="1:16" ht="15" customHeight="1" x14ac:dyDescent="0.2">
      <c r="A1415" s="1" t="s">
        <v>4120</v>
      </c>
      <c r="B1415" s="1" t="s">
        <v>4121</v>
      </c>
      <c r="C1415" s="1" t="s">
        <v>9</v>
      </c>
      <c r="D1415" s="1" t="s">
        <v>3</v>
      </c>
      <c r="E1415" s="5">
        <v>33855</v>
      </c>
      <c r="F1415" s="5">
        <v>46155</v>
      </c>
      <c r="G1415" s="2">
        <v>37.34393</v>
      </c>
      <c r="H1415" s="1" t="s">
        <v>10</v>
      </c>
      <c r="I1415" s="2">
        <v>16647.503543999999</v>
      </c>
      <c r="J1415" s="1" t="s">
        <v>64</v>
      </c>
      <c r="K1415" s="1" t="s">
        <v>4122</v>
      </c>
      <c r="L1415" s="2">
        <v>397313.9</v>
      </c>
      <c r="M1415">
        <f t="shared" si="66"/>
        <v>14837262.469627</v>
      </c>
      <c r="N1415">
        <f t="shared" si="67"/>
        <v>1313032.0769581415</v>
      </c>
      <c r="O1415" t="str">
        <f t="shared" si="68"/>
        <v>BEHOLD</v>
      </c>
      <c r="P1415" s="1" t="s">
        <v>6382</v>
      </c>
    </row>
    <row r="1416" spans="1:16" ht="15" customHeight="1" x14ac:dyDescent="0.2">
      <c r="A1416" s="1" t="s">
        <v>4123</v>
      </c>
      <c r="B1416" s="1" t="s">
        <v>4124</v>
      </c>
      <c r="C1416" s="1" t="s">
        <v>9</v>
      </c>
      <c r="D1416" s="1" t="s">
        <v>3</v>
      </c>
      <c r="E1416" s="5">
        <v>35937</v>
      </c>
      <c r="F1416" s="5">
        <v>46155</v>
      </c>
      <c r="G1416" s="2">
        <v>59.748550000000002</v>
      </c>
      <c r="H1416" s="1" t="s">
        <v>10</v>
      </c>
      <c r="I1416" s="2">
        <v>2916.5881515999999</v>
      </c>
      <c r="J1416" s="1" t="s">
        <v>236</v>
      </c>
      <c r="K1416" s="1" t="s">
        <v>4125</v>
      </c>
      <c r="L1416" s="2">
        <v>43241.15</v>
      </c>
      <c r="M1416">
        <f t="shared" si="66"/>
        <v>2583596.0128325</v>
      </c>
      <c r="N1416">
        <f t="shared" si="67"/>
        <v>228636.8152949115</v>
      </c>
      <c r="O1416" t="str">
        <f t="shared" si="68"/>
        <v>BEHOLD</v>
      </c>
      <c r="P1416" s="1" t="s">
        <v>6383</v>
      </c>
    </row>
    <row r="1417" spans="1:16" ht="15" customHeight="1" x14ac:dyDescent="0.2">
      <c r="A1417" s="1" t="s">
        <v>4126</v>
      </c>
      <c r="B1417" s="1" t="s">
        <v>4127</v>
      </c>
      <c r="C1417" s="1" t="s">
        <v>9</v>
      </c>
      <c r="D1417" s="1" t="s">
        <v>3</v>
      </c>
      <c r="E1417" s="5">
        <v>44127</v>
      </c>
      <c r="F1417" s="5">
        <v>46155</v>
      </c>
      <c r="G1417" s="2">
        <v>5.6710010000000004</v>
      </c>
      <c r="H1417" s="1" t="s">
        <v>10</v>
      </c>
      <c r="I1417" s="2">
        <v>142.69765949999999</v>
      </c>
      <c r="J1417" s="1" t="s">
        <v>289</v>
      </c>
      <c r="K1417" s="1" t="s">
        <v>4128</v>
      </c>
      <c r="L1417" s="2">
        <v>26243.86</v>
      </c>
      <c r="M1417">
        <f t="shared" si="66"/>
        <v>148828.95630386</v>
      </c>
      <c r="N1417">
        <f t="shared" si="67"/>
        <v>13170.704097686725</v>
      </c>
      <c r="O1417" t="str">
        <f t="shared" si="68"/>
        <v>FJERN</v>
      </c>
      <c r="P1417" s="1"/>
    </row>
    <row r="1418" spans="1:16" ht="15" customHeight="1" x14ac:dyDescent="0.2">
      <c r="A1418" s="1" t="s">
        <v>4129</v>
      </c>
      <c r="B1418" s="1" t="s">
        <v>4130</v>
      </c>
      <c r="C1418" s="1" t="s">
        <v>9</v>
      </c>
      <c r="D1418" s="1" t="s">
        <v>3</v>
      </c>
      <c r="E1418" s="5">
        <v>44181</v>
      </c>
      <c r="F1418" s="5">
        <v>45390</v>
      </c>
      <c r="G1418" s="2">
        <v>26.194099999999999</v>
      </c>
      <c r="H1418" s="1" t="s">
        <v>10</v>
      </c>
      <c r="I1418" s="2">
        <v>886.82963819999998</v>
      </c>
      <c r="J1418" s="1" t="s">
        <v>51</v>
      </c>
      <c r="K1418" s="1" t="s">
        <v>4131</v>
      </c>
      <c r="L1418" s="2">
        <v>45350.95</v>
      </c>
      <c r="M1418">
        <f t="shared" si="66"/>
        <v>1187927.3193949999</v>
      </c>
      <c r="N1418">
        <f t="shared" si="67"/>
        <v>105126.31145088494</v>
      </c>
      <c r="O1418" t="str">
        <f t="shared" si="68"/>
        <v>BEHOLD</v>
      </c>
      <c r="P1418" s="1" t="s">
        <v>6384</v>
      </c>
    </row>
    <row r="1419" spans="1:16" ht="15" customHeight="1" x14ac:dyDescent="0.2">
      <c r="A1419" s="1" t="s">
        <v>4132</v>
      </c>
      <c r="B1419" s="1" t="s">
        <v>4133</v>
      </c>
      <c r="C1419" s="1" t="s">
        <v>2</v>
      </c>
      <c r="D1419" s="1" t="s">
        <v>3</v>
      </c>
      <c r="E1419" s="5">
        <v>44181</v>
      </c>
      <c r="F1419" s="5">
        <v>45835</v>
      </c>
      <c r="G1419" s="2">
        <v>5.2357529999999999</v>
      </c>
      <c r="H1419" s="1" t="s">
        <v>4</v>
      </c>
      <c r="I1419" s="2">
        <v>49.302189599999998</v>
      </c>
      <c r="J1419" s="1" t="s">
        <v>236</v>
      </c>
      <c r="K1419" s="1" t="s">
        <v>4134</v>
      </c>
      <c r="L1419" s="2">
        <v>14953.83</v>
      </c>
      <c r="M1419">
        <f t="shared" si="66"/>
        <v>78294.560283989995</v>
      </c>
      <c r="N1419">
        <f t="shared" si="67"/>
        <v>10509.33695087114</v>
      </c>
      <c r="O1419" t="str">
        <f t="shared" si="68"/>
        <v>FJERN</v>
      </c>
      <c r="P1419" s="1"/>
    </row>
    <row r="1420" spans="1:16" ht="15" customHeight="1" x14ac:dyDescent="0.2">
      <c r="A1420" s="1" t="s">
        <v>4135</v>
      </c>
      <c r="B1420" s="1" t="s">
        <v>4136</v>
      </c>
      <c r="C1420" s="1" t="s">
        <v>9</v>
      </c>
      <c r="D1420" s="1" t="s">
        <v>3</v>
      </c>
      <c r="E1420" s="5">
        <v>41655</v>
      </c>
      <c r="F1420" s="5">
        <v>45978</v>
      </c>
      <c r="G1420" s="2">
        <v>11.495839999999999</v>
      </c>
      <c r="H1420" s="1" t="s">
        <v>10</v>
      </c>
      <c r="I1420" s="2">
        <v>139.09220207999999</v>
      </c>
      <c r="J1420" s="1" t="s">
        <v>236</v>
      </c>
      <c r="K1420" s="1" t="s">
        <v>4137</v>
      </c>
      <c r="L1420" s="2">
        <v>36892.839999999997</v>
      </c>
      <c r="M1420">
        <f t="shared" si="66"/>
        <v>424114.18578559993</v>
      </c>
      <c r="N1420">
        <f t="shared" si="67"/>
        <v>37532.228830584063</v>
      </c>
      <c r="O1420" t="str">
        <f t="shared" si="68"/>
        <v>FJERN</v>
      </c>
      <c r="P1420" s="1" t="s">
        <v>6385</v>
      </c>
    </row>
    <row r="1421" spans="1:16" ht="15" customHeight="1" x14ac:dyDescent="0.2">
      <c r="A1421" s="1" t="s">
        <v>4138</v>
      </c>
      <c r="B1421" s="1" t="s">
        <v>4139</v>
      </c>
      <c r="C1421" s="1" t="s">
        <v>2</v>
      </c>
      <c r="D1421" s="1" t="s">
        <v>3</v>
      </c>
      <c r="E1421" s="5">
        <v>44377</v>
      </c>
      <c r="F1421" s="5">
        <v>45309</v>
      </c>
      <c r="G1421" s="2">
        <v>2.5583049999999998</v>
      </c>
      <c r="H1421" s="1" t="s">
        <v>4</v>
      </c>
      <c r="I1421" s="2">
        <v>87.149055000000004</v>
      </c>
      <c r="J1421" s="1" t="s">
        <v>236</v>
      </c>
      <c r="K1421" s="1" t="s">
        <v>4140</v>
      </c>
      <c r="L1421" s="2">
        <v>36351.58</v>
      </c>
      <c r="M1421">
        <f t="shared" si="66"/>
        <v>92998.428871900003</v>
      </c>
      <c r="N1421">
        <f t="shared" si="67"/>
        <v>12483.010586832215</v>
      </c>
      <c r="O1421" t="str">
        <f t="shared" si="68"/>
        <v>FJERN</v>
      </c>
      <c r="P1421" s="1"/>
    </row>
    <row r="1422" spans="1:16" ht="15" customHeight="1" x14ac:dyDescent="0.2">
      <c r="A1422" s="1" t="s">
        <v>4141</v>
      </c>
      <c r="B1422" s="1" t="s">
        <v>4142</v>
      </c>
      <c r="C1422" s="1" t="s">
        <v>9</v>
      </c>
      <c r="D1422" s="1" t="s">
        <v>3</v>
      </c>
      <c r="E1422" s="5">
        <v>44361</v>
      </c>
      <c r="F1422" s="5">
        <v>45317</v>
      </c>
      <c r="G1422" s="2">
        <v>10.418799999999999</v>
      </c>
      <c r="H1422" s="1" t="s">
        <v>10</v>
      </c>
      <c r="I1422" s="2"/>
      <c r="J1422" s="1" t="s">
        <v>222</v>
      </c>
      <c r="K1422" s="1" t="s">
        <v>4143</v>
      </c>
      <c r="L1422" s="2">
        <v>5789.1109999999999</v>
      </c>
      <c r="M1422">
        <f t="shared" si="66"/>
        <v>60315.589686799991</v>
      </c>
      <c r="N1422">
        <f t="shared" si="67"/>
        <v>5337.6628041415916</v>
      </c>
      <c r="O1422" t="str">
        <f t="shared" si="68"/>
        <v>FJERN</v>
      </c>
      <c r="P1422" s="1" t="s">
        <v>6386</v>
      </c>
    </row>
    <row r="1423" spans="1:16" ht="15" customHeight="1" x14ac:dyDescent="0.2">
      <c r="A1423" s="1" t="s">
        <v>4144</v>
      </c>
      <c r="B1423" s="1" t="s">
        <v>4145</v>
      </c>
      <c r="C1423" s="1" t="s">
        <v>9</v>
      </c>
      <c r="D1423" s="1" t="s">
        <v>3</v>
      </c>
      <c r="E1423" s="5">
        <v>43661</v>
      </c>
      <c r="F1423" s="5">
        <v>46155</v>
      </c>
      <c r="G1423" s="2">
        <v>40.207599999999999</v>
      </c>
      <c r="H1423" s="1" t="s">
        <v>10</v>
      </c>
      <c r="I1423" s="2">
        <v>687.8009538</v>
      </c>
      <c r="J1423" s="1" t="s">
        <v>61</v>
      </c>
      <c r="K1423" s="1" t="s">
        <v>4146</v>
      </c>
      <c r="L1423" s="2">
        <v>1937.4169999999999</v>
      </c>
      <c r="M1423">
        <f t="shared" si="66"/>
        <v>77898.887769199995</v>
      </c>
      <c r="N1423">
        <f t="shared" si="67"/>
        <v>6893.706882230088</v>
      </c>
      <c r="O1423" t="str">
        <f t="shared" si="68"/>
        <v>FJERN</v>
      </c>
      <c r="P1423" s="1"/>
    </row>
    <row r="1424" spans="1:16" ht="15" customHeight="1" x14ac:dyDescent="0.2">
      <c r="A1424" s="1" t="s">
        <v>4147</v>
      </c>
      <c r="B1424" s="1" t="s">
        <v>4148</v>
      </c>
      <c r="C1424" s="1" t="s">
        <v>9</v>
      </c>
      <c r="D1424" s="1" t="s">
        <v>3</v>
      </c>
      <c r="E1424" s="5">
        <v>43811</v>
      </c>
      <c r="F1424" s="5">
        <v>46155</v>
      </c>
      <c r="G1424" s="2">
        <v>15.58469</v>
      </c>
      <c r="H1424" s="1" t="s">
        <v>10</v>
      </c>
      <c r="I1424" s="2">
        <v>4.5819296400000002</v>
      </c>
      <c r="J1424" s="1" t="s">
        <v>236</v>
      </c>
      <c r="K1424" s="1" t="s">
        <v>4149</v>
      </c>
      <c r="L1424" s="2">
        <v>26802.74</v>
      </c>
      <c r="M1424">
        <f t="shared" si="66"/>
        <v>417712.39405060001</v>
      </c>
      <c r="N1424">
        <f t="shared" si="67"/>
        <v>36965.698588548672</v>
      </c>
      <c r="O1424" t="str">
        <f t="shared" si="68"/>
        <v>FJERN</v>
      </c>
      <c r="P1424" s="1" t="s">
        <v>6387</v>
      </c>
    </row>
    <row r="1425" spans="1:16" ht="15" customHeight="1" x14ac:dyDescent="0.2">
      <c r="A1425" s="1" t="s">
        <v>4150</v>
      </c>
      <c r="B1425" s="1" t="s">
        <v>4151</v>
      </c>
      <c r="C1425" s="1" t="s">
        <v>2</v>
      </c>
      <c r="D1425" s="1" t="s">
        <v>3</v>
      </c>
      <c r="E1425" s="5">
        <v>43984</v>
      </c>
      <c r="F1425" s="5">
        <v>45721</v>
      </c>
      <c r="G1425" s="2">
        <v>21.29542</v>
      </c>
      <c r="H1425" s="1" t="s">
        <v>4</v>
      </c>
      <c r="I1425" s="2">
        <v>541.72872510000002</v>
      </c>
      <c r="J1425" s="1" t="s">
        <v>236</v>
      </c>
      <c r="K1425" s="1" t="s">
        <v>4152</v>
      </c>
      <c r="L1425" s="2">
        <v>44719.23</v>
      </c>
      <c r="M1425">
        <f t="shared" si="66"/>
        <v>952314.78492660006</v>
      </c>
      <c r="N1425">
        <f t="shared" si="67"/>
        <v>127827.48790961075</v>
      </c>
      <c r="O1425" t="str">
        <f t="shared" si="68"/>
        <v>BEHOLD</v>
      </c>
      <c r="P1425" s="1" t="s">
        <v>6388</v>
      </c>
    </row>
    <row r="1426" spans="1:16" ht="15" customHeight="1" x14ac:dyDescent="0.2">
      <c r="A1426" s="1" t="s">
        <v>4153</v>
      </c>
      <c r="B1426" s="1" t="s">
        <v>4154</v>
      </c>
      <c r="C1426" s="1" t="s">
        <v>9</v>
      </c>
      <c r="D1426" s="1" t="s">
        <v>3</v>
      </c>
      <c r="E1426" s="5">
        <v>44540</v>
      </c>
      <c r="F1426" s="5">
        <v>46155</v>
      </c>
      <c r="G1426" s="2">
        <v>8.2737700000000007</v>
      </c>
      <c r="H1426" s="1" t="s">
        <v>10</v>
      </c>
      <c r="I1426" s="2">
        <v>680.59133999999995</v>
      </c>
      <c r="J1426" s="1" t="s">
        <v>61</v>
      </c>
      <c r="K1426" s="1" t="s">
        <v>4155</v>
      </c>
      <c r="L1426" s="2">
        <v>21364.959999999999</v>
      </c>
      <c r="M1426">
        <f t="shared" si="66"/>
        <v>176768.76509920001</v>
      </c>
      <c r="N1426">
        <f t="shared" si="67"/>
        <v>15643.25354860177</v>
      </c>
      <c r="O1426" t="str">
        <f t="shared" si="68"/>
        <v>FJERN</v>
      </c>
      <c r="P1426" s="1" t="s">
        <v>6389</v>
      </c>
    </row>
    <row r="1427" spans="1:16" ht="15" customHeight="1" x14ac:dyDescent="0.2">
      <c r="A1427" s="1" t="s">
        <v>4156</v>
      </c>
      <c r="B1427" s="1" t="s">
        <v>4157</v>
      </c>
      <c r="C1427" s="1" t="s">
        <v>2</v>
      </c>
      <c r="D1427" s="1" t="s">
        <v>3</v>
      </c>
      <c r="E1427" s="5">
        <v>45020</v>
      </c>
      <c r="F1427" s="5">
        <v>46155</v>
      </c>
      <c r="G1427" s="2">
        <v>324.57749999999999</v>
      </c>
      <c r="H1427" s="1" t="s">
        <v>4</v>
      </c>
      <c r="I1427" s="2">
        <v>8452.3440599999994</v>
      </c>
      <c r="J1427" s="1" t="s">
        <v>366</v>
      </c>
      <c r="K1427" s="1" t="s">
        <v>4158</v>
      </c>
      <c r="L1427" s="2">
        <v>36992.33</v>
      </c>
      <c r="M1427">
        <f t="shared" si="66"/>
        <v>12006877.990575001</v>
      </c>
      <c r="N1427">
        <f t="shared" si="67"/>
        <v>1611661.4752449666</v>
      </c>
      <c r="O1427" t="str">
        <f t="shared" si="68"/>
        <v>BEHOLD</v>
      </c>
      <c r="P1427" s="1" t="s">
        <v>6390</v>
      </c>
    </row>
    <row r="1428" spans="1:16" ht="15" customHeight="1" x14ac:dyDescent="0.2">
      <c r="A1428" s="1" t="s">
        <v>4159</v>
      </c>
      <c r="B1428" s="1" t="s">
        <v>4160</v>
      </c>
      <c r="C1428" s="1" t="s">
        <v>9</v>
      </c>
      <c r="D1428" s="1" t="s">
        <v>3</v>
      </c>
      <c r="E1428" s="5">
        <v>44344</v>
      </c>
      <c r="F1428" s="5">
        <v>46155</v>
      </c>
      <c r="G1428" s="2">
        <v>72.905249999999995</v>
      </c>
      <c r="H1428" s="1" t="s">
        <v>10</v>
      </c>
      <c r="I1428" s="2">
        <v>4036.3581558999999</v>
      </c>
      <c r="J1428" s="1" t="s">
        <v>76</v>
      </c>
      <c r="K1428" s="1" t="s">
        <v>4161</v>
      </c>
      <c r="L1428" s="2">
        <v>44461.11</v>
      </c>
      <c r="M1428">
        <f t="shared" si="66"/>
        <v>3241448.3398274998</v>
      </c>
      <c r="N1428">
        <f t="shared" si="67"/>
        <v>286853.83538296458</v>
      </c>
      <c r="O1428" t="str">
        <f t="shared" si="68"/>
        <v>BEHOLD</v>
      </c>
      <c r="P1428" s="1" t="s">
        <v>6391</v>
      </c>
    </row>
    <row r="1429" spans="1:16" ht="15" customHeight="1" x14ac:dyDescent="0.2">
      <c r="A1429" s="1" t="s">
        <v>4162</v>
      </c>
      <c r="B1429" s="1" t="s">
        <v>4163</v>
      </c>
      <c r="C1429" s="1" t="s">
        <v>9</v>
      </c>
      <c r="D1429" s="1" t="s">
        <v>3</v>
      </c>
      <c r="E1429" s="5">
        <v>44357</v>
      </c>
      <c r="F1429" s="5">
        <v>46155</v>
      </c>
      <c r="G1429" s="2">
        <v>12.38499</v>
      </c>
      <c r="H1429" s="1" t="s">
        <v>10</v>
      </c>
      <c r="I1429" s="2">
        <v>278.98707916000001</v>
      </c>
      <c r="J1429" s="1" t="s">
        <v>38</v>
      </c>
      <c r="K1429" s="1" t="s">
        <v>4164</v>
      </c>
      <c r="L1429" s="2">
        <v>29407.63</v>
      </c>
      <c r="M1429">
        <f t="shared" si="66"/>
        <v>364213.20347370004</v>
      </c>
      <c r="N1429">
        <f t="shared" si="67"/>
        <v>32231.256944575223</v>
      </c>
      <c r="O1429" t="str">
        <f t="shared" si="68"/>
        <v>FJERN</v>
      </c>
      <c r="P1429" s="1" t="s">
        <v>6392</v>
      </c>
    </row>
    <row r="1430" spans="1:16" ht="15" customHeight="1" x14ac:dyDescent="0.2">
      <c r="A1430" s="1" t="s">
        <v>4165</v>
      </c>
      <c r="B1430" s="1" t="s">
        <v>4166</v>
      </c>
      <c r="C1430" s="1" t="s">
        <v>9</v>
      </c>
      <c r="D1430" s="1" t="s">
        <v>3</v>
      </c>
      <c r="E1430" s="5">
        <v>44351</v>
      </c>
      <c r="F1430" s="5">
        <v>45351</v>
      </c>
      <c r="G1430" s="2">
        <v>24.54815</v>
      </c>
      <c r="H1430" s="1" t="s">
        <v>10</v>
      </c>
      <c r="I1430" s="2">
        <v>999.43296365000003</v>
      </c>
      <c r="J1430" s="1" t="s">
        <v>51</v>
      </c>
      <c r="K1430" s="1" t="s">
        <v>4167</v>
      </c>
      <c r="L1430" s="2">
        <v>48435.76</v>
      </c>
      <c r="M1430">
        <f t="shared" si="66"/>
        <v>1189008.3018440001</v>
      </c>
      <c r="N1430">
        <f t="shared" si="67"/>
        <v>105221.97361451328</v>
      </c>
      <c r="O1430" t="str">
        <f t="shared" si="68"/>
        <v>BEHOLD</v>
      </c>
      <c r="P1430" s="1" t="s">
        <v>6393</v>
      </c>
    </row>
    <row r="1431" spans="1:16" ht="15" customHeight="1" x14ac:dyDescent="0.2">
      <c r="A1431" s="1" t="s">
        <v>4168</v>
      </c>
      <c r="B1431" s="1" t="s">
        <v>4169</v>
      </c>
      <c r="C1431" s="1" t="s">
        <v>9</v>
      </c>
      <c r="D1431" s="1" t="s">
        <v>3</v>
      </c>
      <c r="E1431" s="5">
        <v>44371</v>
      </c>
      <c r="F1431" s="5">
        <v>45978</v>
      </c>
      <c r="G1431" s="2">
        <v>30.59628</v>
      </c>
      <c r="H1431" s="1" t="s">
        <v>10</v>
      </c>
      <c r="I1431" s="2">
        <v>1552.7668138500001</v>
      </c>
      <c r="J1431" s="1" t="s">
        <v>34</v>
      </c>
      <c r="K1431" s="1" t="s">
        <v>4170</v>
      </c>
      <c r="L1431" s="2">
        <v>247222.3</v>
      </c>
      <c r="M1431">
        <f t="shared" si="66"/>
        <v>7564082.7130439999</v>
      </c>
      <c r="N1431">
        <f t="shared" si="67"/>
        <v>669387.85071185837</v>
      </c>
      <c r="O1431" t="str">
        <f t="shared" si="68"/>
        <v>BEHOLD</v>
      </c>
      <c r="P1431" s="1" t="s">
        <v>6394</v>
      </c>
    </row>
    <row r="1432" spans="1:16" ht="15" customHeight="1" x14ac:dyDescent="0.2">
      <c r="A1432" s="1" t="s">
        <v>4171</v>
      </c>
      <c r="B1432" s="1" t="s">
        <v>4172</v>
      </c>
      <c r="C1432" s="1" t="s">
        <v>9</v>
      </c>
      <c r="D1432" s="1" t="s">
        <v>3</v>
      </c>
      <c r="E1432" s="5">
        <v>44496</v>
      </c>
      <c r="F1432" s="5">
        <v>46155</v>
      </c>
      <c r="G1432" s="2">
        <v>5.7692959999999998</v>
      </c>
      <c r="H1432" s="1" t="s">
        <v>10</v>
      </c>
      <c r="I1432" s="2">
        <v>909.30594759999997</v>
      </c>
      <c r="J1432" s="1" t="s">
        <v>76</v>
      </c>
      <c r="K1432" s="1" t="s">
        <v>4173</v>
      </c>
      <c r="L1432" s="2">
        <v>159291.20000000001</v>
      </c>
      <c r="M1432">
        <f t="shared" si="66"/>
        <v>918998.08299520006</v>
      </c>
      <c r="N1432">
        <f t="shared" si="67"/>
        <v>81327.263981876109</v>
      </c>
      <c r="O1432" t="str">
        <f t="shared" si="68"/>
        <v>FJERN</v>
      </c>
      <c r="P1432" s="1"/>
    </row>
    <row r="1433" spans="1:16" ht="15" customHeight="1" x14ac:dyDescent="0.2">
      <c r="A1433" s="1" t="s">
        <v>4174</v>
      </c>
      <c r="B1433" s="1" t="s">
        <v>4175</v>
      </c>
      <c r="C1433" s="1" t="s">
        <v>9</v>
      </c>
      <c r="D1433" s="1" t="s">
        <v>3</v>
      </c>
      <c r="E1433" s="5">
        <v>44344</v>
      </c>
      <c r="F1433" s="5">
        <v>46155</v>
      </c>
      <c r="G1433" s="2">
        <v>6.7320919999999997</v>
      </c>
      <c r="H1433" s="1" t="s">
        <v>10</v>
      </c>
      <c r="I1433" s="2">
        <v>56.39738208</v>
      </c>
      <c r="J1433" s="1" t="s">
        <v>391</v>
      </c>
      <c r="K1433" s="1" t="s">
        <v>4176</v>
      </c>
      <c r="L1433" s="2">
        <v>6813.9740000000002</v>
      </c>
      <c r="M1433">
        <f t="shared" si="66"/>
        <v>45872.299853607998</v>
      </c>
      <c r="N1433">
        <f t="shared" si="67"/>
        <v>4059.4955622661942</v>
      </c>
      <c r="O1433" t="str">
        <f t="shared" si="68"/>
        <v>FJERN</v>
      </c>
      <c r="P1433" s="1"/>
    </row>
    <row r="1434" spans="1:16" ht="15" customHeight="1" x14ac:dyDescent="0.2">
      <c r="A1434" s="1" t="s">
        <v>4177</v>
      </c>
      <c r="B1434" s="1" t="s">
        <v>4178</v>
      </c>
      <c r="C1434" s="1" t="s">
        <v>9</v>
      </c>
      <c r="D1434" s="1" t="s">
        <v>3</v>
      </c>
      <c r="E1434" s="5">
        <v>44105</v>
      </c>
      <c r="F1434" s="5">
        <v>46155</v>
      </c>
      <c r="G1434" s="2">
        <v>3.2250939999999999</v>
      </c>
      <c r="H1434" s="1" t="s">
        <v>10</v>
      </c>
      <c r="I1434" s="2">
        <v>26.040489425000001</v>
      </c>
      <c r="J1434" s="1" t="s">
        <v>176</v>
      </c>
      <c r="K1434" s="1" t="s">
        <v>4179</v>
      </c>
      <c r="L1434" s="2">
        <v>377764</v>
      </c>
      <c r="M1434">
        <f t="shared" si="66"/>
        <v>1218324.4098159999</v>
      </c>
      <c r="N1434">
        <f t="shared" si="67"/>
        <v>107816.31945274335</v>
      </c>
      <c r="O1434" t="str">
        <f t="shared" si="68"/>
        <v>BEHOLD</v>
      </c>
      <c r="P1434" s="1" t="s">
        <v>6395</v>
      </c>
    </row>
    <row r="1435" spans="1:16" ht="15" customHeight="1" x14ac:dyDescent="0.2">
      <c r="A1435" s="1" t="s">
        <v>4180</v>
      </c>
      <c r="B1435" s="1" t="s">
        <v>4181</v>
      </c>
      <c r="C1435" s="1" t="s">
        <v>9</v>
      </c>
      <c r="D1435" s="1" t="s">
        <v>3</v>
      </c>
      <c r="E1435" s="5">
        <v>44124</v>
      </c>
      <c r="F1435" s="5">
        <v>46155</v>
      </c>
      <c r="G1435" s="2">
        <v>1.010529</v>
      </c>
      <c r="H1435" s="1" t="s">
        <v>10</v>
      </c>
      <c r="I1435" s="2">
        <v>77.666323644000002</v>
      </c>
      <c r="J1435" s="1" t="s">
        <v>23</v>
      </c>
      <c r="K1435" s="1" t="s">
        <v>4182</v>
      </c>
      <c r="L1435" s="2">
        <v>102067.9</v>
      </c>
      <c r="M1435">
        <f t="shared" si="66"/>
        <v>103142.5729191</v>
      </c>
      <c r="N1435">
        <f t="shared" si="67"/>
        <v>9127.6613202743356</v>
      </c>
      <c r="O1435" t="str">
        <f t="shared" si="68"/>
        <v>FJERN</v>
      </c>
      <c r="P1435" s="1"/>
    </row>
    <row r="1436" spans="1:16" ht="15" customHeight="1" x14ac:dyDescent="0.2">
      <c r="A1436" s="1" t="s">
        <v>4183</v>
      </c>
      <c r="B1436" s="1" t="s">
        <v>4184</v>
      </c>
      <c r="C1436" s="1" t="s">
        <v>9</v>
      </c>
      <c r="D1436" s="1" t="s">
        <v>3</v>
      </c>
      <c r="E1436" s="5">
        <v>44364</v>
      </c>
      <c r="F1436" s="5">
        <v>46155</v>
      </c>
      <c r="G1436" s="2">
        <v>16.240670000000001</v>
      </c>
      <c r="H1436" s="1" t="s">
        <v>10</v>
      </c>
      <c r="I1436" s="2">
        <v>6267.681681</v>
      </c>
      <c r="J1436" s="1" t="s">
        <v>236</v>
      </c>
      <c r="K1436" s="1" t="s">
        <v>4185</v>
      </c>
      <c r="L1436" s="2">
        <v>248669.1</v>
      </c>
      <c r="M1436">
        <f t="shared" si="66"/>
        <v>4038552.7922970005</v>
      </c>
      <c r="N1436">
        <f t="shared" si="67"/>
        <v>357394.05241566373</v>
      </c>
      <c r="O1436" t="str">
        <f t="shared" si="68"/>
        <v>BEHOLD</v>
      </c>
      <c r="P1436" s="1" t="s">
        <v>6396</v>
      </c>
    </row>
    <row r="1437" spans="1:16" ht="15" customHeight="1" x14ac:dyDescent="0.2">
      <c r="A1437" s="1" t="s">
        <v>4186</v>
      </c>
      <c r="B1437" s="1" t="s">
        <v>4187</v>
      </c>
      <c r="C1437" s="1" t="s">
        <v>9</v>
      </c>
      <c r="D1437" s="1" t="s">
        <v>3</v>
      </c>
      <c r="E1437" s="5">
        <v>44491</v>
      </c>
      <c r="F1437" s="5">
        <v>45359</v>
      </c>
      <c r="G1437" s="2">
        <v>18.39507</v>
      </c>
      <c r="H1437" s="1" t="s">
        <v>10</v>
      </c>
      <c r="I1437" s="2">
        <v>5769.7959988000002</v>
      </c>
      <c r="J1437" s="1" t="s">
        <v>236</v>
      </c>
      <c r="K1437" s="1" t="s">
        <v>4188</v>
      </c>
      <c r="L1437" s="2">
        <v>92647.52</v>
      </c>
      <c r="M1437">
        <f t="shared" si="66"/>
        <v>1704257.6157264002</v>
      </c>
      <c r="N1437">
        <f t="shared" si="67"/>
        <v>150819.25802888497</v>
      </c>
      <c r="O1437" t="str">
        <f t="shared" si="68"/>
        <v>BEHOLD</v>
      </c>
      <c r="P1437" s="1" t="s">
        <v>6397</v>
      </c>
    </row>
    <row r="1438" spans="1:16" ht="15" customHeight="1" x14ac:dyDescent="0.2">
      <c r="A1438" s="1" t="s">
        <v>4189</v>
      </c>
      <c r="B1438" s="1" t="s">
        <v>4190</v>
      </c>
      <c r="C1438" s="1" t="s">
        <v>9</v>
      </c>
      <c r="D1438" s="1" t="s">
        <v>3</v>
      </c>
      <c r="E1438" s="5">
        <v>44546</v>
      </c>
      <c r="F1438" s="5">
        <v>46155</v>
      </c>
      <c r="G1438" s="2">
        <v>18.68177</v>
      </c>
      <c r="H1438" s="1" t="s">
        <v>10</v>
      </c>
      <c r="I1438" s="2">
        <v>765.98752999999999</v>
      </c>
      <c r="J1438" s="1" t="s">
        <v>76</v>
      </c>
      <c r="K1438" s="1" t="s">
        <v>4191</v>
      </c>
      <c r="L1438" s="2">
        <v>5048.9989999999998</v>
      </c>
      <c r="M1438">
        <f t="shared" si="66"/>
        <v>94324.238048229992</v>
      </c>
      <c r="N1438">
        <f t="shared" si="67"/>
        <v>8347.2777033831844</v>
      </c>
      <c r="O1438" t="str">
        <f t="shared" si="68"/>
        <v>FJERN</v>
      </c>
      <c r="P1438" s="1" t="s">
        <v>6398</v>
      </c>
    </row>
    <row r="1439" spans="1:16" ht="15" customHeight="1" x14ac:dyDescent="0.2">
      <c r="A1439" s="1" t="s">
        <v>4192</v>
      </c>
      <c r="B1439" s="1" t="s">
        <v>4193</v>
      </c>
      <c r="C1439" s="1" t="s">
        <v>9</v>
      </c>
      <c r="D1439" s="1" t="s">
        <v>3</v>
      </c>
      <c r="E1439" s="5">
        <v>41914</v>
      </c>
      <c r="F1439" s="5">
        <v>46155</v>
      </c>
      <c r="G1439" s="2">
        <v>27278.880000000001</v>
      </c>
      <c r="H1439" s="1" t="s">
        <v>10</v>
      </c>
      <c r="I1439" s="2">
        <v>61.748637500000001</v>
      </c>
      <c r="J1439" s="1" t="s">
        <v>64</v>
      </c>
      <c r="K1439" s="1" t="s">
        <v>4194</v>
      </c>
      <c r="L1439" s="2">
        <v>1073.3489999999999</v>
      </c>
      <c r="M1439">
        <f t="shared" si="66"/>
        <v>29279758.569120001</v>
      </c>
      <c r="N1439">
        <f t="shared" si="67"/>
        <v>2591129.0769132744</v>
      </c>
      <c r="O1439" t="str">
        <f t="shared" si="68"/>
        <v>BEHOLD</v>
      </c>
      <c r="P1439" s="1" t="s">
        <v>6399</v>
      </c>
    </row>
    <row r="1440" spans="1:16" ht="15" customHeight="1" x14ac:dyDescent="0.2">
      <c r="A1440" s="1" t="s">
        <v>4195</v>
      </c>
      <c r="B1440" s="1" t="s">
        <v>4196</v>
      </c>
      <c r="C1440" s="1" t="s">
        <v>9</v>
      </c>
      <c r="D1440" s="1" t="s">
        <v>2895</v>
      </c>
      <c r="E1440" s="5">
        <v>42166</v>
      </c>
      <c r="F1440" s="5">
        <v>46155</v>
      </c>
      <c r="G1440" s="2">
        <v>26.34027</v>
      </c>
      <c r="H1440" s="1" t="s">
        <v>10</v>
      </c>
      <c r="I1440" s="2">
        <v>4079.5622499999999</v>
      </c>
      <c r="J1440" s="1" t="s">
        <v>61</v>
      </c>
      <c r="K1440" s="1" t="s">
        <v>4197</v>
      </c>
      <c r="L1440" s="2">
        <v>57336.04</v>
      </c>
      <c r="M1440">
        <f t="shared" si="66"/>
        <v>1510246.7743307999</v>
      </c>
      <c r="N1440">
        <f t="shared" si="67"/>
        <v>133650.15702042475</v>
      </c>
      <c r="O1440" t="str">
        <f t="shared" si="68"/>
        <v>FJERN</v>
      </c>
      <c r="P1440" s="1"/>
    </row>
    <row r="1441" spans="1:16" ht="15" customHeight="1" x14ac:dyDescent="0.2">
      <c r="A1441" s="1" t="s">
        <v>4198</v>
      </c>
      <c r="B1441" s="1" t="s">
        <v>4199</v>
      </c>
      <c r="C1441" s="1" t="s">
        <v>9</v>
      </c>
      <c r="D1441" s="1" t="s">
        <v>3</v>
      </c>
      <c r="E1441" s="5">
        <v>44313</v>
      </c>
      <c r="F1441" s="5">
        <v>46155</v>
      </c>
      <c r="G1441" s="2">
        <v>220.70740000000001</v>
      </c>
      <c r="H1441" s="1" t="s">
        <v>10</v>
      </c>
      <c r="I1441" s="2">
        <v>16216.342927199999</v>
      </c>
      <c r="J1441" s="1" t="s">
        <v>236</v>
      </c>
      <c r="K1441" s="1" t="s">
        <v>4200</v>
      </c>
      <c r="L1441" s="2">
        <v>241774</v>
      </c>
      <c r="M1441">
        <f t="shared" si="66"/>
        <v>53361310.927600004</v>
      </c>
      <c r="N1441">
        <f t="shared" si="67"/>
        <v>4722239.9050973449</v>
      </c>
      <c r="O1441" t="str">
        <f t="shared" si="68"/>
        <v>BEHOLD</v>
      </c>
      <c r="P1441" s="1" t="s">
        <v>6400</v>
      </c>
    </row>
    <row r="1442" spans="1:16" ht="15" customHeight="1" x14ac:dyDescent="0.2">
      <c r="A1442" s="1" t="s">
        <v>4201</v>
      </c>
      <c r="B1442" s="1" t="s">
        <v>4202</v>
      </c>
      <c r="C1442" s="1" t="s">
        <v>9</v>
      </c>
      <c r="D1442" s="1" t="s">
        <v>3</v>
      </c>
      <c r="E1442" s="5">
        <v>42835</v>
      </c>
      <c r="F1442" s="5">
        <v>46155</v>
      </c>
      <c r="G1442" s="2">
        <v>47.955039999999997</v>
      </c>
      <c r="H1442" s="1" t="s">
        <v>10</v>
      </c>
      <c r="I1442" s="2">
        <v>2792.4884459999998</v>
      </c>
      <c r="J1442" s="1" t="s">
        <v>176</v>
      </c>
      <c r="K1442" s="1" t="s">
        <v>4203</v>
      </c>
      <c r="L1442" s="2">
        <v>13159.39</v>
      </c>
      <c r="M1442">
        <f t="shared" si="66"/>
        <v>631059.07382559997</v>
      </c>
      <c r="N1442">
        <f t="shared" si="67"/>
        <v>55845.935736778752</v>
      </c>
      <c r="O1442" t="str">
        <f t="shared" si="68"/>
        <v>FJERN</v>
      </c>
      <c r="P1442" s="1" t="s">
        <v>6401</v>
      </c>
    </row>
    <row r="1443" spans="1:16" ht="15" customHeight="1" x14ac:dyDescent="0.2">
      <c r="A1443" s="1" t="s">
        <v>4204</v>
      </c>
      <c r="B1443" s="1" t="s">
        <v>4205</v>
      </c>
      <c r="C1443" s="1" t="s">
        <v>9</v>
      </c>
      <c r="D1443" s="1" t="s">
        <v>3</v>
      </c>
      <c r="E1443" s="5">
        <v>43798</v>
      </c>
      <c r="F1443" s="5">
        <v>46155</v>
      </c>
      <c r="G1443" s="2">
        <v>31.3062</v>
      </c>
      <c r="H1443" s="1" t="s">
        <v>10</v>
      </c>
      <c r="I1443" s="2">
        <v>3178.23173056</v>
      </c>
      <c r="J1443" s="1" t="s">
        <v>61</v>
      </c>
      <c r="K1443" s="1" t="s">
        <v>4206</v>
      </c>
      <c r="L1443" s="2">
        <v>162613.5</v>
      </c>
      <c r="M1443">
        <f t="shared" si="66"/>
        <v>5090810.7537000002</v>
      </c>
      <c r="N1443">
        <f t="shared" si="67"/>
        <v>450514.22599115042</v>
      </c>
      <c r="O1443" t="str">
        <f t="shared" si="68"/>
        <v>BEHOLD</v>
      </c>
      <c r="P1443" s="1" t="s">
        <v>6402</v>
      </c>
    </row>
    <row r="1444" spans="1:16" ht="15" customHeight="1" x14ac:dyDescent="0.2">
      <c r="A1444" s="1" t="s">
        <v>4207</v>
      </c>
      <c r="B1444" s="1" t="s">
        <v>4208</v>
      </c>
      <c r="C1444" s="1" t="s">
        <v>9</v>
      </c>
      <c r="D1444" s="1" t="s">
        <v>3</v>
      </c>
      <c r="E1444" s="5">
        <v>44523</v>
      </c>
      <c r="F1444" s="5">
        <v>46155</v>
      </c>
      <c r="G1444" s="2">
        <v>79.296329999999998</v>
      </c>
      <c r="H1444" s="1" t="s">
        <v>10</v>
      </c>
      <c r="I1444" s="2">
        <v>520.79999999999995</v>
      </c>
      <c r="J1444" s="1" t="s">
        <v>11</v>
      </c>
      <c r="K1444" s="1" t="s">
        <v>4209</v>
      </c>
      <c r="L1444" s="2">
        <v>3873.7359999999999</v>
      </c>
      <c r="M1444">
        <f t="shared" si="66"/>
        <v>307173.04818887997</v>
      </c>
      <c r="N1444">
        <f t="shared" si="67"/>
        <v>27183.455591936279</v>
      </c>
      <c r="O1444" t="str">
        <f t="shared" si="68"/>
        <v>FJERN</v>
      </c>
      <c r="P1444" s="1"/>
    </row>
    <row r="1445" spans="1:16" ht="15" customHeight="1" x14ac:dyDescent="0.2">
      <c r="A1445" s="1" t="s">
        <v>4210</v>
      </c>
      <c r="B1445" s="1" t="s">
        <v>4211</v>
      </c>
      <c r="C1445" s="1" t="s">
        <v>9</v>
      </c>
      <c r="D1445" s="1" t="s">
        <v>3</v>
      </c>
      <c r="E1445" s="5">
        <v>42149</v>
      </c>
      <c r="F1445" s="5">
        <v>46155</v>
      </c>
      <c r="G1445" s="2">
        <v>22.089179999999999</v>
      </c>
      <c r="H1445" s="1" t="s">
        <v>10</v>
      </c>
      <c r="I1445" s="2">
        <v>44.75070522</v>
      </c>
      <c r="J1445" s="1" t="s">
        <v>366</v>
      </c>
      <c r="K1445" s="1" t="s">
        <v>4212</v>
      </c>
      <c r="L1445" s="2">
        <v>70315.56</v>
      </c>
      <c r="M1445">
        <f t="shared" si="66"/>
        <v>1553213.0616408</v>
      </c>
      <c r="N1445">
        <f t="shared" si="67"/>
        <v>137452.48333104423</v>
      </c>
      <c r="O1445" t="str">
        <f t="shared" si="68"/>
        <v>BEHOLD</v>
      </c>
      <c r="P1445" s="1" t="s">
        <v>6403</v>
      </c>
    </row>
    <row r="1446" spans="1:16" ht="15" customHeight="1" x14ac:dyDescent="0.2">
      <c r="A1446" s="1" t="s">
        <v>4213</v>
      </c>
      <c r="B1446" s="1" t="s">
        <v>4214</v>
      </c>
      <c r="C1446" s="1" t="s">
        <v>9</v>
      </c>
      <c r="D1446" s="1" t="s">
        <v>3</v>
      </c>
      <c r="E1446" s="5">
        <v>44127</v>
      </c>
      <c r="F1446" s="5">
        <v>44330</v>
      </c>
      <c r="G1446" s="2">
        <v>14.704549999999999</v>
      </c>
      <c r="H1446" s="1" t="s">
        <v>10</v>
      </c>
      <c r="I1446" s="2"/>
      <c r="J1446" s="1" t="s">
        <v>61</v>
      </c>
      <c r="K1446" s="1" t="s">
        <v>4215</v>
      </c>
      <c r="L1446" s="2">
        <v>1081441</v>
      </c>
      <c r="M1446">
        <f t="shared" si="66"/>
        <v>15902103.256549999</v>
      </c>
      <c r="N1446">
        <f t="shared" si="67"/>
        <v>1407265.774915929</v>
      </c>
      <c r="O1446" t="str">
        <f t="shared" si="68"/>
        <v>BEHOLD</v>
      </c>
      <c r="P1446" s="1" t="s">
        <v>6404</v>
      </c>
    </row>
    <row r="1447" spans="1:16" ht="15" customHeight="1" x14ac:dyDescent="0.2">
      <c r="A1447" s="1" t="s">
        <v>4216</v>
      </c>
      <c r="B1447" s="1" t="s">
        <v>4217</v>
      </c>
      <c r="C1447" s="1" t="s">
        <v>9</v>
      </c>
      <c r="D1447" s="1" t="s">
        <v>3</v>
      </c>
      <c r="E1447" s="5">
        <v>44524</v>
      </c>
      <c r="F1447" s="5">
        <v>45082</v>
      </c>
      <c r="G1447" s="2">
        <v>93.818380000000005</v>
      </c>
      <c r="H1447" s="1" t="s">
        <v>10</v>
      </c>
      <c r="I1447" s="2"/>
      <c r="J1447" s="1" t="s">
        <v>236</v>
      </c>
      <c r="K1447" s="1" t="s">
        <v>4218</v>
      </c>
      <c r="L1447" s="2">
        <v>8633.3150000000005</v>
      </c>
      <c r="M1447">
        <f t="shared" si="66"/>
        <v>809963.62732970004</v>
      </c>
      <c r="N1447">
        <f t="shared" si="67"/>
        <v>71678.197108823006</v>
      </c>
      <c r="O1447" t="str">
        <f t="shared" si="68"/>
        <v>FJERN</v>
      </c>
      <c r="P1447" s="1" t="s">
        <v>6405</v>
      </c>
    </row>
    <row r="1448" spans="1:16" ht="15" customHeight="1" x14ac:dyDescent="0.2">
      <c r="A1448" s="1" t="s">
        <v>4219</v>
      </c>
      <c r="B1448" s="1" t="s">
        <v>4220</v>
      </c>
      <c r="C1448" s="1" t="s">
        <v>2</v>
      </c>
      <c r="D1448" s="1" t="s">
        <v>3</v>
      </c>
      <c r="E1448" s="5">
        <v>32133</v>
      </c>
      <c r="F1448" s="5">
        <v>46155</v>
      </c>
      <c r="G1448" s="2">
        <v>134.32320000000001</v>
      </c>
      <c r="H1448" s="1" t="s">
        <v>4</v>
      </c>
      <c r="I1448" s="2">
        <v>11869.3836935</v>
      </c>
      <c r="J1448" s="1" t="s">
        <v>5</v>
      </c>
      <c r="K1448" s="1" t="s">
        <v>4221</v>
      </c>
      <c r="L1448" s="2">
        <v>19090.04</v>
      </c>
      <c r="M1448">
        <f t="shared" si="66"/>
        <v>2564235.2609280003</v>
      </c>
      <c r="N1448">
        <f t="shared" si="67"/>
        <v>344192.6524735571</v>
      </c>
      <c r="O1448" t="str">
        <f t="shared" si="68"/>
        <v>BEHOLD</v>
      </c>
      <c r="P1448" s="1" t="s">
        <v>6406</v>
      </c>
    </row>
    <row r="1449" spans="1:16" ht="15" customHeight="1" x14ac:dyDescent="0.2">
      <c r="A1449" s="1" t="s">
        <v>4222</v>
      </c>
      <c r="B1449" s="1" t="s">
        <v>4223</v>
      </c>
      <c r="C1449" s="1" t="s">
        <v>9</v>
      </c>
      <c r="D1449" s="1" t="s">
        <v>3</v>
      </c>
      <c r="E1449" s="5">
        <v>41367</v>
      </c>
      <c r="F1449" s="5">
        <v>44334</v>
      </c>
      <c r="G1449" s="2">
        <v>30.94032</v>
      </c>
      <c r="H1449" s="1" t="s">
        <v>10</v>
      </c>
      <c r="I1449" s="2"/>
      <c r="J1449" s="1" t="s">
        <v>366</v>
      </c>
      <c r="K1449" s="1" t="s">
        <v>4224</v>
      </c>
      <c r="L1449" s="2">
        <v>19203.650000000001</v>
      </c>
      <c r="M1449">
        <f t="shared" si="66"/>
        <v>594167.076168</v>
      </c>
      <c r="N1449">
        <f t="shared" si="67"/>
        <v>52581.157183008843</v>
      </c>
      <c r="O1449" t="str">
        <f t="shared" si="68"/>
        <v>FJERN</v>
      </c>
      <c r="P1449" s="1" t="s">
        <v>6407</v>
      </c>
    </row>
    <row r="1450" spans="1:16" ht="15" customHeight="1" x14ac:dyDescent="0.2">
      <c r="A1450" s="1" t="s">
        <v>4225</v>
      </c>
      <c r="B1450" s="1" t="s">
        <v>4226</v>
      </c>
      <c r="C1450" s="1" t="s">
        <v>9</v>
      </c>
      <c r="D1450" s="1" t="s">
        <v>3</v>
      </c>
      <c r="E1450" s="5">
        <v>44539</v>
      </c>
      <c r="F1450" s="5">
        <v>46155</v>
      </c>
      <c r="G1450" s="2">
        <v>53.227939999999997</v>
      </c>
      <c r="H1450" s="1" t="s">
        <v>10</v>
      </c>
      <c r="I1450" s="2">
        <v>10766.3346</v>
      </c>
      <c r="J1450" s="1" t="s">
        <v>34</v>
      </c>
      <c r="K1450" s="1" t="s">
        <v>4227</v>
      </c>
      <c r="L1450" s="2">
        <v>252052.2</v>
      </c>
      <c r="M1450">
        <f t="shared" si="66"/>
        <v>13416219.378467999</v>
      </c>
      <c r="N1450">
        <f t="shared" si="67"/>
        <v>1187276.0511918582</v>
      </c>
      <c r="O1450" t="str">
        <f t="shared" si="68"/>
        <v>BEHOLD</v>
      </c>
      <c r="P1450" s="1" t="s">
        <v>6408</v>
      </c>
    </row>
    <row r="1451" spans="1:16" ht="15" customHeight="1" x14ac:dyDescent="0.2">
      <c r="A1451" s="1" t="s">
        <v>4228</v>
      </c>
      <c r="B1451" s="1" t="s">
        <v>4229</v>
      </c>
      <c r="C1451" s="1" t="s">
        <v>9</v>
      </c>
      <c r="D1451" s="1" t="s">
        <v>3</v>
      </c>
      <c r="E1451" s="5">
        <v>44484</v>
      </c>
      <c r="F1451" s="5">
        <v>45435</v>
      </c>
      <c r="G1451" s="2">
        <v>41.195770000000003</v>
      </c>
      <c r="H1451" s="1" t="s">
        <v>10</v>
      </c>
      <c r="I1451" s="2">
        <v>7867.0883455000003</v>
      </c>
      <c r="J1451" s="1" t="s">
        <v>61</v>
      </c>
      <c r="K1451" s="1" t="s">
        <v>4230</v>
      </c>
      <c r="L1451" s="2">
        <v>115708.9</v>
      </c>
      <c r="M1451">
        <f t="shared" si="66"/>
        <v>4766717.2313529998</v>
      </c>
      <c r="N1451">
        <f t="shared" si="67"/>
        <v>421833.38330557517</v>
      </c>
      <c r="O1451" t="str">
        <f t="shared" si="68"/>
        <v>BEHOLD</v>
      </c>
      <c r="P1451" s="1" t="s">
        <v>6409</v>
      </c>
    </row>
    <row r="1452" spans="1:16" ht="15" customHeight="1" x14ac:dyDescent="0.2">
      <c r="A1452" s="1" t="s">
        <v>4231</v>
      </c>
      <c r="B1452" s="1" t="s">
        <v>4232</v>
      </c>
      <c r="C1452" s="1" t="s">
        <v>9</v>
      </c>
      <c r="D1452" s="1" t="s">
        <v>3</v>
      </c>
      <c r="E1452" s="5">
        <v>44482</v>
      </c>
      <c r="F1452" s="5">
        <v>46155</v>
      </c>
      <c r="G1452" s="2">
        <v>71.937349999999995</v>
      </c>
      <c r="H1452" s="1" t="s">
        <v>10</v>
      </c>
      <c r="I1452" s="2">
        <v>4563.4535883675098</v>
      </c>
      <c r="J1452" s="1" t="s">
        <v>5</v>
      </c>
      <c r="K1452" s="1" t="s">
        <v>4233</v>
      </c>
      <c r="L1452" s="2">
        <v>46644.56</v>
      </c>
      <c r="M1452">
        <f t="shared" si="66"/>
        <v>3355486.0383159998</v>
      </c>
      <c r="N1452">
        <f t="shared" si="67"/>
        <v>296945.66710761056</v>
      </c>
      <c r="O1452" t="str">
        <f t="shared" si="68"/>
        <v>BEHOLD</v>
      </c>
      <c r="P1452" s="1" t="s">
        <v>6410</v>
      </c>
    </row>
    <row r="1453" spans="1:16" ht="15" customHeight="1" x14ac:dyDescent="0.2">
      <c r="A1453" s="1" t="s">
        <v>4234</v>
      </c>
      <c r="B1453" s="1" t="s">
        <v>4235</v>
      </c>
      <c r="C1453" s="1" t="s">
        <v>2</v>
      </c>
      <c r="D1453" s="1" t="s">
        <v>3</v>
      </c>
      <c r="E1453" s="5">
        <v>35915</v>
      </c>
      <c r="F1453" s="5">
        <v>46155</v>
      </c>
      <c r="G1453" s="2">
        <v>103.8326</v>
      </c>
      <c r="H1453" s="1" t="s">
        <v>4</v>
      </c>
      <c r="I1453" s="2">
        <v>171738.35286362699</v>
      </c>
      <c r="J1453" s="1" t="s">
        <v>23</v>
      </c>
      <c r="K1453" s="1" t="s">
        <v>4236</v>
      </c>
      <c r="L1453" s="2">
        <v>6385778</v>
      </c>
      <c r="M1453">
        <f t="shared" si="66"/>
        <v>663051932.76279998</v>
      </c>
      <c r="N1453">
        <f t="shared" si="67"/>
        <v>89000259.431248322</v>
      </c>
      <c r="O1453" t="str">
        <f t="shared" si="68"/>
        <v>BEHOLD</v>
      </c>
      <c r="P1453" s="1" t="s">
        <v>6411</v>
      </c>
    </row>
    <row r="1454" spans="1:16" ht="15" customHeight="1" x14ac:dyDescent="0.2">
      <c r="A1454" s="1" t="s">
        <v>4237</v>
      </c>
      <c r="B1454" s="1" t="s">
        <v>4238</v>
      </c>
      <c r="C1454" s="1" t="s">
        <v>9</v>
      </c>
      <c r="D1454" s="1" t="s">
        <v>3</v>
      </c>
      <c r="E1454" s="5">
        <v>44484</v>
      </c>
      <c r="F1454" s="5">
        <v>46155</v>
      </c>
      <c r="G1454" s="2">
        <v>20.546589999999998</v>
      </c>
      <c r="H1454" s="1" t="s">
        <v>10</v>
      </c>
      <c r="I1454" s="2">
        <v>241.10400881000001</v>
      </c>
      <c r="J1454" s="1" t="s">
        <v>11</v>
      </c>
      <c r="K1454" s="1" t="s">
        <v>4239</v>
      </c>
      <c r="L1454" s="2">
        <v>92176.38</v>
      </c>
      <c r="M1454">
        <f t="shared" si="66"/>
        <v>1893910.2875442</v>
      </c>
      <c r="N1454">
        <f t="shared" si="67"/>
        <v>167602.68031364601</v>
      </c>
      <c r="O1454" t="str">
        <f t="shared" si="68"/>
        <v>BEHOLD</v>
      </c>
      <c r="P1454" s="1" t="s">
        <v>6412</v>
      </c>
    </row>
    <row r="1455" spans="1:16" ht="15" customHeight="1" x14ac:dyDescent="0.2">
      <c r="A1455" s="1" t="s">
        <v>4240</v>
      </c>
      <c r="B1455" s="1" t="s">
        <v>4241</v>
      </c>
      <c r="C1455" s="1" t="s">
        <v>2</v>
      </c>
      <c r="D1455" s="1" t="s">
        <v>3</v>
      </c>
      <c r="E1455" s="5">
        <v>44378</v>
      </c>
      <c r="F1455" s="5">
        <v>46051</v>
      </c>
      <c r="G1455" s="2">
        <v>40.360399999999998</v>
      </c>
      <c r="H1455" s="1" t="s">
        <v>4</v>
      </c>
      <c r="I1455" s="2">
        <v>391.89729999999997</v>
      </c>
      <c r="J1455" s="1" t="s">
        <v>23</v>
      </c>
      <c r="K1455" s="1" t="s">
        <v>4242</v>
      </c>
      <c r="L1455" s="2">
        <v>12204.29</v>
      </c>
      <c r="M1455">
        <f t="shared" si="66"/>
        <v>492570.02611600002</v>
      </c>
      <c r="N1455">
        <f t="shared" si="67"/>
        <v>66116.782028993286</v>
      </c>
      <c r="O1455" t="str">
        <f t="shared" si="68"/>
        <v>FJERN</v>
      </c>
      <c r="P1455" s="1" t="s">
        <v>6413</v>
      </c>
    </row>
    <row r="1456" spans="1:16" ht="15" customHeight="1" x14ac:dyDescent="0.2">
      <c r="A1456" s="1" t="s">
        <v>4243</v>
      </c>
      <c r="B1456" s="1" t="s">
        <v>4244</v>
      </c>
      <c r="C1456" s="1" t="s">
        <v>9</v>
      </c>
      <c r="D1456" s="1" t="s">
        <v>3</v>
      </c>
      <c r="E1456" s="5">
        <v>42445</v>
      </c>
      <c r="F1456" s="5">
        <v>46155</v>
      </c>
      <c r="G1456" s="2">
        <v>63.823810000000002</v>
      </c>
      <c r="H1456" s="1" t="s">
        <v>10</v>
      </c>
      <c r="I1456" s="2">
        <v>856</v>
      </c>
      <c r="J1456" s="1" t="s">
        <v>23</v>
      </c>
      <c r="K1456" s="1" t="s">
        <v>4245</v>
      </c>
      <c r="L1456" s="2">
        <v>65914.27</v>
      </c>
      <c r="M1456">
        <f t="shared" si="66"/>
        <v>4206899.8447687002</v>
      </c>
      <c r="N1456">
        <f t="shared" si="67"/>
        <v>372292.02166094689</v>
      </c>
      <c r="O1456" t="str">
        <f t="shared" si="68"/>
        <v>BEHOLD</v>
      </c>
      <c r="P1456" s="1" t="s">
        <v>6414</v>
      </c>
    </row>
    <row r="1457" spans="1:16" ht="15" customHeight="1" x14ac:dyDescent="0.2">
      <c r="A1457" s="1" t="s">
        <v>4246</v>
      </c>
      <c r="B1457" s="1" t="s">
        <v>4247</v>
      </c>
      <c r="C1457" s="1" t="s">
        <v>9</v>
      </c>
      <c r="D1457" s="1" t="s">
        <v>3</v>
      </c>
      <c r="E1457" s="5">
        <v>42817</v>
      </c>
      <c r="F1457" s="5">
        <v>45565</v>
      </c>
      <c r="G1457" s="2">
        <v>1607.6130000000001</v>
      </c>
      <c r="H1457" s="1" t="s">
        <v>10</v>
      </c>
      <c r="I1457" s="2">
        <v>28.874762</v>
      </c>
      <c r="J1457" s="1" t="s">
        <v>86</v>
      </c>
      <c r="K1457" s="1" t="s">
        <v>4248</v>
      </c>
      <c r="L1457" s="2">
        <v>2116.98</v>
      </c>
      <c r="M1457">
        <f t="shared" si="66"/>
        <v>3403284.56874</v>
      </c>
      <c r="N1457">
        <f t="shared" si="67"/>
        <v>301175.62555221235</v>
      </c>
      <c r="O1457" t="str">
        <f t="shared" si="68"/>
        <v>BEHOLD</v>
      </c>
      <c r="P1457" s="1" t="s">
        <v>6415</v>
      </c>
    </row>
    <row r="1458" spans="1:16" ht="15" customHeight="1" x14ac:dyDescent="0.2">
      <c r="A1458" s="1" t="s">
        <v>4249</v>
      </c>
      <c r="B1458" s="1" t="s">
        <v>4250</v>
      </c>
      <c r="C1458" s="1" t="s">
        <v>9</v>
      </c>
      <c r="D1458" s="1" t="s">
        <v>3</v>
      </c>
      <c r="E1458" s="5">
        <v>44698</v>
      </c>
      <c r="F1458" s="5">
        <v>46155</v>
      </c>
      <c r="G1458" s="2">
        <v>29.49634</v>
      </c>
      <c r="H1458" s="1" t="s">
        <v>10</v>
      </c>
      <c r="I1458" s="2">
        <v>241.4129829</v>
      </c>
      <c r="J1458" s="1" t="s">
        <v>289</v>
      </c>
      <c r="K1458" s="1" t="s">
        <v>4251</v>
      </c>
      <c r="L1458" s="2">
        <v>3464.7710000000002</v>
      </c>
      <c r="M1458">
        <f t="shared" si="66"/>
        <v>102198.06343814</v>
      </c>
      <c r="N1458">
        <f t="shared" si="67"/>
        <v>9044.0764104548671</v>
      </c>
      <c r="O1458" t="str">
        <f t="shared" si="68"/>
        <v>FJERN</v>
      </c>
      <c r="P1458" s="1" t="s">
        <v>6416</v>
      </c>
    </row>
    <row r="1459" spans="1:16" ht="15" customHeight="1" x14ac:dyDescent="0.2">
      <c r="A1459" s="1" t="s">
        <v>4252</v>
      </c>
      <c r="B1459" s="1" t="s">
        <v>4253</v>
      </c>
      <c r="C1459" s="1" t="s">
        <v>2</v>
      </c>
      <c r="D1459" s="1" t="s">
        <v>3</v>
      </c>
      <c r="E1459" s="5">
        <v>44307</v>
      </c>
      <c r="F1459" s="5">
        <v>45695</v>
      </c>
      <c r="G1459" s="2">
        <v>3.4982190000000002</v>
      </c>
      <c r="H1459" s="1" t="s">
        <v>4</v>
      </c>
      <c r="I1459" s="2">
        <v>85.003239199996003</v>
      </c>
      <c r="J1459" s="1" t="s">
        <v>23</v>
      </c>
      <c r="K1459" s="1" t="s">
        <v>4254</v>
      </c>
      <c r="L1459" s="2">
        <v>34408.79</v>
      </c>
      <c r="M1459">
        <f t="shared" si="66"/>
        <v>120369.48294501001</v>
      </c>
      <c r="N1459">
        <f t="shared" si="67"/>
        <v>16156.97757651141</v>
      </c>
      <c r="O1459" t="str">
        <f t="shared" si="68"/>
        <v>FJERN</v>
      </c>
      <c r="P1459" s="1"/>
    </row>
    <row r="1460" spans="1:16" ht="15" customHeight="1" x14ac:dyDescent="0.2">
      <c r="A1460" s="1" t="s">
        <v>4255</v>
      </c>
      <c r="B1460" s="1" t="s">
        <v>4256</v>
      </c>
      <c r="C1460" s="1" t="s">
        <v>9</v>
      </c>
      <c r="D1460" s="1" t="s">
        <v>3</v>
      </c>
      <c r="E1460" s="5">
        <v>44314</v>
      </c>
      <c r="F1460" s="5">
        <v>46155</v>
      </c>
      <c r="G1460" s="2">
        <v>6.7208119999999996</v>
      </c>
      <c r="H1460" s="1" t="s">
        <v>10</v>
      </c>
      <c r="I1460" s="2">
        <v>95.034307699999999</v>
      </c>
      <c r="J1460" s="1" t="s">
        <v>2390</v>
      </c>
      <c r="K1460" s="1" t="s">
        <v>4257</v>
      </c>
      <c r="L1460" s="2">
        <v>9050.5509999999995</v>
      </c>
      <c r="M1460">
        <f t="shared" si="66"/>
        <v>60827.051767411991</v>
      </c>
      <c r="N1460">
        <f t="shared" si="67"/>
        <v>5382.9249351692024</v>
      </c>
      <c r="O1460" t="str">
        <f t="shared" si="68"/>
        <v>FJERN</v>
      </c>
      <c r="P1460" s="1" t="s">
        <v>6417</v>
      </c>
    </row>
    <row r="1461" spans="1:16" ht="15" customHeight="1" x14ac:dyDescent="0.2">
      <c r="A1461" s="1" t="s">
        <v>4258</v>
      </c>
      <c r="B1461" s="1" t="s">
        <v>4259</v>
      </c>
      <c r="C1461" s="1" t="s">
        <v>9</v>
      </c>
      <c r="D1461" s="1" t="s">
        <v>3</v>
      </c>
      <c r="E1461" s="5">
        <v>44090</v>
      </c>
      <c r="F1461" s="5">
        <v>46155</v>
      </c>
      <c r="G1461" s="2">
        <v>148.47229999999999</v>
      </c>
      <c r="H1461" s="1" t="s">
        <v>10</v>
      </c>
      <c r="I1461" s="2">
        <v>2054.7679680000001</v>
      </c>
      <c r="J1461" s="1" t="s">
        <v>236</v>
      </c>
      <c r="K1461" s="1" t="s">
        <v>4260</v>
      </c>
      <c r="L1461" s="2">
        <v>12135.84</v>
      </c>
      <c r="M1461">
        <f t="shared" si="66"/>
        <v>1801836.077232</v>
      </c>
      <c r="N1461">
        <f t="shared" si="67"/>
        <v>159454.52010902655</v>
      </c>
      <c r="O1461" t="str">
        <f t="shared" si="68"/>
        <v>BEHOLD</v>
      </c>
      <c r="P1461" s="1" t="s">
        <v>6418</v>
      </c>
    </row>
    <row r="1462" spans="1:16" ht="15" customHeight="1" x14ac:dyDescent="0.2">
      <c r="A1462" s="1" t="s">
        <v>4261</v>
      </c>
      <c r="B1462" s="1" t="s">
        <v>4262</v>
      </c>
      <c r="C1462" s="1" t="s">
        <v>9</v>
      </c>
      <c r="D1462" s="1" t="s">
        <v>3</v>
      </c>
      <c r="E1462" s="5">
        <v>33295</v>
      </c>
      <c r="F1462" s="5">
        <v>46155</v>
      </c>
      <c r="G1462" s="2">
        <v>134.87299999999999</v>
      </c>
      <c r="H1462" s="1" t="s">
        <v>10</v>
      </c>
      <c r="I1462" s="2">
        <v>16987.761149999998</v>
      </c>
      <c r="J1462" s="1" t="s">
        <v>11</v>
      </c>
      <c r="K1462" s="1" t="s">
        <v>4263</v>
      </c>
      <c r="L1462" s="2">
        <v>163302.9</v>
      </c>
      <c r="M1462">
        <f t="shared" si="66"/>
        <v>22025152.031699996</v>
      </c>
      <c r="N1462">
        <f t="shared" si="67"/>
        <v>1949128.4983805306</v>
      </c>
      <c r="O1462" t="str">
        <f t="shared" si="68"/>
        <v>BEHOLD</v>
      </c>
      <c r="P1462" s="1" t="s">
        <v>6419</v>
      </c>
    </row>
    <row r="1463" spans="1:16" ht="15" customHeight="1" x14ac:dyDescent="0.2">
      <c r="A1463" s="1" t="s">
        <v>4264</v>
      </c>
      <c r="B1463" s="1" t="s">
        <v>4265</v>
      </c>
      <c r="C1463" s="1" t="s">
        <v>9</v>
      </c>
      <c r="D1463" s="1" t="s">
        <v>3</v>
      </c>
      <c r="E1463" s="5">
        <v>35606</v>
      </c>
      <c r="F1463" s="5">
        <v>46155</v>
      </c>
      <c r="G1463" s="2">
        <v>33.656930000000003</v>
      </c>
      <c r="H1463" s="1" t="s">
        <v>10</v>
      </c>
      <c r="I1463" s="2">
        <v>71812.288302560002</v>
      </c>
      <c r="J1463" s="1" t="s">
        <v>23</v>
      </c>
      <c r="K1463" s="1" t="s">
        <v>4266</v>
      </c>
      <c r="L1463" s="2">
        <v>3027496</v>
      </c>
      <c r="M1463">
        <f t="shared" si="66"/>
        <v>101896220.94728</v>
      </c>
      <c r="N1463">
        <f t="shared" si="67"/>
        <v>9017364.6855999995</v>
      </c>
      <c r="O1463" t="str">
        <f t="shared" si="68"/>
        <v>BEHOLD</v>
      </c>
      <c r="P1463" s="1" t="s">
        <v>6420</v>
      </c>
    </row>
    <row r="1464" spans="1:16" ht="15" customHeight="1" x14ac:dyDescent="0.2">
      <c r="A1464" s="1" t="s">
        <v>4267</v>
      </c>
      <c r="B1464" s="1" t="s">
        <v>4268</v>
      </c>
      <c r="C1464" s="1" t="s">
        <v>9</v>
      </c>
      <c r="D1464" s="1" t="s">
        <v>3</v>
      </c>
      <c r="E1464" s="5">
        <v>42530</v>
      </c>
      <c r="F1464" s="5">
        <v>46155</v>
      </c>
      <c r="G1464" s="2">
        <v>27.427630000000001</v>
      </c>
      <c r="H1464" s="1" t="s">
        <v>10</v>
      </c>
      <c r="I1464" s="2">
        <v>575.70994078000001</v>
      </c>
      <c r="J1464" s="1" t="s">
        <v>23</v>
      </c>
      <c r="K1464" s="1" t="s">
        <v>4269</v>
      </c>
      <c r="L1464" s="2">
        <v>43338</v>
      </c>
      <c r="M1464">
        <f t="shared" si="66"/>
        <v>1188658.62894</v>
      </c>
      <c r="N1464">
        <f t="shared" si="67"/>
        <v>105191.0291097345</v>
      </c>
      <c r="O1464" t="str">
        <f t="shared" si="68"/>
        <v>BEHOLD</v>
      </c>
      <c r="P1464" s="1" t="s">
        <v>6421</v>
      </c>
    </row>
    <row r="1465" spans="1:16" ht="15" customHeight="1" x14ac:dyDescent="0.2">
      <c r="A1465" s="1" t="s">
        <v>4270</v>
      </c>
      <c r="B1465" s="1" t="s">
        <v>4271</v>
      </c>
      <c r="C1465" s="1" t="s">
        <v>9</v>
      </c>
      <c r="D1465" s="1" t="s">
        <v>3</v>
      </c>
      <c r="E1465" s="5">
        <v>41807</v>
      </c>
      <c r="F1465" s="5">
        <v>43405</v>
      </c>
      <c r="G1465" s="2">
        <v>95.524240000000006</v>
      </c>
      <c r="H1465" s="1" t="s">
        <v>10</v>
      </c>
      <c r="I1465" s="2"/>
      <c r="J1465" s="1" t="s">
        <v>55</v>
      </c>
      <c r="K1465" s="1" t="s">
        <v>4272</v>
      </c>
      <c r="L1465" s="2">
        <v>365269.6</v>
      </c>
      <c r="M1465">
        <f t="shared" si="66"/>
        <v>34892100.935103998</v>
      </c>
      <c r="N1465">
        <f t="shared" si="67"/>
        <v>3087796.5429295572</v>
      </c>
      <c r="O1465" t="str">
        <f t="shared" si="68"/>
        <v>BEHOLD</v>
      </c>
      <c r="P1465" s="1" t="s">
        <v>6422</v>
      </c>
    </row>
    <row r="1466" spans="1:16" ht="15" customHeight="1" x14ac:dyDescent="0.2">
      <c r="A1466" s="1" t="s">
        <v>4273</v>
      </c>
      <c r="B1466" s="1" t="s">
        <v>3539</v>
      </c>
      <c r="C1466" s="1" t="s">
        <v>9</v>
      </c>
      <c r="D1466" s="1" t="s">
        <v>3</v>
      </c>
      <c r="E1466" s="5">
        <v>41802</v>
      </c>
      <c r="F1466" s="5">
        <v>45393</v>
      </c>
      <c r="G1466" s="2">
        <v>94.792950000000005</v>
      </c>
      <c r="H1466" s="1" t="s">
        <v>10</v>
      </c>
      <c r="I1466" s="2">
        <v>1471.3240536000001</v>
      </c>
      <c r="J1466" s="1" t="s">
        <v>61</v>
      </c>
      <c r="K1466" s="1" t="s">
        <v>4274</v>
      </c>
      <c r="L1466" s="2">
        <v>13570.54</v>
      </c>
      <c r="M1466">
        <f t="shared" si="66"/>
        <v>1286391.5196930002</v>
      </c>
      <c r="N1466">
        <f t="shared" si="67"/>
        <v>113839.95749495577</v>
      </c>
      <c r="O1466" t="str">
        <f t="shared" si="68"/>
        <v>BEHOLD</v>
      </c>
      <c r="P1466" s="1" t="s">
        <v>6423</v>
      </c>
    </row>
    <row r="1467" spans="1:16" ht="15" customHeight="1" x14ac:dyDescent="0.2">
      <c r="A1467" s="1" t="s">
        <v>4275</v>
      </c>
      <c r="B1467" s="1" t="s">
        <v>4276</v>
      </c>
      <c r="C1467" s="1" t="s">
        <v>9</v>
      </c>
      <c r="D1467" s="1" t="s">
        <v>3</v>
      </c>
      <c r="E1467" s="5">
        <v>35720</v>
      </c>
      <c r="F1467" s="5">
        <v>46155</v>
      </c>
      <c r="G1467" s="2">
        <v>76.834919999999997</v>
      </c>
      <c r="H1467" s="1" t="s">
        <v>10</v>
      </c>
      <c r="I1467" s="2">
        <v>13283.2856474</v>
      </c>
      <c r="J1467" s="1" t="s">
        <v>236</v>
      </c>
      <c r="K1467" s="1" t="s">
        <v>4277</v>
      </c>
      <c r="L1467" s="2">
        <v>332428.59999999998</v>
      </c>
      <c r="M1467">
        <f t="shared" si="66"/>
        <v>25542124.886711996</v>
      </c>
      <c r="N1467">
        <f t="shared" si="67"/>
        <v>2260365.0342223002</v>
      </c>
      <c r="O1467" t="str">
        <f t="shared" si="68"/>
        <v>BEHOLD</v>
      </c>
      <c r="P1467" s="1" t="s">
        <v>6424</v>
      </c>
    </row>
    <row r="1468" spans="1:16" ht="15" customHeight="1" x14ac:dyDescent="0.2">
      <c r="A1468" s="1" t="s">
        <v>4278</v>
      </c>
      <c r="B1468" s="1" t="s">
        <v>4279</v>
      </c>
      <c r="C1468" s="1" t="s">
        <v>9</v>
      </c>
      <c r="D1468" s="1" t="s">
        <v>3</v>
      </c>
      <c r="E1468" s="5">
        <v>44273</v>
      </c>
      <c r="F1468" s="5">
        <v>46155</v>
      </c>
      <c r="G1468" s="2">
        <v>72.3185</v>
      </c>
      <c r="H1468" s="1" t="s">
        <v>10</v>
      </c>
      <c r="I1468" s="2">
        <v>1492.3730519999999</v>
      </c>
      <c r="J1468" s="1" t="s">
        <v>184</v>
      </c>
      <c r="K1468" s="1" t="s">
        <v>4280</v>
      </c>
      <c r="L1468" s="2">
        <v>34278.04</v>
      </c>
      <c r="M1468">
        <f t="shared" si="66"/>
        <v>2478936.4357400001</v>
      </c>
      <c r="N1468">
        <f t="shared" si="67"/>
        <v>219374.90581769912</v>
      </c>
      <c r="O1468" t="str">
        <f t="shared" si="68"/>
        <v>BEHOLD</v>
      </c>
      <c r="P1468" s="1" t="s">
        <v>6425</v>
      </c>
    </row>
    <row r="1469" spans="1:16" ht="15" customHeight="1" x14ac:dyDescent="0.2">
      <c r="A1469" s="1" t="s">
        <v>4281</v>
      </c>
      <c r="B1469" s="1" t="s">
        <v>4282</v>
      </c>
      <c r="C1469" s="1" t="s">
        <v>9</v>
      </c>
      <c r="D1469" s="1" t="s">
        <v>3</v>
      </c>
      <c r="E1469" s="5">
        <v>44729</v>
      </c>
      <c r="F1469" s="5">
        <v>46155</v>
      </c>
      <c r="G1469" s="2">
        <v>84.563469999999995</v>
      </c>
      <c r="H1469" s="1" t="s">
        <v>10</v>
      </c>
      <c r="I1469" s="2">
        <v>12676.670406400001</v>
      </c>
      <c r="J1469" s="1" t="s">
        <v>23</v>
      </c>
      <c r="K1469" s="1" t="s">
        <v>4283</v>
      </c>
      <c r="L1469" s="2">
        <v>112166</v>
      </c>
      <c r="M1469">
        <f t="shared" si="66"/>
        <v>9485146.1760200001</v>
      </c>
      <c r="N1469">
        <f t="shared" si="67"/>
        <v>839393.46690442471</v>
      </c>
      <c r="O1469" t="str">
        <f t="shared" si="68"/>
        <v>BEHOLD</v>
      </c>
      <c r="P1469" s="1" t="s">
        <v>6426</v>
      </c>
    </row>
    <row r="1470" spans="1:16" ht="15" customHeight="1" x14ac:dyDescent="0.2">
      <c r="A1470" s="1" t="s">
        <v>4284</v>
      </c>
      <c r="B1470" s="1" t="s">
        <v>4285</v>
      </c>
      <c r="C1470" s="1" t="s">
        <v>9</v>
      </c>
      <c r="D1470" s="1" t="s">
        <v>3</v>
      </c>
      <c r="E1470" s="5">
        <v>44104</v>
      </c>
      <c r="F1470" s="5">
        <v>46155</v>
      </c>
      <c r="G1470" s="2">
        <v>44.19473</v>
      </c>
      <c r="H1470" s="1" t="s">
        <v>10</v>
      </c>
      <c r="I1470" s="2">
        <v>107.68373235</v>
      </c>
      <c r="J1470" s="1" t="s">
        <v>23</v>
      </c>
      <c r="K1470" s="1" t="s">
        <v>4286</v>
      </c>
      <c r="L1470" s="2">
        <v>14734.65</v>
      </c>
      <c r="M1470">
        <f t="shared" si="66"/>
        <v>651193.8783945</v>
      </c>
      <c r="N1470">
        <f t="shared" si="67"/>
        <v>57627.776849070797</v>
      </c>
      <c r="O1470" t="str">
        <f t="shared" si="68"/>
        <v>FJERN</v>
      </c>
      <c r="P1470" s="1" t="s">
        <v>6427</v>
      </c>
    </row>
    <row r="1471" spans="1:16" ht="15" customHeight="1" x14ac:dyDescent="0.2">
      <c r="A1471" s="1" t="s">
        <v>4287</v>
      </c>
      <c r="B1471" s="1" t="s">
        <v>4288</v>
      </c>
      <c r="C1471" s="1" t="s">
        <v>9</v>
      </c>
      <c r="D1471" s="1" t="s">
        <v>3</v>
      </c>
      <c r="E1471" s="5">
        <v>44141</v>
      </c>
      <c r="F1471" s="5">
        <v>46155</v>
      </c>
      <c r="G1471" s="2">
        <v>214.41749999999999</v>
      </c>
      <c r="H1471" s="1" t="s">
        <v>10</v>
      </c>
      <c r="I1471" s="2">
        <v>722.62026900000001</v>
      </c>
      <c r="J1471" s="1" t="s">
        <v>222</v>
      </c>
      <c r="K1471" s="1" t="s">
        <v>4289</v>
      </c>
      <c r="L1471" s="2">
        <v>15968.17</v>
      </c>
      <c r="M1471">
        <f t="shared" si="66"/>
        <v>3423855.0909750001</v>
      </c>
      <c r="N1471">
        <f t="shared" si="67"/>
        <v>302996.02574999997</v>
      </c>
      <c r="O1471" t="str">
        <f t="shared" si="68"/>
        <v>BEHOLD</v>
      </c>
      <c r="P1471" s="1" t="s">
        <v>6428</v>
      </c>
    </row>
    <row r="1472" spans="1:16" ht="15" customHeight="1" x14ac:dyDescent="0.2">
      <c r="A1472" s="1" t="s">
        <v>4290</v>
      </c>
      <c r="B1472" s="1" t="s">
        <v>4291</v>
      </c>
      <c r="C1472" s="1" t="s">
        <v>9</v>
      </c>
      <c r="D1472" s="1" t="s">
        <v>3</v>
      </c>
      <c r="E1472" s="5">
        <v>44327</v>
      </c>
      <c r="F1472" s="5">
        <v>45541</v>
      </c>
      <c r="G1472" s="2">
        <v>1.751571</v>
      </c>
      <c r="H1472" s="1" t="s">
        <v>10</v>
      </c>
      <c r="I1472" s="2">
        <v>53.924823420000301</v>
      </c>
      <c r="J1472" s="1" t="s">
        <v>34</v>
      </c>
      <c r="K1472" s="1" t="s">
        <v>4292</v>
      </c>
      <c r="L1472" s="2">
        <v>388328.8</v>
      </c>
      <c r="M1472">
        <f t="shared" si="66"/>
        <v>680185.46454479999</v>
      </c>
      <c r="N1472">
        <f t="shared" si="67"/>
        <v>60193.403942017692</v>
      </c>
      <c r="O1472" t="str">
        <f t="shared" si="68"/>
        <v>FJERN</v>
      </c>
      <c r="P1472" s="1" t="s">
        <v>6429</v>
      </c>
    </row>
    <row r="1473" spans="1:16" ht="15" customHeight="1" x14ac:dyDescent="0.2">
      <c r="A1473" s="1" t="s">
        <v>4293</v>
      </c>
      <c r="B1473" s="1" t="s">
        <v>4294</v>
      </c>
      <c r="C1473" s="1" t="s">
        <v>9</v>
      </c>
      <c r="D1473" s="1" t="s">
        <v>3</v>
      </c>
      <c r="E1473" s="5">
        <v>44161</v>
      </c>
      <c r="F1473" s="5">
        <v>45345</v>
      </c>
      <c r="G1473" s="2">
        <v>127.4824</v>
      </c>
      <c r="H1473" s="1" t="s">
        <v>10</v>
      </c>
      <c r="I1473" s="2"/>
      <c r="J1473" s="1" t="s">
        <v>51</v>
      </c>
      <c r="K1473" s="1" t="s">
        <v>4295</v>
      </c>
      <c r="L1473" s="2">
        <v>175412.8</v>
      </c>
      <c r="M1473">
        <f t="shared" si="66"/>
        <v>22362044.734719999</v>
      </c>
      <c r="N1473">
        <f t="shared" si="67"/>
        <v>1978942.0119221236</v>
      </c>
      <c r="O1473" t="str">
        <f t="shared" si="68"/>
        <v>BEHOLD</v>
      </c>
      <c r="P1473" s="1" t="s">
        <v>6430</v>
      </c>
    </row>
    <row r="1474" spans="1:16" ht="15" customHeight="1" x14ac:dyDescent="0.2">
      <c r="A1474" s="1" t="s">
        <v>4296</v>
      </c>
      <c r="B1474" s="1" t="s">
        <v>4297</v>
      </c>
      <c r="C1474" s="1" t="s">
        <v>9</v>
      </c>
      <c r="D1474" s="1" t="s">
        <v>3</v>
      </c>
      <c r="E1474" s="5">
        <v>44160</v>
      </c>
      <c r="F1474" s="5">
        <v>46155</v>
      </c>
      <c r="G1474" s="2">
        <v>192.15940000000001</v>
      </c>
      <c r="H1474" s="1" t="s">
        <v>10</v>
      </c>
      <c r="I1474" s="2">
        <v>67375.667021747897</v>
      </c>
      <c r="J1474" s="1" t="s">
        <v>15</v>
      </c>
      <c r="K1474" s="1" t="s">
        <v>4298</v>
      </c>
      <c r="L1474" s="2">
        <v>360268.2</v>
      </c>
      <c r="M1474">
        <f t="shared" si="66"/>
        <v>69228921.151079997</v>
      </c>
      <c r="N1474">
        <f t="shared" si="67"/>
        <v>6126453.1992106186</v>
      </c>
      <c r="O1474" t="str">
        <f t="shared" si="68"/>
        <v>BEHOLD</v>
      </c>
      <c r="P1474" s="1" t="s">
        <v>6431</v>
      </c>
    </row>
    <row r="1475" spans="1:16" ht="15" customHeight="1" x14ac:dyDescent="0.2">
      <c r="A1475" s="1" t="s">
        <v>4299</v>
      </c>
      <c r="B1475" s="1" t="s">
        <v>4300</v>
      </c>
      <c r="C1475" s="1" t="s">
        <v>9</v>
      </c>
      <c r="D1475" s="1" t="s">
        <v>3</v>
      </c>
      <c r="E1475" s="5">
        <v>44328</v>
      </c>
      <c r="F1475" s="5">
        <v>46155</v>
      </c>
      <c r="G1475" s="2">
        <v>5.9915760000000002</v>
      </c>
      <c r="H1475" s="1" t="s">
        <v>10</v>
      </c>
      <c r="I1475" s="2">
        <v>86.297312000000005</v>
      </c>
      <c r="J1475" s="1" t="s">
        <v>328</v>
      </c>
      <c r="K1475" s="1" t="s">
        <v>4301</v>
      </c>
      <c r="L1475" s="2">
        <v>38256.839999999997</v>
      </c>
      <c r="M1475">
        <f t="shared" ref="M1475:M1538" si="69">IF(OR(G1475="",L1475=""),"",G1475*L1475)</f>
        <v>229218.76437983999</v>
      </c>
      <c r="N1475">
        <f t="shared" ref="N1475:N1538" si="70">IF(M1475="","",IF(H1475="DKK",M1475/7.45,IF(H1475="SEK",M1475/11.3,M1475)))</f>
        <v>20284.846405295575</v>
      </c>
      <c r="O1475" t="str">
        <f t="shared" ref="O1475:O1538" si="71">IF(AND(E1475&lt;=DATE(2024,12,31),F1475&gt;=DATE(2010,1,1),D1475="SHARE",N1475&gt;=100000),"BEHOLD","FJERN")</f>
        <v>FJERN</v>
      </c>
      <c r="P1475" s="1" t="s">
        <v>6432</v>
      </c>
    </row>
    <row r="1476" spans="1:16" ht="15" customHeight="1" x14ac:dyDescent="0.2">
      <c r="A1476" s="1" t="s">
        <v>4302</v>
      </c>
      <c r="B1476" s="1" t="s">
        <v>4303</v>
      </c>
      <c r="C1476" s="1" t="s">
        <v>9</v>
      </c>
      <c r="D1476" s="1" t="s">
        <v>3</v>
      </c>
      <c r="E1476" s="5">
        <v>44307</v>
      </c>
      <c r="F1476" s="5">
        <v>46155</v>
      </c>
      <c r="G1476" s="2">
        <v>2.9421940000000002</v>
      </c>
      <c r="H1476" s="1" t="s">
        <v>10</v>
      </c>
      <c r="I1476" s="2">
        <v>40.667942400000001</v>
      </c>
      <c r="J1476" s="1" t="s">
        <v>30</v>
      </c>
      <c r="K1476" s="1" t="s">
        <v>4304</v>
      </c>
      <c r="L1476" s="2">
        <v>28029.59</v>
      </c>
      <c r="M1476">
        <f t="shared" si="69"/>
        <v>82468.491520460011</v>
      </c>
      <c r="N1476">
        <f t="shared" si="70"/>
        <v>7298.0965947309742</v>
      </c>
      <c r="O1476" t="str">
        <f t="shared" si="71"/>
        <v>FJERN</v>
      </c>
      <c r="P1476" s="1" t="s">
        <v>6433</v>
      </c>
    </row>
    <row r="1477" spans="1:16" ht="15" customHeight="1" x14ac:dyDescent="0.2">
      <c r="A1477" s="1" t="s">
        <v>4305</v>
      </c>
      <c r="B1477" s="1" t="s">
        <v>4306</v>
      </c>
      <c r="C1477" s="1" t="s">
        <v>9</v>
      </c>
      <c r="D1477" s="1" t="s">
        <v>3</v>
      </c>
      <c r="E1477" s="5">
        <v>44292</v>
      </c>
      <c r="F1477" s="5">
        <v>45597</v>
      </c>
      <c r="G1477" s="2">
        <v>0.86803980000000003</v>
      </c>
      <c r="H1477" s="1" t="s">
        <v>10</v>
      </c>
      <c r="I1477" s="2">
        <v>5.8429742399994504</v>
      </c>
      <c r="J1477" s="1" t="s">
        <v>236</v>
      </c>
      <c r="K1477" s="1" t="s">
        <v>4307</v>
      </c>
      <c r="L1477" s="2">
        <v>638003.1</v>
      </c>
      <c r="M1477">
        <f t="shared" si="69"/>
        <v>553812.08332337998</v>
      </c>
      <c r="N1477">
        <f t="shared" si="70"/>
        <v>49009.918878175216</v>
      </c>
      <c r="O1477" t="str">
        <f t="shared" si="71"/>
        <v>FJERN</v>
      </c>
      <c r="P1477" s="1" t="s">
        <v>6434</v>
      </c>
    </row>
    <row r="1478" spans="1:16" ht="15" customHeight="1" x14ac:dyDescent="0.2">
      <c r="A1478" s="1" t="s">
        <v>4308</v>
      </c>
      <c r="B1478" s="1" t="s">
        <v>4309</v>
      </c>
      <c r="C1478" s="1" t="s">
        <v>9</v>
      </c>
      <c r="D1478" s="1" t="s">
        <v>3</v>
      </c>
      <c r="E1478" s="5">
        <v>44264</v>
      </c>
      <c r="F1478" s="5">
        <v>46155</v>
      </c>
      <c r="G1478" s="2">
        <v>147.78530000000001</v>
      </c>
      <c r="H1478" s="1" t="s">
        <v>10</v>
      </c>
      <c r="I1478" s="2">
        <v>25.76999558</v>
      </c>
      <c r="J1478" s="1" t="s">
        <v>184</v>
      </c>
      <c r="K1478" s="1" t="s">
        <v>4310</v>
      </c>
      <c r="L1478" s="2">
        <v>191200.9</v>
      </c>
      <c r="M1478">
        <f t="shared" si="69"/>
        <v>28256682.366769999</v>
      </c>
      <c r="N1478">
        <f t="shared" si="70"/>
        <v>2500591.3598911501</v>
      </c>
      <c r="O1478" t="str">
        <f t="shared" si="71"/>
        <v>BEHOLD</v>
      </c>
      <c r="P1478" s="1" t="s">
        <v>6435</v>
      </c>
    </row>
    <row r="1479" spans="1:16" ht="15" customHeight="1" x14ac:dyDescent="0.2">
      <c r="A1479" s="1" t="s">
        <v>4311</v>
      </c>
      <c r="B1479" s="1" t="s">
        <v>4312</v>
      </c>
      <c r="C1479" s="1" t="s">
        <v>9</v>
      </c>
      <c r="D1479" s="1" t="s">
        <v>3</v>
      </c>
      <c r="E1479" s="5">
        <v>34172</v>
      </c>
      <c r="F1479" s="5">
        <v>46155</v>
      </c>
      <c r="G1479" s="2">
        <v>29.575230000000001</v>
      </c>
      <c r="H1479" s="1" t="s">
        <v>10</v>
      </c>
      <c r="I1479" s="2">
        <v>5519.36</v>
      </c>
      <c r="J1479" s="1" t="s">
        <v>76</v>
      </c>
      <c r="K1479" s="1" t="s">
        <v>4313</v>
      </c>
      <c r="L1479" s="2">
        <v>129871.9</v>
      </c>
      <c r="M1479">
        <f t="shared" si="69"/>
        <v>3840991.3130370001</v>
      </c>
      <c r="N1479">
        <f t="shared" si="70"/>
        <v>339910.73566699115</v>
      </c>
      <c r="O1479" t="str">
        <f t="shared" si="71"/>
        <v>BEHOLD</v>
      </c>
      <c r="P1479" s="1" t="s">
        <v>6436</v>
      </c>
    </row>
    <row r="1480" spans="1:16" ht="15" customHeight="1" x14ac:dyDescent="0.2">
      <c r="A1480" s="1" t="s">
        <v>4314</v>
      </c>
      <c r="B1480" s="1" t="s">
        <v>4315</v>
      </c>
      <c r="C1480" s="1" t="s">
        <v>9</v>
      </c>
      <c r="D1480" s="1" t="s">
        <v>3</v>
      </c>
      <c r="E1480" s="5">
        <v>39135</v>
      </c>
      <c r="F1480" s="5">
        <v>46155</v>
      </c>
      <c r="G1480" s="2">
        <v>20.006419999999999</v>
      </c>
      <c r="H1480" s="1" t="s">
        <v>10</v>
      </c>
      <c r="I1480" s="2">
        <v>4681.4836636</v>
      </c>
      <c r="J1480" s="1" t="s">
        <v>86</v>
      </c>
      <c r="K1480" s="1" t="s">
        <v>4316</v>
      </c>
      <c r="L1480" s="2">
        <v>115519</v>
      </c>
      <c r="M1480">
        <f t="shared" si="69"/>
        <v>2311121.6319800001</v>
      </c>
      <c r="N1480">
        <f t="shared" si="70"/>
        <v>204524.03822831859</v>
      </c>
      <c r="O1480" t="str">
        <f t="shared" si="71"/>
        <v>BEHOLD</v>
      </c>
      <c r="P1480" s="1" t="s">
        <v>6437</v>
      </c>
    </row>
    <row r="1481" spans="1:16" ht="15" customHeight="1" x14ac:dyDescent="0.2">
      <c r="A1481" s="1" t="s">
        <v>4317</v>
      </c>
      <c r="B1481" s="1" t="s">
        <v>4318</v>
      </c>
      <c r="C1481" s="1" t="s">
        <v>9</v>
      </c>
      <c r="D1481" s="1" t="s">
        <v>3</v>
      </c>
      <c r="E1481" s="5">
        <v>43881</v>
      </c>
      <c r="F1481" s="5">
        <v>46083</v>
      </c>
      <c r="G1481" s="2">
        <v>21.923400000000001</v>
      </c>
      <c r="H1481" s="1" t="s">
        <v>10</v>
      </c>
      <c r="I1481" s="2">
        <v>1531.7629119000001</v>
      </c>
      <c r="J1481" s="1" t="s">
        <v>11</v>
      </c>
      <c r="K1481" s="1" t="s">
        <v>4319</v>
      </c>
      <c r="L1481" s="2">
        <v>34831.769999999997</v>
      </c>
      <c r="M1481">
        <f t="shared" si="69"/>
        <v>763630.82641799992</v>
      </c>
      <c r="N1481">
        <f t="shared" si="70"/>
        <v>67577.949240530957</v>
      </c>
      <c r="O1481" t="str">
        <f t="shared" si="71"/>
        <v>FJERN</v>
      </c>
      <c r="P1481" s="1" t="s">
        <v>6438</v>
      </c>
    </row>
    <row r="1482" spans="1:16" ht="15" customHeight="1" x14ac:dyDescent="0.2">
      <c r="A1482" s="1" t="s">
        <v>4320</v>
      </c>
      <c r="B1482" s="1" t="s">
        <v>4321</v>
      </c>
      <c r="C1482" s="1" t="s">
        <v>9</v>
      </c>
      <c r="D1482" s="1" t="s">
        <v>3</v>
      </c>
      <c r="E1482" s="5">
        <v>41068</v>
      </c>
      <c r="F1482" s="5">
        <v>46155</v>
      </c>
      <c r="G1482" s="2">
        <v>280.28609999999998</v>
      </c>
      <c r="H1482" s="1" t="s">
        <v>10</v>
      </c>
      <c r="I1482" s="2">
        <v>913.08213760000001</v>
      </c>
      <c r="J1482" s="1" t="s">
        <v>61</v>
      </c>
      <c r="K1482" s="1" t="s">
        <v>4322</v>
      </c>
      <c r="L1482" s="2">
        <v>1678.2149999999999</v>
      </c>
      <c r="M1482">
        <f t="shared" si="69"/>
        <v>470380.33731149993</v>
      </c>
      <c r="N1482">
        <f t="shared" si="70"/>
        <v>41626.578523141587</v>
      </c>
      <c r="O1482" t="str">
        <f t="shared" si="71"/>
        <v>FJERN</v>
      </c>
      <c r="P1482" s="1" t="s">
        <v>6439</v>
      </c>
    </row>
    <row r="1483" spans="1:16" ht="15" customHeight="1" x14ac:dyDescent="0.2">
      <c r="A1483" s="1" t="s">
        <v>4323</v>
      </c>
      <c r="B1483" s="1" t="s">
        <v>4324</v>
      </c>
      <c r="C1483" s="1" t="s">
        <v>9</v>
      </c>
      <c r="D1483" s="1" t="s">
        <v>3</v>
      </c>
      <c r="E1483" s="5">
        <v>41808</v>
      </c>
      <c r="F1483" s="5">
        <v>46155</v>
      </c>
      <c r="G1483" s="2">
        <v>2.9804029999999999</v>
      </c>
      <c r="H1483" s="1" t="s">
        <v>10</v>
      </c>
      <c r="I1483" s="2">
        <v>53.770654980000003</v>
      </c>
      <c r="J1483" s="1" t="s">
        <v>23</v>
      </c>
      <c r="K1483" s="1" t="s">
        <v>4325</v>
      </c>
      <c r="L1483" s="2">
        <v>84104.29</v>
      </c>
      <c r="M1483">
        <f t="shared" si="69"/>
        <v>250664.67822886998</v>
      </c>
      <c r="N1483">
        <f t="shared" si="70"/>
        <v>22182.714887510618</v>
      </c>
      <c r="O1483" t="str">
        <f t="shared" si="71"/>
        <v>FJERN</v>
      </c>
      <c r="P1483" s="1" t="s">
        <v>6440</v>
      </c>
    </row>
    <row r="1484" spans="1:16" ht="15" customHeight="1" x14ac:dyDescent="0.2">
      <c r="A1484" s="1" t="s">
        <v>4326</v>
      </c>
      <c r="B1484" s="1" t="s">
        <v>4327</v>
      </c>
      <c r="C1484" s="1" t="s">
        <v>9</v>
      </c>
      <c r="D1484" s="1" t="s">
        <v>3</v>
      </c>
      <c r="E1484" s="5">
        <v>41809</v>
      </c>
      <c r="F1484" s="5">
        <v>46155</v>
      </c>
      <c r="G1484" s="2">
        <v>37.281260000000003</v>
      </c>
      <c r="H1484" s="1" t="s">
        <v>10</v>
      </c>
      <c r="I1484" s="2">
        <v>5846.0280480000001</v>
      </c>
      <c r="J1484" s="1" t="s">
        <v>115</v>
      </c>
      <c r="K1484" s="1" t="s">
        <v>4328</v>
      </c>
      <c r="L1484" s="2">
        <v>68773.899999999994</v>
      </c>
      <c r="M1484">
        <f t="shared" si="69"/>
        <v>2563977.6471139998</v>
      </c>
      <c r="N1484">
        <f t="shared" si="70"/>
        <v>226900.67673575217</v>
      </c>
      <c r="O1484" t="str">
        <f t="shared" si="71"/>
        <v>BEHOLD</v>
      </c>
      <c r="P1484" s="1" t="s">
        <v>6441</v>
      </c>
    </row>
    <row r="1485" spans="1:16" ht="15" customHeight="1" x14ac:dyDescent="0.2">
      <c r="A1485" s="1" t="s">
        <v>4329</v>
      </c>
      <c r="B1485" s="1" t="s">
        <v>4330</v>
      </c>
      <c r="C1485" s="1" t="s">
        <v>9</v>
      </c>
      <c r="D1485" s="1" t="s">
        <v>3</v>
      </c>
      <c r="E1485" s="5">
        <v>44176</v>
      </c>
      <c r="F1485" s="5">
        <v>46155</v>
      </c>
      <c r="G1485" s="2">
        <v>20.212890000000002</v>
      </c>
      <c r="H1485" s="1" t="s">
        <v>10</v>
      </c>
      <c r="I1485" s="2">
        <v>1529.6619955199999</v>
      </c>
      <c r="J1485" s="1" t="s">
        <v>61</v>
      </c>
      <c r="K1485" s="1" t="s">
        <v>4331</v>
      </c>
      <c r="L1485" s="2">
        <v>77204.899999999994</v>
      </c>
      <c r="M1485">
        <f t="shared" si="69"/>
        <v>1560534.1511609999</v>
      </c>
      <c r="N1485">
        <f t="shared" si="70"/>
        <v>138100.3673593805</v>
      </c>
      <c r="O1485" t="str">
        <f t="shared" si="71"/>
        <v>BEHOLD</v>
      </c>
      <c r="P1485" s="1" t="s">
        <v>6442</v>
      </c>
    </row>
    <row r="1486" spans="1:16" ht="15" customHeight="1" x14ac:dyDescent="0.2">
      <c r="A1486" s="1" t="s">
        <v>4332</v>
      </c>
      <c r="B1486" s="1" t="s">
        <v>4333</v>
      </c>
      <c r="C1486" s="1" t="s">
        <v>9</v>
      </c>
      <c r="D1486" s="1" t="s">
        <v>3</v>
      </c>
      <c r="E1486" s="5">
        <v>38524</v>
      </c>
      <c r="F1486" s="5">
        <v>46006</v>
      </c>
      <c r="G1486" s="2">
        <v>128.3287</v>
      </c>
      <c r="H1486" s="1" t="s">
        <v>10</v>
      </c>
      <c r="I1486" s="2">
        <v>17.674509299995801</v>
      </c>
      <c r="J1486" s="1" t="s">
        <v>64</v>
      </c>
      <c r="K1486" s="1" t="s">
        <v>4334</v>
      </c>
      <c r="L1486" s="2">
        <v>1740640</v>
      </c>
      <c r="M1486">
        <f t="shared" si="69"/>
        <v>223374068.368</v>
      </c>
      <c r="N1486">
        <f t="shared" si="70"/>
        <v>19767616.669734512</v>
      </c>
      <c r="O1486" t="str">
        <f t="shared" si="71"/>
        <v>BEHOLD</v>
      </c>
      <c r="P1486" s="1" t="s">
        <v>6443</v>
      </c>
    </row>
    <row r="1487" spans="1:16" ht="15" customHeight="1" x14ac:dyDescent="0.2">
      <c r="A1487" s="1" t="s">
        <v>4335</v>
      </c>
      <c r="B1487" s="1" t="s">
        <v>4336</v>
      </c>
      <c r="C1487" s="1" t="s">
        <v>2</v>
      </c>
      <c r="D1487" s="1" t="s">
        <v>3</v>
      </c>
      <c r="E1487" s="5">
        <v>43117</v>
      </c>
      <c r="F1487" s="5">
        <v>45524</v>
      </c>
      <c r="G1487" s="2">
        <v>151.42330000000001</v>
      </c>
      <c r="H1487" s="1" t="s">
        <v>4</v>
      </c>
      <c r="I1487" s="2">
        <v>152.2438056</v>
      </c>
      <c r="J1487" s="1" t="s">
        <v>38</v>
      </c>
      <c r="K1487" s="1" t="s">
        <v>4337</v>
      </c>
      <c r="L1487" s="2">
        <v>11957.17</v>
      </c>
      <c r="M1487">
        <f t="shared" si="69"/>
        <v>1810594.1400610001</v>
      </c>
      <c r="N1487">
        <f t="shared" si="70"/>
        <v>243032.77047798657</v>
      </c>
      <c r="O1487" t="str">
        <f t="shared" si="71"/>
        <v>BEHOLD</v>
      </c>
      <c r="P1487" s="1" t="s">
        <v>6444</v>
      </c>
    </row>
    <row r="1488" spans="1:16" ht="15" customHeight="1" x14ac:dyDescent="0.2">
      <c r="A1488" s="1" t="s">
        <v>4338</v>
      </c>
      <c r="B1488" s="1" t="s">
        <v>4339</v>
      </c>
      <c r="C1488" s="1" t="s">
        <v>9</v>
      </c>
      <c r="D1488" s="1" t="s">
        <v>3</v>
      </c>
      <c r="E1488" s="5">
        <v>41809</v>
      </c>
      <c r="F1488" s="5">
        <v>46155</v>
      </c>
      <c r="G1488" s="2">
        <v>61.899810000000002</v>
      </c>
      <c r="H1488" s="1" t="s">
        <v>10</v>
      </c>
      <c r="I1488" s="2">
        <v>697.3733115</v>
      </c>
      <c r="J1488" s="1" t="s">
        <v>34</v>
      </c>
      <c r="K1488" s="1" t="s">
        <v>4340</v>
      </c>
      <c r="L1488" s="2">
        <v>31066.46</v>
      </c>
      <c r="M1488">
        <f t="shared" si="69"/>
        <v>1923007.9713725999</v>
      </c>
      <c r="N1488">
        <f t="shared" si="70"/>
        <v>170177.69658164601</v>
      </c>
      <c r="O1488" t="str">
        <f t="shared" si="71"/>
        <v>BEHOLD</v>
      </c>
      <c r="P1488" s="1" t="s">
        <v>6445</v>
      </c>
    </row>
    <row r="1489" spans="1:16" ht="15" customHeight="1" x14ac:dyDescent="0.2">
      <c r="A1489" s="1" t="s">
        <v>4341</v>
      </c>
      <c r="B1489" s="1" t="s">
        <v>4342</v>
      </c>
      <c r="C1489" s="1" t="s">
        <v>9</v>
      </c>
      <c r="D1489" s="1" t="s">
        <v>255</v>
      </c>
      <c r="E1489" s="5">
        <v>44602</v>
      </c>
      <c r="F1489" s="5">
        <v>45443</v>
      </c>
      <c r="G1489" s="2">
        <v>7.2465669999999998</v>
      </c>
      <c r="H1489" s="1" t="s">
        <v>10</v>
      </c>
      <c r="I1489" s="2"/>
      <c r="J1489" s="1" t="s">
        <v>328</v>
      </c>
      <c r="K1489" s="1" t="s">
        <v>4343</v>
      </c>
      <c r="L1489" s="2">
        <v>11747.34</v>
      </c>
      <c r="M1489">
        <f t="shared" si="69"/>
        <v>85127.886381780001</v>
      </c>
      <c r="N1489">
        <f t="shared" si="70"/>
        <v>7533.4412727238932</v>
      </c>
      <c r="O1489" t="str">
        <f t="shared" si="71"/>
        <v>FJERN</v>
      </c>
      <c r="P1489" s="1"/>
    </row>
    <row r="1490" spans="1:16" ht="15" customHeight="1" x14ac:dyDescent="0.2">
      <c r="A1490" s="1" t="s">
        <v>4344</v>
      </c>
      <c r="B1490" s="1" t="s">
        <v>4345</v>
      </c>
      <c r="C1490" s="1" t="s">
        <v>9</v>
      </c>
      <c r="D1490" s="1" t="s">
        <v>3</v>
      </c>
      <c r="E1490" s="5">
        <v>44648</v>
      </c>
      <c r="F1490" s="5">
        <v>46155</v>
      </c>
      <c r="G1490" s="2">
        <v>36.94061</v>
      </c>
      <c r="H1490" s="1" t="s">
        <v>10</v>
      </c>
      <c r="I1490" s="2">
        <v>716.81619679999994</v>
      </c>
      <c r="J1490" s="1" t="s">
        <v>236</v>
      </c>
      <c r="K1490" s="1" t="s">
        <v>4346</v>
      </c>
      <c r="L1490" s="2">
        <v>10880.17</v>
      </c>
      <c r="M1490">
        <f t="shared" si="69"/>
        <v>401920.11670369998</v>
      </c>
      <c r="N1490">
        <f t="shared" si="70"/>
        <v>35568.151920681412</v>
      </c>
      <c r="O1490" t="str">
        <f t="shared" si="71"/>
        <v>FJERN</v>
      </c>
      <c r="P1490" s="1" t="s">
        <v>6446</v>
      </c>
    </row>
    <row r="1491" spans="1:16" ht="15" customHeight="1" x14ac:dyDescent="0.2">
      <c r="A1491" s="1" t="s">
        <v>4347</v>
      </c>
      <c r="B1491" s="1" t="s">
        <v>4348</v>
      </c>
      <c r="C1491" s="1" t="s">
        <v>2</v>
      </c>
      <c r="D1491" s="1" t="s">
        <v>3</v>
      </c>
      <c r="E1491" s="5">
        <v>31049</v>
      </c>
      <c r="F1491" s="5">
        <v>46155</v>
      </c>
      <c r="G1491" s="2">
        <v>72.046139999999994</v>
      </c>
      <c r="H1491" s="1" t="s">
        <v>4</v>
      </c>
      <c r="I1491" s="2">
        <v>50649.221033826398</v>
      </c>
      <c r="J1491" s="1" t="s">
        <v>366</v>
      </c>
      <c r="K1491" s="1" t="s">
        <v>4349</v>
      </c>
      <c r="L1491" s="2">
        <v>255653.4</v>
      </c>
      <c r="M1491">
        <f t="shared" si="69"/>
        <v>18418840.647875998</v>
      </c>
      <c r="N1491">
        <f t="shared" si="70"/>
        <v>2472327.6037417445</v>
      </c>
      <c r="O1491" t="str">
        <f t="shared" si="71"/>
        <v>BEHOLD</v>
      </c>
      <c r="P1491" s="1" t="s">
        <v>6447</v>
      </c>
    </row>
    <row r="1492" spans="1:16" ht="15" customHeight="1" x14ac:dyDescent="0.2">
      <c r="A1492" s="1" t="s">
        <v>4350</v>
      </c>
      <c r="B1492" s="1" t="s">
        <v>4351</v>
      </c>
      <c r="C1492" s="1" t="s">
        <v>9</v>
      </c>
      <c r="D1492" s="1" t="s">
        <v>3</v>
      </c>
      <c r="E1492" s="5">
        <v>41817</v>
      </c>
      <c r="F1492" s="5">
        <v>46155</v>
      </c>
      <c r="G1492" s="2">
        <v>63.028930000000003</v>
      </c>
      <c r="H1492" s="1" t="s">
        <v>10</v>
      </c>
      <c r="I1492" s="2">
        <v>6498.2663757</v>
      </c>
      <c r="J1492" s="1" t="s">
        <v>5</v>
      </c>
      <c r="K1492" s="1" t="s">
        <v>4352</v>
      </c>
      <c r="L1492" s="2">
        <v>132030.6</v>
      </c>
      <c r="M1492">
        <f t="shared" si="69"/>
        <v>8321747.4452580009</v>
      </c>
      <c r="N1492">
        <f t="shared" si="70"/>
        <v>736437.82701398234</v>
      </c>
      <c r="O1492" t="str">
        <f t="shared" si="71"/>
        <v>BEHOLD</v>
      </c>
      <c r="P1492" s="1" t="s">
        <v>6448</v>
      </c>
    </row>
    <row r="1493" spans="1:16" ht="15" customHeight="1" x14ac:dyDescent="0.2">
      <c r="A1493" s="1" t="s">
        <v>4353</v>
      </c>
      <c r="B1493" s="1" t="s">
        <v>4354</v>
      </c>
      <c r="C1493" s="1" t="s">
        <v>9</v>
      </c>
      <c r="D1493" s="1" t="s">
        <v>3</v>
      </c>
      <c r="E1493" s="5">
        <v>36552</v>
      </c>
      <c r="F1493" s="5">
        <v>46155</v>
      </c>
      <c r="G1493" s="2">
        <v>12.62665</v>
      </c>
      <c r="H1493" s="1" t="s">
        <v>10</v>
      </c>
      <c r="I1493" s="2">
        <v>180.78180940799999</v>
      </c>
      <c r="J1493" s="1" t="s">
        <v>236</v>
      </c>
      <c r="K1493" s="1" t="s">
        <v>4355</v>
      </c>
      <c r="L1493" s="2">
        <v>516051.7</v>
      </c>
      <c r="M1493">
        <f t="shared" si="69"/>
        <v>6516004.1978049995</v>
      </c>
      <c r="N1493">
        <f t="shared" si="70"/>
        <v>576637.53962876101</v>
      </c>
      <c r="O1493" t="str">
        <f t="shared" si="71"/>
        <v>BEHOLD</v>
      </c>
      <c r="P1493" s="1" t="s">
        <v>6449</v>
      </c>
    </row>
    <row r="1494" spans="1:16" ht="15" customHeight="1" x14ac:dyDescent="0.2">
      <c r="A1494" s="1" t="s">
        <v>4356</v>
      </c>
      <c r="B1494" s="1" t="s">
        <v>4357</v>
      </c>
      <c r="C1494" s="1" t="s">
        <v>2</v>
      </c>
      <c r="D1494" s="1" t="s">
        <v>3</v>
      </c>
      <c r="E1494" s="5">
        <v>44384</v>
      </c>
      <c r="F1494" s="5">
        <v>44986</v>
      </c>
      <c r="G1494" s="2">
        <v>3.6389610000000001</v>
      </c>
      <c r="H1494" s="1" t="s">
        <v>4</v>
      </c>
      <c r="I1494" s="2"/>
      <c r="J1494" s="1" t="s">
        <v>236</v>
      </c>
      <c r="K1494" s="1" t="s">
        <v>4358</v>
      </c>
      <c r="L1494" s="2">
        <v>17047.09</v>
      </c>
      <c r="M1494">
        <f t="shared" si="69"/>
        <v>62033.695673490001</v>
      </c>
      <c r="N1494">
        <f t="shared" si="70"/>
        <v>8326.6705602000002</v>
      </c>
      <c r="O1494" t="str">
        <f t="shared" si="71"/>
        <v>FJERN</v>
      </c>
      <c r="P1494" s="1"/>
    </row>
    <row r="1495" spans="1:16" ht="15" customHeight="1" x14ac:dyDescent="0.2">
      <c r="A1495" s="1" t="s">
        <v>4359</v>
      </c>
      <c r="B1495" s="1" t="s">
        <v>4360</v>
      </c>
      <c r="C1495" s="1" t="s">
        <v>9</v>
      </c>
      <c r="D1495" s="1" t="s">
        <v>3</v>
      </c>
      <c r="E1495" s="5">
        <v>44383</v>
      </c>
      <c r="F1495" s="5">
        <v>45562</v>
      </c>
      <c r="G1495" s="2">
        <v>0.38562259999999998</v>
      </c>
      <c r="H1495" s="1" t="s">
        <v>10</v>
      </c>
      <c r="I1495" s="2">
        <v>24.394929975</v>
      </c>
      <c r="J1495" s="1" t="s">
        <v>366</v>
      </c>
      <c r="K1495" s="1" t="s">
        <v>4361</v>
      </c>
      <c r="L1495" s="2">
        <v>8786263</v>
      </c>
      <c r="M1495">
        <f t="shared" si="69"/>
        <v>3388181.5823438</v>
      </c>
      <c r="N1495">
        <f t="shared" si="70"/>
        <v>299839.07808352209</v>
      </c>
      <c r="O1495" t="str">
        <f t="shared" si="71"/>
        <v>BEHOLD</v>
      </c>
      <c r="P1495" s="1" t="s">
        <v>6450</v>
      </c>
    </row>
    <row r="1496" spans="1:16" ht="15" customHeight="1" x14ac:dyDescent="0.2">
      <c r="A1496" s="1" t="s">
        <v>4362</v>
      </c>
      <c r="B1496" s="1" t="s">
        <v>4363</v>
      </c>
      <c r="C1496" s="1" t="s">
        <v>9</v>
      </c>
      <c r="D1496" s="1" t="s">
        <v>3</v>
      </c>
      <c r="E1496" s="5">
        <v>44365</v>
      </c>
      <c r="F1496" s="5">
        <v>46155</v>
      </c>
      <c r="G1496" s="2">
        <v>41.387120000000003</v>
      </c>
      <c r="H1496" s="1" t="s">
        <v>10</v>
      </c>
      <c r="I1496" s="2">
        <v>16057.82840658</v>
      </c>
      <c r="J1496" s="1" t="s">
        <v>64</v>
      </c>
      <c r="K1496" s="1" t="s">
        <v>4364</v>
      </c>
      <c r="L1496" s="2">
        <v>404512.3</v>
      </c>
      <c r="M1496">
        <f t="shared" si="69"/>
        <v>16741599.101576</v>
      </c>
      <c r="N1496">
        <f t="shared" si="70"/>
        <v>1481557.4426173451</v>
      </c>
      <c r="O1496" t="str">
        <f t="shared" si="71"/>
        <v>BEHOLD</v>
      </c>
      <c r="P1496" s="1" t="s">
        <v>6451</v>
      </c>
    </row>
    <row r="1497" spans="1:16" ht="15" customHeight="1" x14ac:dyDescent="0.2">
      <c r="A1497" s="1" t="s">
        <v>4365</v>
      </c>
      <c r="B1497" s="1" t="s">
        <v>4366</v>
      </c>
      <c r="C1497" s="1" t="s">
        <v>9</v>
      </c>
      <c r="D1497" s="1" t="s">
        <v>3</v>
      </c>
      <c r="E1497" s="5">
        <v>42065</v>
      </c>
      <c r="F1497" s="5">
        <v>46155</v>
      </c>
      <c r="G1497" s="2">
        <v>13.76174</v>
      </c>
      <c r="H1497" s="1" t="s">
        <v>10</v>
      </c>
      <c r="I1497" s="2">
        <v>454.96417889999998</v>
      </c>
      <c r="J1497" s="1" t="s">
        <v>61</v>
      </c>
      <c r="K1497" s="1" t="s">
        <v>4367</v>
      </c>
      <c r="L1497" s="2">
        <v>5044.2529999999997</v>
      </c>
      <c r="M1497">
        <f t="shared" si="69"/>
        <v>69417.698280219993</v>
      </c>
      <c r="N1497">
        <f t="shared" si="70"/>
        <v>6143.1591398424771</v>
      </c>
      <c r="O1497" t="str">
        <f t="shared" si="71"/>
        <v>FJERN</v>
      </c>
      <c r="P1497" s="1" t="s">
        <v>6452</v>
      </c>
    </row>
    <row r="1498" spans="1:16" ht="15" customHeight="1" x14ac:dyDescent="0.2">
      <c r="A1498" s="1" t="s">
        <v>4368</v>
      </c>
      <c r="B1498" s="1" t="s">
        <v>4369</v>
      </c>
      <c r="C1498" s="1" t="s">
        <v>9</v>
      </c>
      <c r="D1498" s="1" t="s">
        <v>3</v>
      </c>
      <c r="E1498" s="5">
        <v>44469</v>
      </c>
      <c r="F1498" s="5">
        <v>46155</v>
      </c>
      <c r="G1498" s="2">
        <v>0.17777380000000001</v>
      </c>
      <c r="H1498" s="1" t="s">
        <v>10</v>
      </c>
      <c r="I1498" s="2">
        <v>4.6625930110000002</v>
      </c>
      <c r="J1498" s="1" t="s">
        <v>236</v>
      </c>
      <c r="K1498" s="1" t="s">
        <v>4370</v>
      </c>
      <c r="L1498" s="2">
        <v>857893.1</v>
      </c>
      <c r="M1498">
        <f t="shared" si="69"/>
        <v>152510.91638077999</v>
      </c>
      <c r="N1498">
        <f t="shared" si="70"/>
        <v>13496.541272635397</v>
      </c>
      <c r="O1498" t="str">
        <f t="shared" si="71"/>
        <v>FJERN</v>
      </c>
      <c r="P1498" s="1"/>
    </row>
    <row r="1499" spans="1:16" ht="15" customHeight="1" x14ac:dyDescent="0.2">
      <c r="A1499" s="1" t="s">
        <v>4371</v>
      </c>
      <c r="B1499" s="1" t="s">
        <v>4372</v>
      </c>
      <c r="C1499" s="1" t="s">
        <v>9</v>
      </c>
      <c r="D1499" s="1" t="s">
        <v>3</v>
      </c>
      <c r="E1499" s="5">
        <v>44467</v>
      </c>
      <c r="F1499" s="5">
        <v>45666</v>
      </c>
      <c r="G1499" s="2">
        <v>9.9117820000000005</v>
      </c>
      <c r="H1499" s="1" t="s">
        <v>10</v>
      </c>
      <c r="I1499" s="2">
        <v>56.535874900000003</v>
      </c>
      <c r="J1499" s="1" t="s">
        <v>2390</v>
      </c>
      <c r="K1499" s="1" t="s">
        <v>4373</v>
      </c>
      <c r="L1499" s="2">
        <v>3861.0079999999998</v>
      </c>
      <c r="M1499">
        <f t="shared" si="69"/>
        <v>38269.469596256</v>
      </c>
      <c r="N1499">
        <f t="shared" si="70"/>
        <v>3386.6787253323891</v>
      </c>
      <c r="O1499" t="str">
        <f t="shared" si="71"/>
        <v>FJERN</v>
      </c>
      <c r="P1499" s="1"/>
    </row>
    <row r="1500" spans="1:16" ht="15" customHeight="1" x14ac:dyDescent="0.2">
      <c r="A1500" s="1" t="s">
        <v>4374</v>
      </c>
      <c r="B1500" s="1" t="s">
        <v>4375</v>
      </c>
      <c r="C1500" s="1" t="s">
        <v>9</v>
      </c>
      <c r="D1500" s="1" t="s">
        <v>3</v>
      </c>
      <c r="E1500" s="5">
        <v>45475</v>
      </c>
      <c r="F1500" s="5">
        <v>46155</v>
      </c>
      <c r="G1500" s="2">
        <v>5.8924729999999998</v>
      </c>
      <c r="H1500" s="1" t="s">
        <v>10</v>
      </c>
      <c r="I1500" s="2">
        <v>274.4534994</v>
      </c>
      <c r="J1500" s="1" t="s">
        <v>236</v>
      </c>
      <c r="K1500" s="1" t="s">
        <v>4376</v>
      </c>
      <c r="L1500" s="2">
        <v>36311.910000000003</v>
      </c>
      <c r="M1500">
        <f t="shared" si="69"/>
        <v>213966.94925343001</v>
      </c>
      <c r="N1500">
        <f t="shared" si="70"/>
        <v>18935.128252515929</v>
      </c>
      <c r="O1500" t="str">
        <f t="shared" si="71"/>
        <v>FJERN</v>
      </c>
      <c r="P1500" s="1"/>
    </row>
    <row r="1501" spans="1:16" ht="15" customHeight="1" x14ac:dyDescent="0.2">
      <c r="A1501" s="1" t="s">
        <v>4377</v>
      </c>
      <c r="B1501" s="1" t="s">
        <v>4378</v>
      </c>
      <c r="C1501" s="1" t="s">
        <v>9</v>
      </c>
      <c r="D1501" s="1" t="s">
        <v>3</v>
      </c>
      <c r="E1501" s="5">
        <v>43551</v>
      </c>
      <c r="F1501" s="5">
        <v>44855</v>
      </c>
      <c r="G1501" s="2">
        <v>1.242494</v>
      </c>
      <c r="H1501" s="1" t="s">
        <v>10</v>
      </c>
      <c r="I1501" s="2"/>
      <c r="J1501" s="1" t="s">
        <v>5</v>
      </c>
      <c r="K1501" s="1" t="s">
        <v>4379</v>
      </c>
      <c r="L1501" s="2">
        <v>1087346</v>
      </c>
      <c r="M1501">
        <f t="shared" si="69"/>
        <v>1351020.8809239999</v>
      </c>
      <c r="N1501">
        <f t="shared" si="70"/>
        <v>119559.36999327432</v>
      </c>
      <c r="O1501" t="str">
        <f t="shared" si="71"/>
        <v>BEHOLD</v>
      </c>
      <c r="P1501" s="1" t="s">
        <v>6453</v>
      </c>
    </row>
    <row r="1502" spans="1:16" ht="15" customHeight="1" x14ac:dyDescent="0.2">
      <c r="A1502" s="1" t="s">
        <v>4380</v>
      </c>
      <c r="B1502" s="1" t="s">
        <v>4381</v>
      </c>
      <c r="C1502" s="1" t="s">
        <v>9</v>
      </c>
      <c r="D1502" s="1" t="s">
        <v>3</v>
      </c>
      <c r="E1502" s="5">
        <v>45643</v>
      </c>
      <c r="F1502" s="5">
        <v>46155</v>
      </c>
      <c r="G1502" s="2">
        <v>35.049379999999999</v>
      </c>
      <c r="H1502" s="1" t="s">
        <v>10</v>
      </c>
      <c r="I1502" s="2">
        <v>740</v>
      </c>
      <c r="J1502" s="1" t="s">
        <v>236</v>
      </c>
      <c r="K1502" s="1" t="s">
        <v>4382</v>
      </c>
      <c r="L1502" s="2">
        <v>6834.36</v>
      </c>
      <c r="M1502">
        <f t="shared" si="69"/>
        <v>239540.0806968</v>
      </c>
      <c r="N1502">
        <f t="shared" si="70"/>
        <v>21198.237229805309</v>
      </c>
      <c r="O1502" t="str">
        <f t="shared" si="71"/>
        <v>FJERN</v>
      </c>
      <c r="P1502" s="1" t="s">
        <v>6454</v>
      </c>
    </row>
    <row r="1503" spans="1:16" ht="15" customHeight="1" x14ac:dyDescent="0.2">
      <c r="A1503" s="1" t="s">
        <v>4383</v>
      </c>
      <c r="B1503" s="1" t="s">
        <v>4384</v>
      </c>
      <c r="C1503" s="1" t="s">
        <v>9</v>
      </c>
      <c r="D1503" s="1" t="s">
        <v>3</v>
      </c>
      <c r="E1503" s="5">
        <v>44725</v>
      </c>
      <c r="F1503" s="5">
        <v>46155</v>
      </c>
      <c r="G1503" s="2">
        <v>38.007040000000003</v>
      </c>
      <c r="H1503" s="1" t="s">
        <v>10</v>
      </c>
      <c r="I1503" s="2">
        <v>6812.3304179999996</v>
      </c>
      <c r="J1503" s="1" t="s">
        <v>61</v>
      </c>
      <c r="K1503" s="1" t="s">
        <v>4385</v>
      </c>
      <c r="L1503" s="2">
        <v>61472.32</v>
      </c>
      <c r="M1503">
        <f t="shared" si="69"/>
        <v>2336380.9251328004</v>
      </c>
      <c r="N1503">
        <f t="shared" si="70"/>
        <v>206759.37390555753</v>
      </c>
      <c r="O1503" t="str">
        <f t="shared" si="71"/>
        <v>BEHOLD</v>
      </c>
      <c r="P1503" s="1" t="s">
        <v>6455</v>
      </c>
    </row>
    <row r="1504" spans="1:16" ht="15" customHeight="1" x14ac:dyDescent="0.2">
      <c r="A1504" s="1" t="s">
        <v>4386</v>
      </c>
      <c r="B1504" s="1" t="s">
        <v>4387</v>
      </c>
      <c r="C1504" s="1" t="s">
        <v>9</v>
      </c>
      <c r="D1504" s="1" t="s">
        <v>3</v>
      </c>
      <c r="E1504" s="5">
        <v>42863</v>
      </c>
      <c r="F1504" s="5">
        <v>46154</v>
      </c>
      <c r="G1504" s="2">
        <v>797.73490000000004</v>
      </c>
      <c r="H1504" s="1" t="s">
        <v>10</v>
      </c>
      <c r="I1504" s="2">
        <v>347.35753799999998</v>
      </c>
      <c r="J1504" s="1" t="s">
        <v>76</v>
      </c>
      <c r="K1504" s="1" t="s">
        <v>4388</v>
      </c>
      <c r="L1504" s="2">
        <v>5535.08</v>
      </c>
      <c r="M1504">
        <f t="shared" si="69"/>
        <v>4415526.4902920006</v>
      </c>
      <c r="N1504">
        <f t="shared" si="70"/>
        <v>390754.55666300887</v>
      </c>
      <c r="O1504" t="str">
        <f t="shared" si="71"/>
        <v>BEHOLD</v>
      </c>
      <c r="P1504" s="1" t="s">
        <v>6456</v>
      </c>
    </row>
    <row r="1505" spans="1:16" ht="15" customHeight="1" x14ac:dyDescent="0.2">
      <c r="A1505" s="1" t="s">
        <v>4389</v>
      </c>
      <c r="B1505" s="1" t="s">
        <v>4390</v>
      </c>
      <c r="C1505" s="1" t="s">
        <v>9</v>
      </c>
      <c r="D1505" s="1" t="s">
        <v>255</v>
      </c>
      <c r="E1505" s="5">
        <v>44334</v>
      </c>
      <c r="F1505" s="5">
        <v>44992</v>
      </c>
      <c r="G1505" s="2">
        <v>16.389050000000001</v>
      </c>
      <c r="H1505" s="1" t="s">
        <v>10</v>
      </c>
      <c r="I1505" s="2"/>
      <c r="J1505" s="1" t="s">
        <v>23</v>
      </c>
      <c r="K1505" s="1" t="s">
        <v>4391</v>
      </c>
      <c r="L1505" s="2">
        <v>488830</v>
      </c>
      <c r="M1505">
        <f t="shared" si="69"/>
        <v>8011459.3115000008</v>
      </c>
      <c r="N1505">
        <f t="shared" si="70"/>
        <v>708978.70013274334</v>
      </c>
      <c r="O1505" t="str">
        <f t="shared" si="71"/>
        <v>FJERN</v>
      </c>
      <c r="P1505" s="1" t="s">
        <v>6457</v>
      </c>
    </row>
    <row r="1506" spans="1:16" ht="15" customHeight="1" x14ac:dyDescent="0.2">
      <c r="A1506" s="1" t="s">
        <v>4392</v>
      </c>
      <c r="B1506" s="1" t="s">
        <v>4393</v>
      </c>
      <c r="C1506" s="1" t="s">
        <v>9</v>
      </c>
      <c r="D1506" s="1" t="s">
        <v>3</v>
      </c>
      <c r="E1506" s="5">
        <v>42535</v>
      </c>
      <c r="F1506" s="5">
        <v>46155</v>
      </c>
      <c r="G1506" s="2">
        <v>39.564500000000002</v>
      </c>
      <c r="H1506" s="1" t="s">
        <v>10</v>
      </c>
      <c r="I1506" s="2">
        <v>6137.8927872000004</v>
      </c>
      <c r="J1506" s="1" t="s">
        <v>5</v>
      </c>
      <c r="K1506" s="1" t="s">
        <v>4394</v>
      </c>
      <c r="L1506" s="2">
        <v>194527.6</v>
      </c>
      <c r="M1506">
        <f t="shared" si="69"/>
        <v>7696387.230200001</v>
      </c>
      <c r="N1506">
        <f t="shared" si="70"/>
        <v>681096.215061947</v>
      </c>
      <c r="O1506" t="str">
        <f t="shared" si="71"/>
        <v>BEHOLD</v>
      </c>
      <c r="P1506" s="1" t="s">
        <v>6458</v>
      </c>
    </row>
    <row r="1507" spans="1:16" ht="15" customHeight="1" x14ac:dyDescent="0.2">
      <c r="A1507" s="1" t="s">
        <v>4395</v>
      </c>
      <c r="B1507" s="1" t="s">
        <v>4396</v>
      </c>
      <c r="C1507" s="1" t="s">
        <v>9</v>
      </c>
      <c r="D1507" s="1" t="s">
        <v>3</v>
      </c>
      <c r="E1507" s="5">
        <v>44174</v>
      </c>
      <c r="F1507" s="5">
        <v>46155</v>
      </c>
      <c r="G1507" s="2">
        <v>69.696579999999997</v>
      </c>
      <c r="H1507" s="1" t="s">
        <v>10</v>
      </c>
      <c r="I1507" s="2">
        <v>1662.56835505</v>
      </c>
      <c r="J1507" s="1" t="s">
        <v>86</v>
      </c>
      <c r="K1507" s="1" t="s">
        <v>4397</v>
      </c>
      <c r="L1507" s="2">
        <v>93158.55</v>
      </c>
      <c r="M1507">
        <f t="shared" si="69"/>
        <v>6492832.3327590004</v>
      </c>
      <c r="N1507">
        <f t="shared" si="70"/>
        <v>574586.93210256635</v>
      </c>
      <c r="O1507" t="str">
        <f t="shared" si="71"/>
        <v>BEHOLD</v>
      </c>
      <c r="P1507" s="1" t="s">
        <v>6459</v>
      </c>
    </row>
    <row r="1508" spans="1:16" ht="15" customHeight="1" x14ac:dyDescent="0.2">
      <c r="A1508" s="1" t="s">
        <v>4398</v>
      </c>
      <c r="B1508" s="1" t="s">
        <v>4399</v>
      </c>
      <c r="C1508" s="1" t="s">
        <v>9</v>
      </c>
      <c r="D1508" s="1" t="s">
        <v>3</v>
      </c>
      <c r="E1508" s="5">
        <v>42907</v>
      </c>
      <c r="F1508" s="5">
        <v>46155</v>
      </c>
      <c r="G1508" s="2">
        <v>32.793050000000001</v>
      </c>
      <c r="H1508" s="1" t="s">
        <v>10</v>
      </c>
      <c r="I1508" s="2">
        <v>1021.1839488000001</v>
      </c>
      <c r="J1508" s="1" t="s">
        <v>34</v>
      </c>
      <c r="K1508" s="1" t="s">
        <v>4400</v>
      </c>
      <c r="L1508" s="2">
        <v>213800.9</v>
      </c>
      <c r="M1508">
        <f t="shared" si="69"/>
        <v>7011183.6037450004</v>
      </c>
      <c r="N1508">
        <f t="shared" si="70"/>
        <v>620458.7259951327</v>
      </c>
      <c r="O1508" t="str">
        <f t="shared" si="71"/>
        <v>BEHOLD</v>
      </c>
      <c r="P1508" s="1" t="s">
        <v>6460</v>
      </c>
    </row>
    <row r="1509" spans="1:16" ht="15" customHeight="1" x14ac:dyDescent="0.2">
      <c r="A1509" s="1" t="s">
        <v>4401</v>
      </c>
      <c r="B1509" s="1" t="s">
        <v>4402</v>
      </c>
      <c r="C1509" s="1" t="s">
        <v>9</v>
      </c>
      <c r="D1509" s="1" t="s">
        <v>3</v>
      </c>
      <c r="E1509" s="5">
        <v>41386</v>
      </c>
      <c r="F1509" s="5">
        <v>46155</v>
      </c>
      <c r="G1509" s="2">
        <v>190.45060000000001</v>
      </c>
      <c r="H1509" s="1" t="s">
        <v>10</v>
      </c>
      <c r="I1509" s="2">
        <v>343.55298320000003</v>
      </c>
      <c r="J1509" s="1" t="s">
        <v>366</v>
      </c>
      <c r="K1509" s="1" t="s">
        <v>4403</v>
      </c>
      <c r="L1509" s="2">
        <v>33092.68</v>
      </c>
      <c r="M1509">
        <f t="shared" si="69"/>
        <v>6302520.7616079999</v>
      </c>
      <c r="N1509">
        <f t="shared" si="70"/>
        <v>557745.2001423008</v>
      </c>
      <c r="O1509" t="str">
        <f t="shared" si="71"/>
        <v>BEHOLD</v>
      </c>
      <c r="P1509" s="1" t="s">
        <v>6461</v>
      </c>
    </row>
    <row r="1510" spans="1:16" ht="15" customHeight="1" x14ac:dyDescent="0.2">
      <c r="A1510" s="1" t="s">
        <v>4404</v>
      </c>
      <c r="B1510" s="1" t="s">
        <v>4405</v>
      </c>
      <c r="C1510" s="1" t="s">
        <v>9</v>
      </c>
      <c r="D1510" s="1" t="s">
        <v>3</v>
      </c>
      <c r="E1510" s="5">
        <v>44363</v>
      </c>
      <c r="F1510" s="5">
        <v>45819</v>
      </c>
      <c r="G1510" s="2">
        <v>2.2294040000000002</v>
      </c>
      <c r="H1510" s="1" t="s">
        <v>10</v>
      </c>
      <c r="I1510" s="2">
        <v>22.82318467</v>
      </c>
      <c r="J1510" s="1" t="s">
        <v>236</v>
      </c>
      <c r="K1510" s="1" t="s">
        <v>4406</v>
      </c>
      <c r="L1510" s="2">
        <v>39847.550000000003</v>
      </c>
      <c r="M1510">
        <f t="shared" si="69"/>
        <v>88836.287360200018</v>
      </c>
      <c r="N1510">
        <f t="shared" si="70"/>
        <v>7861.6183504601777</v>
      </c>
      <c r="O1510" t="str">
        <f t="shared" si="71"/>
        <v>FJERN</v>
      </c>
      <c r="P1510" s="1" t="s">
        <v>6462</v>
      </c>
    </row>
    <row r="1511" spans="1:16" ht="15" customHeight="1" x14ac:dyDescent="0.2">
      <c r="A1511" s="1" t="s">
        <v>4407</v>
      </c>
      <c r="B1511" s="1" t="s">
        <v>4408</v>
      </c>
      <c r="C1511" s="1" t="s">
        <v>9</v>
      </c>
      <c r="D1511" s="1" t="s">
        <v>3</v>
      </c>
      <c r="E1511" s="5">
        <v>43208</v>
      </c>
      <c r="F1511" s="5">
        <v>46155</v>
      </c>
      <c r="G1511" s="2">
        <v>576.64869999999996</v>
      </c>
      <c r="H1511" s="1" t="s">
        <v>10</v>
      </c>
      <c r="I1511" s="2">
        <v>13.737030000000001</v>
      </c>
      <c r="J1511" s="1" t="s">
        <v>64</v>
      </c>
      <c r="K1511" s="1" t="s">
        <v>4409</v>
      </c>
      <c r="L1511" s="2">
        <v>4046.2739999999999</v>
      </c>
      <c r="M1511">
        <f t="shared" si="69"/>
        <v>2333278.6419437998</v>
      </c>
      <c r="N1511">
        <f t="shared" si="70"/>
        <v>206484.83557024776</v>
      </c>
      <c r="O1511" t="str">
        <f t="shared" si="71"/>
        <v>BEHOLD</v>
      </c>
      <c r="P1511" s="1" t="s">
        <v>6463</v>
      </c>
    </row>
    <row r="1512" spans="1:16" ht="15" customHeight="1" x14ac:dyDescent="0.2">
      <c r="A1512" s="1" t="s">
        <v>4410</v>
      </c>
      <c r="B1512" s="1" t="s">
        <v>4411</v>
      </c>
      <c r="C1512" s="1" t="s">
        <v>9</v>
      </c>
      <c r="D1512" s="1" t="s">
        <v>3</v>
      </c>
      <c r="E1512" s="5">
        <v>44606</v>
      </c>
      <c r="F1512" s="5">
        <v>46155</v>
      </c>
      <c r="G1512" s="2">
        <v>13.83245</v>
      </c>
      <c r="H1512" s="1" t="s">
        <v>10</v>
      </c>
      <c r="I1512" s="2"/>
      <c r="J1512" s="1" t="s">
        <v>184</v>
      </c>
      <c r="K1512" s="1" t="s">
        <v>4412</v>
      </c>
      <c r="L1512" s="2">
        <v>6140.1419999999998</v>
      </c>
      <c r="M1512">
        <f t="shared" si="69"/>
        <v>84933.207207899992</v>
      </c>
      <c r="N1512">
        <f t="shared" si="70"/>
        <v>7516.2130272477862</v>
      </c>
      <c r="O1512" t="str">
        <f t="shared" si="71"/>
        <v>FJERN</v>
      </c>
      <c r="P1512" s="1" t="s">
        <v>6464</v>
      </c>
    </row>
    <row r="1513" spans="1:16" ht="15" customHeight="1" x14ac:dyDescent="0.2">
      <c r="A1513" s="1" t="s">
        <v>4413</v>
      </c>
      <c r="B1513" s="1" t="s">
        <v>4414</v>
      </c>
      <c r="C1513" s="1" t="s">
        <v>9</v>
      </c>
      <c r="D1513" s="1" t="s">
        <v>3</v>
      </c>
      <c r="E1513" s="5">
        <v>44110</v>
      </c>
      <c r="F1513" s="5">
        <v>46155</v>
      </c>
      <c r="G1513" s="2">
        <v>27.53247</v>
      </c>
      <c r="H1513" s="1" t="s">
        <v>10</v>
      </c>
      <c r="I1513" s="2"/>
      <c r="J1513" s="1" t="s">
        <v>236</v>
      </c>
      <c r="K1513" s="1" t="s">
        <v>4415</v>
      </c>
      <c r="L1513" s="2">
        <v>425782.2</v>
      </c>
      <c r="M1513">
        <f t="shared" si="69"/>
        <v>11722835.648034001</v>
      </c>
      <c r="N1513">
        <f t="shared" si="70"/>
        <v>1037419.0838968141</v>
      </c>
      <c r="O1513" t="str">
        <f t="shared" si="71"/>
        <v>BEHOLD</v>
      </c>
      <c r="P1513" s="1" t="s">
        <v>6465</v>
      </c>
    </row>
    <row r="1514" spans="1:16" ht="15" customHeight="1" x14ac:dyDescent="0.2">
      <c r="A1514" s="1" t="s">
        <v>4416</v>
      </c>
      <c r="B1514" s="1" t="s">
        <v>4417</v>
      </c>
      <c r="C1514" s="1" t="s">
        <v>9</v>
      </c>
      <c r="D1514" s="1" t="s">
        <v>3</v>
      </c>
      <c r="E1514" s="5">
        <v>38083</v>
      </c>
      <c r="F1514" s="5">
        <v>45667</v>
      </c>
      <c r="G1514" s="2">
        <v>43.264699999999998</v>
      </c>
      <c r="H1514" s="1" t="s">
        <v>10</v>
      </c>
      <c r="I1514" s="2">
        <v>1957.3414379999999</v>
      </c>
      <c r="J1514" s="1" t="s">
        <v>201</v>
      </c>
      <c r="K1514" s="1" t="s">
        <v>4418</v>
      </c>
      <c r="L1514" s="2">
        <v>128393</v>
      </c>
      <c r="M1514">
        <f t="shared" si="69"/>
        <v>5554884.6271000002</v>
      </c>
      <c r="N1514">
        <f t="shared" si="70"/>
        <v>491582.71036283183</v>
      </c>
      <c r="O1514" t="str">
        <f t="shared" si="71"/>
        <v>BEHOLD</v>
      </c>
      <c r="P1514" s="1" t="s">
        <v>6466</v>
      </c>
    </row>
    <row r="1515" spans="1:16" ht="15" customHeight="1" x14ac:dyDescent="0.2">
      <c r="A1515" s="1" t="s">
        <v>4419</v>
      </c>
      <c r="B1515" s="1" t="s">
        <v>4420</v>
      </c>
      <c r="C1515" s="1" t="s">
        <v>9</v>
      </c>
      <c r="D1515" s="1" t="s">
        <v>3</v>
      </c>
      <c r="E1515" s="5">
        <v>44358</v>
      </c>
      <c r="F1515" s="5">
        <v>46155</v>
      </c>
      <c r="G1515" s="2">
        <v>3.8946809999999998</v>
      </c>
      <c r="H1515" s="1" t="s">
        <v>10</v>
      </c>
      <c r="I1515" s="2">
        <v>253.35534081646301</v>
      </c>
      <c r="J1515" s="1" t="s">
        <v>366</v>
      </c>
      <c r="K1515" s="1" t="s">
        <v>4421</v>
      </c>
      <c r="L1515" s="2">
        <v>166448.20000000001</v>
      </c>
      <c r="M1515">
        <f t="shared" si="69"/>
        <v>648262.64202420006</v>
      </c>
      <c r="N1515">
        <f t="shared" si="70"/>
        <v>57368.375400371682</v>
      </c>
      <c r="O1515" t="str">
        <f t="shared" si="71"/>
        <v>FJERN</v>
      </c>
      <c r="P1515" s="1" t="s">
        <v>6467</v>
      </c>
    </row>
    <row r="1516" spans="1:16" ht="15" customHeight="1" x14ac:dyDescent="0.2">
      <c r="A1516" s="1" t="s">
        <v>4422</v>
      </c>
      <c r="B1516" s="1" t="s">
        <v>4423</v>
      </c>
      <c r="C1516" s="1" t="s">
        <v>9</v>
      </c>
      <c r="D1516" s="1" t="s">
        <v>3</v>
      </c>
      <c r="E1516" s="5">
        <v>38135</v>
      </c>
      <c r="F1516" s="5">
        <v>46155</v>
      </c>
      <c r="G1516" s="2">
        <v>19.61356</v>
      </c>
      <c r="H1516" s="1" t="s">
        <v>10</v>
      </c>
      <c r="I1516" s="2">
        <v>4492.8491168</v>
      </c>
      <c r="J1516" s="1" t="s">
        <v>11</v>
      </c>
      <c r="K1516" s="1" t="s">
        <v>4424</v>
      </c>
      <c r="L1516" s="2">
        <v>98412.68</v>
      </c>
      <c r="M1516">
        <f t="shared" si="69"/>
        <v>1930223.0039407997</v>
      </c>
      <c r="N1516">
        <f t="shared" si="70"/>
        <v>170816.1950390088</v>
      </c>
      <c r="O1516" t="str">
        <f t="shared" si="71"/>
        <v>BEHOLD</v>
      </c>
      <c r="P1516" s="1" t="s">
        <v>6468</v>
      </c>
    </row>
    <row r="1517" spans="1:16" ht="15" customHeight="1" x14ac:dyDescent="0.2">
      <c r="A1517" s="1" t="s">
        <v>4425</v>
      </c>
      <c r="B1517" s="1" t="s">
        <v>4426</v>
      </c>
      <c r="C1517" s="1" t="s">
        <v>2</v>
      </c>
      <c r="D1517" s="1" t="s">
        <v>3</v>
      </c>
      <c r="E1517" s="5">
        <v>44313</v>
      </c>
      <c r="F1517" s="5">
        <v>46155</v>
      </c>
      <c r="G1517" s="2">
        <v>7.098878</v>
      </c>
      <c r="H1517" s="1" t="s">
        <v>4</v>
      </c>
      <c r="I1517" s="2">
        <v>355.52207320000002</v>
      </c>
      <c r="J1517" s="1" t="s">
        <v>236</v>
      </c>
      <c r="K1517" s="1" t="s">
        <v>4427</v>
      </c>
      <c r="L1517" s="2">
        <v>24112.959999999999</v>
      </c>
      <c r="M1517">
        <f t="shared" si="69"/>
        <v>171174.96125888001</v>
      </c>
      <c r="N1517">
        <f t="shared" si="70"/>
        <v>22976.504866963758</v>
      </c>
      <c r="O1517" t="str">
        <f t="shared" si="71"/>
        <v>FJERN</v>
      </c>
      <c r="P1517" s="1" t="s">
        <v>6469</v>
      </c>
    </row>
    <row r="1518" spans="1:16" ht="15" customHeight="1" x14ac:dyDescent="0.2">
      <c r="A1518" s="1" t="s">
        <v>4428</v>
      </c>
      <c r="B1518" s="1" t="s">
        <v>4429</v>
      </c>
      <c r="C1518" s="1" t="s">
        <v>9</v>
      </c>
      <c r="D1518" s="1" t="s">
        <v>3</v>
      </c>
      <c r="E1518" s="5">
        <v>43256</v>
      </c>
      <c r="F1518" s="5">
        <v>46155</v>
      </c>
      <c r="G1518" s="2">
        <v>44.81664</v>
      </c>
      <c r="H1518" s="1" t="s">
        <v>10</v>
      </c>
      <c r="I1518" s="2">
        <v>8937.2252719999997</v>
      </c>
      <c r="J1518" s="1" t="s">
        <v>115</v>
      </c>
      <c r="K1518" s="1" t="s">
        <v>4430</v>
      </c>
      <c r="L1518" s="2">
        <v>243127.2</v>
      </c>
      <c r="M1518">
        <f t="shared" si="69"/>
        <v>10896144.196608</v>
      </c>
      <c r="N1518">
        <f t="shared" si="70"/>
        <v>964260.54837238928</v>
      </c>
      <c r="O1518" t="str">
        <f t="shared" si="71"/>
        <v>BEHOLD</v>
      </c>
      <c r="P1518" s="1" t="s">
        <v>6470</v>
      </c>
    </row>
    <row r="1519" spans="1:16" ht="15" customHeight="1" x14ac:dyDescent="0.2">
      <c r="A1519" s="1" t="s">
        <v>4431</v>
      </c>
      <c r="B1519" s="1" t="s">
        <v>4432</v>
      </c>
      <c r="C1519" s="1" t="s">
        <v>2</v>
      </c>
      <c r="D1519" s="1" t="s">
        <v>3</v>
      </c>
      <c r="E1519" s="5">
        <v>44503</v>
      </c>
      <c r="F1519" s="5">
        <v>46155</v>
      </c>
      <c r="G1519" s="2">
        <v>6.31738</v>
      </c>
      <c r="H1519" s="1" t="s">
        <v>4</v>
      </c>
      <c r="I1519" s="2">
        <v>110.47113</v>
      </c>
      <c r="J1519" s="1" t="s">
        <v>64</v>
      </c>
      <c r="K1519" s="1" t="s">
        <v>4433</v>
      </c>
      <c r="L1519" s="2">
        <v>45829.34</v>
      </c>
      <c r="M1519">
        <f t="shared" si="69"/>
        <v>289521.35592919996</v>
      </c>
      <c r="N1519">
        <f t="shared" si="70"/>
        <v>38861.926970362409</v>
      </c>
      <c r="O1519" t="str">
        <f t="shared" si="71"/>
        <v>FJERN</v>
      </c>
      <c r="P1519" s="1" t="s">
        <v>6471</v>
      </c>
    </row>
    <row r="1520" spans="1:16" ht="15" customHeight="1" x14ac:dyDescent="0.2">
      <c r="A1520" s="1" t="s">
        <v>4434</v>
      </c>
      <c r="B1520" s="1" t="s">
        <v>4435</v>
      </c>
      <c r="C1520" s="1" t="s">
        <v>9</v>
      </c>
      <c r="D1520" s="1" t="s">
        <v>3</v>
      </c>
      <c r="E1520" s="5">
        <v>32512</v>
      </c>
      <c r="F1520" s="5">
        <v>46155</v>
      </c>
      <c r="G1520" s="2">
        <v>62.997619999999998</v>
      </c>
      <c r="H1520" s="1" t="s">
        <v>10</v>
      </c>
      <c r="I1520" s="2">
        <v>293939.37873599998</v>
      </c>
      <c r="J1520" s="1" t="s">
        <v>236</v>
      </c>
      <c r="K1520" s="1" t="s">
        <v>4436</v>
      </c>
      <c r="L1520" s="2">
        <v>5025212</v>
      </c>
      <c r="M1520">
        <f t="shared" si="69"/>
        <v>316576395.99544001</v>
      </c>
      <c r="N1520">
        <f t="shared" si="70"/>
        <v>28015610.265083186</v>
      </c>
      <c r="O1520" t="str">
        <f t="shared" si="71"/>
        <v>BEHOLD</v>
      </c>
      <c r="P1520" s="1" t="s">
        <v>6472</v>
      </c>
    </row>
    <row r="1521" spans="1:16" ht="15" customHeight="1" x14ac:dyDescent="0.2">
      <c r="A1521" s="1" t="s">
        <v>4437</v>
      </c>
      <c r="B1521" s="1" t="s">
        <v>4438</v>
      </c>
      <c r="C1521" s="1" t="s">
        <v>9</v>
      </c>
      <c r="D1521" s="1" t="s">
        <v>3</v>
      </c>
      <c r="E1521" s="5">
        <v>40155</v>
      </c>
      <c r="F1521" s="5">
        <v>46155</v>
      </c>
      <c r="G1521" s="2">
        <v>42.050800000000002</v>
      </c>
      <c r="H1521" s="1" t="s">
        <v>10</v>
      </c>
      <c r="I1521" s="2">
        <v>14.574161999999999</v>
      </c>
      <c r="J1521" s="1" t="s">
        <v>236</v>
      </c>
      <c r="K1521" s="1" t="s">
        <v>4439</v>
      </c>
      <c r="L1521" s="2">
        <v>30198.71</v>
      </c>
      <c r="M1521">
        <f t="shared" si="69"/>
        <v>1269879.9144679999</v>
      </c>
      <c r="N1521">
        <f t="shared" si="70"/>
        <v>112378.75349274334</v>
      </c>
      <c r="O1521" t="str">
        <f t="shared" si="71"/>
        <v>BEHOLD</v>
      </c>
      <c r="P1521" s="1" t="s">
        <v>6473</v>
      </c>
    </row>
    <row r="1522" spans="1:16" ht="15" customHeight="1" x14ac:dyDescent="0.2">
      <c r="A1522" s="1" t="s">
        <v>4440</v>
      </c>
      <c r="B1522" s="1" t="s">
        <v>4441</v>
      </c>
      <c r="C1522" s="1" t="s">
        <v>9</v>
      </c>
      <c r="D1522" s="1" t="s">
        <v>3</v>
      </c>
      <c r="E1522" s="5">
        <v>35201</v>
      </c>
      <c r="F1522" s="5">
        <v>44925</v>
      </c>
      <c r="G1522" s="2">
        <v>37.732010000000002</v>
      </c>
      <c r="H1522" s="1" t="s">
        <v>10</v>
      </c>
      <c r="I1522" s="2"/>
      <c r="J1522" s="1" t="s">
        <v>5</v>
      </c>
      <c r="K1522" s="1" t="s">
        <v>4442</v>
      </c>
      <c r="L1522" s="2">
        <v>7515240</v>
      </c>
      <c r="M1522">
        <f t="shared" si="69"/>
        <v>283565110.83240002</v>
      </c>
      <c r="N1522">
        <f t="shared" si="70"/>
        <v>25094257.595787611</v>
      </c>
      <c r="O1522" t="str">
        <f t="shared" si="71"/>
        <v>BEHOLD</v>
      </c>
      <c r="P1522" s="1" t="s">
        <v>6474</v>
      </c>
    </row>
    <row r="1523" spans="1:16" ht="15" customHeight="1" x14ac:dyDescent="0.2">
      <c r="A1523" s="1" t="s">
        <v>4443</v>
      </c>
      <c r="B1523" s="1" t="s">
        <v>4444</v>
      </c>
      <c r="C1523" s="1" t="s">
        <v>9</v>
      </c>
      <c r="D1523" s="1" t="s">
        <v>3</v>
      </c>
      <c r="E1523" s="5">
        <v>44537</v>
      </c>
      <c r="F1523" s="5">
        <v>46155</v>
      </c>
      <c r="G1523" s="2">
        <v>38.309809999999999</v>
      </c>
      <c r="H1523" s="1" t="s">
        <v>10</v>
      </c>
      <c r="I1523" s="2">
        <v>514.82143299999996</v>
      </c>
      <c r="J1523" s="1" t="s">
        <v>236</v>
      </c>
      <c r="K1523" s="1" t="s">
        <v>4445</v>
      </c>
      <c r="L1523" s="2">
        <v>10237.06</v>
      </c>
      <c r="M1523">
        <f t="shared" si="69"/>
        <v>392179.82355859998</v>
      </c>
      <c r="N1523">
        <f t="shared" si="70"/>
        <v>34706.179075982298</v>
      </c>
      <c r="O1523" t="str">
        <f t="shared" si="71"/>
        <v>FJERN</v>
      </c>
      <c r="P1523" s="1" t="s">
        <v>6475</v>
      </c>
    </row>
    <row r="1524" spans="1:16" ht="15" customHeight="1" x14ac:dyDescent="0.2">
      <c r="A1524" s="1" t="s">
        <v>4446</v>
      </c>
      <c r="B1524" s="1" t="s">
        <v>4447</v>
      </c>
      <c r="C1524" s="1" t="s">
        <v>9</v>
      </c>
      <c r="D1524" s="1" t="s">
        <v>3</v>
      </c>
      <c r="E1524" s="5">
        <v>39323</v>
      </c>
      <c r="F1524" s="5">
        <v>46154</v>
      </c>
      <c r="G1524" s="2">
        <v>2.627294</v>
      </c>
      <c r="H1524" s="1" t="s">
        <v>10</v>
      </c>
      <c r="I1524" s="2">
        <v>22.802465999999999</v>
      </c>
      <c r="J1524" s="1" t="s">
        <v>86</v>
      </c>
      <c r="K1524" s="1" t="s">
        <v>4448</v>
      </c>
      <c r="L1524" s="2">
        <v>7651.2669999999998</v>
      </c>
      <c r="M1524">
        <f t="shared" si="69"/>
        <v>20102.127881498</v>
      </c>
      <c r="N1524">
        <f t="shared" si="70"/>
        <v>1778.9493700440707</v>
      </c>
      <c r="O1524" t="str">
        <f t="shared" si="71"/>
        <v>FJERN</v>
      </c>
      <c r="P1524" s="1" t="s">
        <v>6476</v>
      </c>
    </row>
    <row r="1525" spans="1:16" ht="15" customHeight="1" x14ac:dyDescent="0.2">
      <c r="A1525" s="1" t="s">
        <v>4449</v>
      </c>
      <c r="B1525" s="1" t="s">
        <v>4450</v>
      </c>
      <c r="C1525" s="1" t="s">
        <v>9</v>
      </c>
      <c r="D1525" s="1" t="s">
        <v>3</v>
      </c>
      <c r="E1525" s="5">
        <v>44308</v>
      </c>
      <c r="F1525" s="5">
        <v>46099</v>
      </c>
      <c r="G1525" s="2">
        <v>13.75342</v>
      </c>
      <c r="H1525" s="1" t="s">
        <v>10</v>
      </c>
      <c r="I1525" s="2">
        <v>309.70159480000001</v>
      </c>
      <c r="J1525" s="1" t="s">
        <v>64</v>
      </c>
      <c r="K1525" s="1" t="s">
        <v>4451</v>
      </c>
      <c r="L1525" s="2">
        <v>15868.3</v>
      </c>
      <c r="M1525">
        <f t="shared" si="69"/>
        <v>218243.39458599998</v>
      </c>
      <c r="N1525">
        <f t="shared" si="70"/>
        <v>19313.574742123892</v>
      </c>
      <c r="O1525" t="str">
        <f t="shared" si="71"/>
        <v>FJERN</v>
      </c>
      <c r="P1525" s="1" t="s">
        <v>6477</v>
      </c>
    </row>
    <row r="1526" spans="1:16" ht="15" customHeight="1" x14ac:dyDescent="0.2">
      <c r="A1526" s="1" t="s">
        <v>4452</v>
      </c>
      <c r="B1526" s="1" t="s">
        <v>4453</v>
      </c>
      <c r="C1526" s="1" t="s">
        <v>9</v>
      </c>
      <c r="D1526" s="1" t="s">
        <v>3</v>
      </c>
      <c r="E1526" s="5">
        <v>32003</v>
      </c>
      <c r="F1526" s="5">
        <v>46155</v>
      </c>
      <c r="G1526" s="2">
        <v>64.107069999999993</v>
      </c>
      <c r="H1526" s="1" t="s">
        <v>10</v>
      </c>
      <c r="I1526" s="2">
        <v>75579.618995655299</v>
      </c>
      <c r="J1526" s="1" t="s">
        <v>11</v>
      </c>
      <c r="K1526" s="1" t="s">
        <v>4454</v>
      </c>
      <c r="L1526" s="2">
        <v>364466.4</v>
      </c>
      <c r="M1526">
        <f t="shared" si="69"/>
        <v>23364873.017448001</v>
      </c>
      <c r="N1526">
        <f t="shared" si="70"/>
        <v>2067687.8776502653</v>
      </c>
      <c r="O1526" t="str">
        <f t="shared" si="71"/>
        <v>BEHOLD</v>
      </c>
      <c r="P1526" s="1" t="s">
        <v>6478</v>
      </c>
    </row>
    <row r="1527" spans="1:16" ht="15" customHeight="1" x14ac:dyDescent="0.2">
      <c r="A1527" s="1" t="s">
        <v>4455</v>
      </c>
      <c r="B1527" s="1" t="s">
        <v>4456</v>
      </c>
      <c r="C1527" s="1" t="s">
        <v>9</v>
      </c>
      <c r="D1527" s="1" t="s">
        <v>3</v>
      </c>
      <c r="E1527" s="5">
        <v>44335</v>
      </c>
      <c r="F1527" s="5">
        <v>45622</v>
      </c>
      <c r="G1527" s="2">
        <v>1.078066</v>
      </c>
      <c r="H1527" s="1" t="s">
        <v>10</v>
      </c>
      <c r="I1527" s="2">
        <v>4.96340789</v>
      </c>
      <c r="J1527" s="1" t="s">
        <v>236</v>
      </c>
      <c r="K1527" s="1" t="s">
        <v>4457</v>
      </c>
      <c r="L1527" s="2">
        <v>74802.41</v>
      </c>
      <c r="M1527">
        <f t="shared" si="69"/>
        <v>80641.934939059996</v>
      </c>
      <c r="N1527">
        <f t="shared" si="70"/>
        <v>7136.4544193858401</v>
      </c>
      <c r="O1527" t="str">
        <f t="shared" si="71"/>
        <v>FJERN</v>
      </c>
      <c r="P1527" s="1" t="s">
        <v>6479</v>
      </c>
    </row>
    <row r="1528" spans="1:16" ht="15" customHeight="1" x14ac:dyDescent="0.2">
      <c r="A1528" s="1" t="s">
        <v>4458</v>
      </c>
      <c r="B1528" s="1" t="s">
        <v>4459</v>
      </c>
      <c r="C1528" s="1" t="s">
        <v>9</v>
      </c>
      <c r="D1528" s="1" t="s">
        <v>3</v>
      </c>
      <c r="E1528" s="5">
        <v>44531</v>
      </c>
      <c r="F1528" s="5">
        <v>46155</v>
      </c>
      <c r="G1528" s="2">
        <v>70.266329999999996</v>
      </c>
      <c r="H1528" s="1" t="s">
        <v>10</v>
      </c>
      <c r="I1528" s="2">
        <v>1530.8917518000001</v>
      </c>
      <c r="J1528" s="1" t="s">
        <v>83</v>
      </c>
      <c r="K1528" s="1" t="s">
        <v>4460</v>
      </c>
      <c r="L1528" s="2">
        <v>30605.34</v>
      </c>
      <c r="M1528">
        <f t="shared" si="69"/>
        <v>2150524.9202021998</v>
      </c>
      <c r="N1528">
        <f t="shared" si="70"/>
        <v>190311.93984090263</v>
      </c>
      <c r="O1528" t="str">
        <f t="shared" si="71"/>
        <v>BEHOLD</v>
      </c>
      <c r="P1528" s="1" t="s">
        <v>6480</v>
      </c>
    </row>
    <row r="1529" spans="1:16" ht="15" customHeight="1" x14ac:dyDescent="0.2">
      <c r="A1529" s="1" t="s">
        <v>4461</v>
      </c>
      <c r="B1529" s="1" t="s">
        <v>4462</v>
      </c>
      <c r="C1529" s="1" t="s">
        <v>9</v>
      </c>
      <c r="D1529" s="1" t="s">
        <v>3</v>
      </c>
      <c r="E1529" s="5">
        <v>44498</v>
      </c>
      <c r="F1529" s="5">
        <v>46155</v>
      </c>
      <c r="G1529" s="2">
        <v>52.923639999999999</v>
      </c>
      <c r="H1529" s="1" t="s">
        <v>10</v>
      </c>
      <c r="I1529" s="2">
        <v>9640.2244499999997</v>
      </c>
      <c r="J1529" s="1" t="s">
        <v>222</v>
      </c>
      <c r="K1529" s="1" t="s">
        <v>4463</v>
      </c>
      <c r="L1529" s="2">
        <v>253066.9</v>
      </c>
      <c r="M1529">
        <f t="shared" si="69"/>
        <v>13393221.511515999</v>
      </c>
      <c r="N1529">
        <f t="shared" si="70"/>
        <v>1185240.8417270796</v>
      </c>
      <c r="O1529" t="str">
        <f t="shared" si="71"/>
        <v>BEHOLD</v>
      </c>
      <c r="P1529" s="1" t="s">
        <v>6481</v>
      </c>
    </row>
    <row r="1530" spans="1:16" ht="15" customHeight="1" x14ac:dyDescent="0.2">
      <c r="A1530" s="1" t="s">
        <v>4464</v>
      </c>
      <c r="B1530" s="1" t="s">
        <v>4465</v>
      </c>
      <c r="C1530" s="1" t="s">
        <v>9</v>
      </c>
      <c r="D1530" s="1" t="s">
        <v>3</v>
      </c>
      <c r="E1530" s="5">
        <v>41969</v>
      </c>
      <c r="F1530" s="5">
        <v>46155</v>
      </c>
      <c r="G1530" s="2">
        <v>300.92680000000001</v>
      </c>
      <c r="H1530" s="1" t="s">
        <v>10</v>
      </c>
      <c r="I1530" s="2">
        <v>69.481985600000002</v>
      </c>
      <c r="J1530" s="1" t="s">
        <v>34</v>
      </c>
      <c r="K1530" s="1" t="s">
        <v>4466</v>
      </c>
      <c r="L1530" s="2">
        <v>2490.9490000000001</v>
      </c>
      <c r="M1530">
        <f t="shared" si="69"/>
        <v>749593.31153320009</v>
      </c>
      <c r="N1530">
        <f t="shared" si="70"/>
        <v>66335.691286123896</v>
      </c>
      <c r="O1530" t="str">
        <f t="shared" si="71"/>
        <v>FJERN</v>
      </c>
      <c r="P1530" s="1" t="s">
        <v>6482</v>
      </c>
    </row>
    <row r="1531" spans="1:16" ht="15" customHeight="1" x14ac:dyDescent="0.2">
      <c r="A1531" s="1" t="s">
        <v>4467</v>
      </c>
      <c r="B1531" s="1" t="s">
        <v>4468</v>
      </c>
      <c r="C1531" s="1" t="s">
        <v>9</v>
      </c>
      <c r="D1531" s="1" t="s">
        <v>3</v>
      </c>
      <c r="E1531" s="5">
        <v>44651</v>
      </c>
      <c r="F1531" s="5">
        <v>46155</v>
      </c>
      <c r="G1531" s="2">
        <v>124.249</v>
      </c>
      <c r="H1531" s="1" t="s">
        <v>10</v>
      </c>
      <c r="I1531" s="2">
        <v>7603.3536940000004</v>
      </c>
      <c r="J1531" s="1" t="s">
        <v>11</v>
      </c>
      <c r="K1531" s="1" t="s">
        <v>4469</v>
      </c>
      <c r="L1531" s="2">
        <v>49092.639999999999</v>
      </c>
      <c r="M1531">
        <f t="shared" si="69"/>
        <v>6099711.4273600001</v>
      </c>
      <c r="N1531">
        <f t="shared" si="70"/>
        <v>539797.4714477876</v>
      </c>
      <c r="O1531" t="str">
        <f t="shared" si="71"/>
        <v>BEHOLD</v>
      </c>
      <c r="P1531" s="1" t="s">
        <v>6483</v>
      </c>
    </row>
    <row r="1532" spans="1:16" ht="15" customHeight="1" x14ac:dyDescent="0.2">
      <c r="A1532" s="1" t="s">
        <v>4470</v>
      </c>
      <c r="B1532" s="1" t="s">
        <v>4471</v>
      </c>
      <c r="C1532" s="1" t="s">
        <v>9</v>
      </c>
      <c r="D1532" s="1" t="s">
        <v>3</v>
      </c>
      <c r="E1532" s="5">
        <v>40689</v>
      </c>
      <c r="F1532" s="5">
        <v>46155</v>
      </c>
      <c r="G1532" s="2">
        <v>149.46039999999999</v>
      </c>
      <c r="H1532" s="1" t="s">
        <v>10</v>
      </c>
      <c r="I1532" s="2">
        <v>482.69643929</v>
      </c>
      <c r="J1532" s="1" t="s">
        <v>366</v>
      </c>
      <c r="K1532" s="1" t="s">
        <v>4472</v>
      </c>
      <c r="L1532" s="2">
        <v>84331.33</v>
      </c>
      <c r="M1532">
        <f t="shared" si="69"/>
        <v>12604194.314331999</v>
      </c>
      <c r="N1532">
        <f t="shared" si="70"/>
        <v>1115415.4260470795</v>
      </c>
      <c r="O1532" t="str">
        <f t="shared" si="71"/>
        <v>BEHOLD</v>
      </c>
      <c r="P1532" s="1" t="s">
        <v>6484</v>
      </c>
    </row>
    <row r="1533" spans="1:16" ht="15" customHeight="1" x14ac:dyDescent="0.2">
      <c r="A1533" s="1" t="s">
        <v>4473</v>
      </c>
      <c r="B1533" s="1" t="s">
        <v>4474</v>
      </c>
      <c r="C1533" s="1" t="s">
        <v>9</v>
      </c>
      <c r="D1533" s="1" t="s">
        <v>3</v>
      </c>
      <c r="E1533" s="5">
        <v>44540</v>
      </c>
      <c r="F1533" s="5">
        <v>46155</v>
      </c>
      <c r="G1533" s="2">
        <v>22.063839999999999</v>
      </c>
      <c r="H1533" s="1" t="s">
        <v>10</v>
      </c>
      <c r="I1533" s="2">
        <v>578.96389320000003</v>
      </c>
      <c r="J1533" s="1" t="s">
        <v>38</v>
      </c>
      <c r="K1533" s="1" t="s">
        <v>4475</v>
      </c>
      <c r="L1533" s="2">
        <v>29446.68</v>
      </c>
      <c r="M1533">
        <f t="shared" si="69"/>
        <v>649706.83605119993</v>
      </c>
      <c r="N1533">
        <f t="shared" si="70"/>
        <v>57496.180181522112</v>
      </c>
      <c r="O1533" t="str">
        <f t="shared" si="71"/>
        <v>FJERN</v>
      </c>
      <c r="P1533" s="1" t="s">
        <v>6485</v>
      </c>
    </row>
    <row r="1534" spans="1:16" ht="15" customHeight="1" x14ac:dyDescent="0.2">
      <c r="A1534" s="1" t="s">
        <v>4476</v>
      </c>
      <c r="B1534" s="1" t="s">
        <v>4477</v>
      </c>
      <c r="C1534" s="1" t="s">
        <v>9</v>
      </c>
      <c r="D1534" s="1" t="s">
        <v>3</v>
      </c>
      <c r="E1534" s="5">
        <v>43444</v>
      </c>
      <c r="F1534" s="5">
        <v>45503</v>
      </c>
      <c r="G1534" s="2">
        <v>116.1172</v>
      </c>
      <c r="H1534" s="1" t="s">
        <v>10</v>
      </c>
      <c r="I1534" s="2">
        <v>15.941092068</v>
      </c>
      <c r="J1534" s="1" t="s">
        <v>34</v>
      </c>
      <c r="K1534" s="1" t="s">
        <v>4478</v>
      </c>
      <c r="L1534" s="2">
        <v>9313.3089999999993</v>
      </c>
      <c r="M1534">
        <f t="shared" si="69"/>
        <v>1081435.3638147998</v>
      </c>
      <c r="N1534">
        <f t="shared" si="70"/>
        <v>95702.244585380511</v>
      </c>
      <c r="O1534" t="str">
        <f t="shared" si="71"/>
        <v>FJERN</v>
      </c>
      <c r="P1534" s="1" t="s">
        <v>6486</v>
      </c>
    </row>
    <row r="1535" spans="1:16" ht="15" customHeight="1" x14ac:dyDescent="0.2">
      <c r="A1535" s="1" t="s">
        <v>4479</v>
      </c>
      <c r="B1535" s="1" t="s">
        <v>4480</v>
      </c>
      <c r="C1535" s="1" t="s">
        <v>9</v>
      </c>
      <c r="D1535" s="1" t="s">
        <v>3</v>
      </c>
      <c r="E1535" s="5">
        <v>39248</v>
      </c>
      <c r="F1535" s="5">
        <v>45862</v>
      </c>
      <c r="G1535" s="2">
        <v>19.587990000000001</v>
      </c>
      <c r="H1535" s="1" t="s">
        <v>10</v>
      </c>
      <c r="I1535" s="2">
        <v>43960.048605199998</v>
      </c>
      <c r="J1535" s="1" t="s">
        <v>236</v>
      </c>
      <c r="K1535" s="1" t="s">
        <v>4481</v>
      </c>
      <c r="L1535" s="2">
        <v>851964.6</v>
      </c>
      <c r="M1535">
        <f t="shared" si="69"/>
        <v>16688274.065154001</v>
      </c>
      <c r="N1535">
        <f t="shared" si="70"/>
        <v>1476838.4128454868</v>
      </c>
      <c r="O1535" t="str">
        <f t="shared" si="71"/>
        <v>BEHOLD</v>
      </c>
      <c r="P1535" s="1" t="s">
        <v>6487</v>
      </c>
    </row>
    <row r="1536" spans="1:16" ht="15" customHeight="1" x14ac:dyDescent="0.2">
      <c r="A1536" s="1" t="s">
        <v>4482</v>
      </c>
      <c r="B1536" s="1" t="s">
        <v>4483</v>
      </c>
      <c r="C1536" s="1" t="s">
        <v>9</v>
      </c>
      <c r="D1536" s="1" t="s">
        <v>3</v>
      </c>
      <c r="E1536" s="5">
        <v>44498</v>
      </c>
      <c r="F1536" s="5">
        <v>46155</v>
      </c>
      <c r="G1536" s="2">
        <v>0.56579579999999996</v>
      </c>
      <c r="H1536" s="1" t="s">
        <v>10</v>
      </c>
      <c r="I1536" s="2">
        <v>56.358744234500001</v>
      </c>
      <c r="J1536" s="1" t="s">
        <v>5</v>
      </c>
      <c r="K1536" s="1" t="s">
        <v>4484</v>
      </c>
      <c r="L1536" s="2">
        <v>371194.8</v>
      </c>
      <c r="M1536">
        <f t="shared" si="69"/>
        <v>210020.45882183997</v>
      </c>
      <c r="N1536">
        <f t="shared" si="70"/>
        <v>18585.881311667254</v>
      </c>
      <c r="O1536" t="str">
        <f t="shared" si="71"/>
        <v>FJERN</v>
      </c>
      <c r="P1536" s="1" t="s">
        <v>6488</v>
      </c>
    </row>
    <row r="1537" spans="1:16" ht="15" customHeight="1" x14ac:dyDescent="0.2">
      <c r="A1537" s="1" t="s">
        <v>4485</v>
      </c>
      <c r="B1537" s="1" t="s">
        <v>4486</v>
      </c>
      <c r="C1537" s="1" t="s">
        <v>2</v>
      </c>
      <c r="D1537" s="1" t="s">
        <v>3</v>
      </c>
      <c r="E1537" s="5">
        <v>32709</v>
      </c>
      <c r="F1537" s="5">
        <v>46155</v>
      </c>
      <c r="G1537" s="2">
        <v>236.01560000000001</v>
      </c>
      <c r="H1537" s="1" t="s">
        <v>4</v>
      </c>
      <c r="I1537" s="2">
        <v>1445411</v>
      </c>
      <c r="J1537" s="1" t="s">
        <v>366</v>
      </c>
      <c r="K1537" s="1" t="s">
        <v>4487</v>
      </c>
      <c r="L1537" s="2">
        <v>5967468</v>
      </c>
      <c r="M1537">
        <f t="shared" si="69"/>
        <v>1408415540.5008001</v>
      </c>
      <c r="N1537">
        <f t="shared" si="70"/>
        <v>189049065.83903357</v>
      </c>
      <c r="O1537" t="str">
        <f t="shared" si="71"/>
        <v>BEHOLD</v>
      </c>
      <c r="P1537" s="1" t="s">
        <v>6489</v>
      </c>
    </row>
    <row r="1538" spans="1:16" ht="15" customHeight="1" x14ac:dyDescent="0.2">
      <c r="A1538" s="1" t="s">
        <v>4488</v>
      </c>
      <c r="B1538" s="1" t="s">
        <v>4489</v>
      </c>
      <c r="C1538" s="1" t="s">
        <v>9</v>
      </c>
      <c r="D1538" s="1" t="s">
        <v>3</v>
      </c>
      <c r="E1538" s="5">
        <v>44545</v>
      </c>
      <c r="F1538" s="5">
        <v>45411</v>
      </c>
      <c r="G1538" s="2">
        <v>10.962820000000001</v>
      </c>
      <c r="H1538" s="1" t="s">
        <v>10</v>
      </c>
      <c r="I1538" s="2">
        <v>108.3390596</v>
      </c>
      <c r="J1538" s="1" t="s">
        <v>201</v>
      </c>
      <c r="K1538" s="1" t="s">
        <v>4490</v>
      </c>
      <c r="L1538" s="2">
        <v>14733.3</v>
      </c>
      <c r="M1538">
        <f t="shared" si="69"/>
        <v>161518.51590600002</v>
      </c>
      <c r="N1538">
        <f t="shared" si="70"/>
        <v>14293.673973982301</v>
      </c>
      <c r="O1538" t="str">
        <f t="shared" si="71"/>
        <v>FJERN</v>
      </c>
      <c r="P1538" s="1" t="s">
        <v>6490</v>
      </c>
    </row>
    <row r="1539" spans="1:16" ht="15" customHeight="1" x14ac:dyDescent="0.2">
      <c r="A1539" s="1" t="s">
        <v>4491</v>
      </c>
      <c r="B1539" s="1" t="s">
        <v>4492</v>
      </c>
      <c r="C1539" s="1" t="s">
        <v>9</v>
      </c>
      <c r="D1539" s="1" t="s">
        <v>3</v>
      </c>
      <c r="E1539" s="5">
        <v>44547</v>
      </c>
      <c r="F1539" s="5">
        <v>46155</v>
      </c>
      <c r="G1539" s="2">
        <v>61.374749999999999</v>
      </c>
      <c r="H1539" s="1" t="s">
        <v>10</v>
      </c>
      <c r="I1539" s="2">
        <v>870.93984160000002</v>
      </c>
      <c r="J1539" s="1" t="s">
        <v>23</v>
      </c>
      <c r="K1539" s="1" t="s">
        <v>4493</v>
      </c>
      <c r="L1539" s="2">
        <v>37547.43</v>
      </c>
      <c r="M1539">
        <f t="shared" ref="M1539:M1602" si="72">IF(OR(G1539="",L1539=""),"",G1539*L1539)</f>
        <v>2304464.1293925</v>
      </c>
      <c r="N1539">
        <f t="shared" ref="N1539:N1602" si="73">IF(M1539="","",IF(H1539="DKK",M1539/7.45,IF(H1539="SEK",M1539/11.3,M1539)))</f>
        <v>203934.87870730087</v>
      </c>
      <c r="O1539" t="str">
        <f t="shared" ref="O1539:O1602" si="74">IF(AND(E1539&lt;=DATE(2024,12,31),F1539&gt;=DATE(2010,1,1),D1539="SHARE",N1539&gt;=100000),"BEHOLD","FJERN")</f>
        <v>BEHOLD</v>
      </c>
      <c r="P1539" s="1" t="s">
        <v>6491</v>
      </c>
    </row>
    <row r="1540" spans="1:16" ht="15" customHeight="1" x14ac:dyDescent="0.2">
      <c r="A1540" s="1" t="s">
        <v>4494</v>
      </c>
      <c r="B1540" s="1" t="s">
        <v>4495</v>
      </c>
      <c r="C1540" s="1" t="s">
        <v>9</v>
      </c>
      <c r="D1540" s="1" t="s">
        <v>3</v>
      </c>
      <c r="E1540" s="5">
        <v>44539</v>
      </c>
      <c r="F1540" s="5">
        <v>46155</v>
      </c>
      <c r="G1540" s="2">
        <v>3.2264759999999999</v>
      </c>
      <c r="H1540" s="1" t="s">
        <v>10</v>
      </c>
      <c r="I1540" s="2">
        <v>56.311896959999999</v>
      </c>
      <c r="J1540" s="1" t="s">
        <v>197</v>
      </c>
      <c r="K1540" s="1" t="s">
        <v>4496</v>
      </c>
      <c r="L1540" s="2">
        <v>53847.28</v>
      </c>
      <c r="M1540">
        <f t="shared" si="72"/>
        <v>173736.95658527999</v>
      </c>
      <c r="N1540">
        <f t="shared" si="73"/>
        <v>15374.951910201768</v>
      </c>
      <c r="O1540" t="str">
        <f t="shared" si="74"/>
        <v>FJERN</v>
      </c>
      <c r="P1540" s="1" t="s">
        <v>6492</v>
      </c>
    </row>
    <row r="1541" spans="1:16" ht="15" customHeight="1" x14ac:dyDescent="0.2">
      <c r="A1541" s="1" t="s">
        <v>4497</v>
      </c>
      <c r="B1541" s="1" t="s">
        <v>4498</v>
      </c>
      <c r="C1541" s="1" t="s">
        <v>9</v>
      </c>
      <c r="D1541" s="1" t="s">
        <v>3</v>
      </c>
      <c r="E1541" s="5">
        <v>44379</v>
      </c>
      <c r="F1541" s="5">
        <v>46155</v>
      </c>
      <c r="G1541" s="2">
        <v>3.4038460000000001</v>
      </c>
      <c r="H1541" s="1" t="s">
        <v>10</v>
      </c>
      <c r="I1541" s="2">
        <v>72.346787379999995</v>
      </c>
      <c r="J1541" s="1" t="s">
        <v>76</v>
      </c>
      <c r="K1541" s="1" t="s">
        <v>4499</v>
      </c>
      <c r="L1541" s="2">
        <v>40958.67</v>
      </c>
      <c r="M1541">
        <f t="shared" si="72"/>
        <v>139417.00504481999</v>
      </c>
      <c r="N1541">
        <f t="shared" si="73"/>
        <v>12337.788057063715</v>
      </c>
      <c r="O1541" t="str">
        <f t="shared" si="74"/>
        <v>FJERN</v>
      </c>
      <c r="P1541" s="1" t="s">
        <v>6493</v>
      </c>
    </row>
    <row r="1542" spans="1:16" ht="15" customHeight="1" x14ac:dyDescent="0.2">
      <c r="A1542" s="1" t="s">
        <v>4500</v>
      </c>
      <c r="B1542" s="1" t="s">
        <v>4501</v>
      </c>
      <c r="C1542" s="1" t="s">
        <v>9</v>
      </c>
      <c r="D1542" s="1" t="s">
        <v>3</v>
      </c>
      <c r="E1542" s="5">
        <v>35614</v>
      </c>
      <c r="F1542" s="5">
        <v>45385</v>
      </c>
      <c r="G1542" s="2">
        <v>28.527380000000001</v>
      </c>
      <c r="H1542" s="1" t="s">
        <v>10</v>
      </c>
      <c r="I1542" s="2">
        <v>104.455625715</v>
      </c>
      <c r="J1542" s="1" t="s">
        <v>184</v>
      </c>
      <c r="K1542" s="1" t="s">
        <v>4502</v>
      </c>
      <c r="L1542" s="2">
        <v>411947.9</v>
      </c>
      <c r="M1542">
        <f t="shared" si="72"/>
        <v>11751794.283502001</v>
      </c>
      <c r="N1542">
        <f t="shared" si="73"/>
        <v>1039981.795000177</v>
      </c>
      <c r="O1542" t="str">
        <f t="shared" si="74"/>
        <v>BEHOLD</v>
      </c>
      <c r="P1542" s="1" t="s">
        <v>6494</v>
      </c>
    </row>
    <row r="1543" spans="1:16" ht="15" customHeight="1" x14ac:dyDescent="0.2">
      <c r="A1543" s="1" t="s">
        <v>4503</v>
      </c>
      <c r="B1543" s="1" t="s">
        <v>4504</v>
      </c>
      <c r="C1543" s="1" t="s">
        <v>9</v>
      </c>
      <c r="D1543" s="1" t="s">
        <v>3</v>
      </c>
      <c r="E1543" s="5">
        <v>46105</v>
      </c>
      <c r="F1543" s="5">
        <v>46155</v>
      </c>
      <c r="G1543" s="2">
        <v>16.433710000000001</v>
      </c>
      <c r="H1543" s="1" t="s">
        <v>10</v>
      </c>
      <c r="I1543" s="2">
        <v>3764.33101034316</v>
      </c>
      <c r="J1543" s="1" t="s">
        <v>61</v>
      </c>
      <c r="K1543" s="1" t="s">
        <v>4505</v>
      </c>
      <c r="L1543" s="2">
        <v>261270.1</v>
      </c>
      <c r="M1543">
        <f t="shared" si="72"/>
        <v>4293637.055071</v>
      </c>
      <c r="N1543">
        <f t="shared" si="73"/>
        <v>379967.88097973447</v>
      </c>
      <c r="O1543" t="str">
        <f t="shared" si="74"/>
        <v>FJERN</v>
      </c>
      <c r="P1543" s="1" t="s">
        <v>6495</v>
      </c>
    </row>
    <row r="1544" spans="1:16" ht="15" customHeight="1" x14ac:dyDescent="0.2">
      <c r="A1544" s="1" t="s">
        <v>4506</v>
      </c>
      <c r="B1544" s="1" t="s">
        <v>4507</v>
      </c>
      <c r="C1544" s="1" t="s">
        <v>9</v>
      </c>
      <c r="D1544" s="1" t="s">
        <v>3</v>
      </c>
      <c r="E1544" s="5">
        <v>31300</v>
      </c>
      <c r="F1544" s="5">
        <v>46155</v>
      </c>
      <c r="G1544" s="2">
        <v>142.68</v>
      </c>
      <c r="H1544" s="1" t="s">
        <v>10</v>
      </c>
      <c r="I1544" s="2">
        <v>17252.255162040001</v>
      </c>
      <c r="J1544" s="1" t="s">
        <v>122</v>
      </c>
      <c r="K1544" s="1" t="s">
        <v>4508</v>
      </c>
      <c r="L1544" s="2">
        <v>1760273</v>
      </c>
      <c r="M1544">
        <f t="shared" si="72"/>
        <v>251155751.64000002</v>
      </c>
      <c r="N1544">
        <f t="shared" si="73"/>
        <v>22226172.711504426</v>
      </c>
      <c r="O1544" t="str">
        <f t="shared" si="74"/>
        <v>BEHOLD</v>
      </c>
      <c r="P1544" s="1" t="s">
        <v>6496</v>
      </c>
    </row>
    <row r="1545" spans="1:16" ht="15" customHeight="1" x14ac:dyDescent="0.2">
      <c r="A1545" s="1" t="s">
        <v>4509</v>
      </c>
      <c r="B1545" s="1" t="s">
        <v>4510</v>
      </c>
      <c r="C1545" s="1" t="s">
        <v>9</v>
      </c>
      <c r="D1545" s="1" t="s">
        <v>3</v>
      </c>
      <c r="E1545" s="5">
        <v>44539</v>
      </c>
      <c r="F1545" s="5">
        <v>45807</v>
      </c>
      <c r="G1545" s="2">
        <v>28.949349999999999</v>
      </c>
      <c r="H1545" s="1" t="s">
        <v>10</v>
      </c>
      <c r="I1545" s="2">
        <v>4799.3687016000003</v>
      </c>
      <c r="J1545" s="1" t="s">
        <v>11</v>
      </c>
      <c r="K1545" s="1" t="s">
        <v>4511</v>
      </c>
      <c r="L1545" s="2">
        <v>223375.5</v>
      </c>
      <c r="M1545">
        <f t="shared" si="72"/>
        <v>6466575.5309250001</v>
      </c>
      <c r="N1545">
        <f t="shared" si="73"/>
        <v>572263.32132079639</v>
      </c>
      <c r="O1545" t="str">
        <f t="shared" si="74"/>
        <v>BEHOLD</v>
      </c>
      <c r="P1545" s="1" t="s">
        <v>6497</v>
      </c>
    </row>
    <row r="1546" spans="1:16" ht="15" customHeight="1" x14ac:dyDescent="0.2">
      <c r="A1546" s="1" t="s">
        <v>4512</v>
      </c>
      <c r="B1546" s="1" t="s">
        <v>4513</v>
      </c>
      <c r="C1546" s="1" t="s">
        <v>9</v>
      </c>
      <c r="D1546" s="1" t="s">
        <v>3</v>
      </c>
      <c r="E1546" s="5">
        <v>44538</v>
      </c>
      <c r="F1546" s="5">
        <v>44755</v>
      </c>
      <c r="G1546" s="2">
        <v>80.166319999999999</v>
      </c>
      <c r="H1546" s="1" t="s">
        <v>10</v>
      </c>
      <c r="I1546" s="2"/>
      <c r="J1546" s="1" t="s">
        <v>61</v>
      </c>
      <c r="K1546" s="1" t="s">
        <v>4514</v>
      </c>
      <c r="L1546" s="2">
        <v>8473.6620000000003</v>
      </c>
      <c r="M1546">
        <f t="shared" si="72"/>
        <v>679302.29946383997</v>
      </c>
      <c r="N1546">
        <f t="shared" si="73"/>
        <v>60115.247740162828</v>
      </c>
      <c r="O1546" t="str">
        <f t="shared" si="74"/>
        <v>FJERN</v>
      </c>
      <c r="P1546" s="1"/>
    </row>
    <row r="1547" spans="1:16" ht="15" customHeight="1" x14ac:dyDescent="0.2">
      <c r="A1547" s="1" t="s">
        <v>4515</v>
      </c>
      <c r="B1547" s="1" t="s">
        <v>4516</v>
      </c>
      <c r="C1547" s="1" t="s">
        <v>9</v>
      </c>
      <c r="D1547" s="1" t="s">
        <v>3</v>
      </c>
      <c r="E1547" s="5">
        <v>44705</v>
      </c>
      <c r="F1547" s="5">
        <v>46155</v>
      </c>
      <c r="G1547" s="2">
        <v>21.806360000000002</v>
      </c>
      <c r="H1547" s="1" t="s">
        <v>10</v>
      </c>
      <c r="I1547" s="2">
        <v>484.17873735000001</v>
      </c>
      <c r="J1547" s="1" t="s">
        <v>23</v>
      </c>
      <c r="K1547" s="1" t="s">
        <v>4517</v>
      </c>
      <c r="L1547" s="2">
        <v>66313.88</v>
      </c>
      <c r="M1547">
        <f t="shared" si="72"/>
        <v>1446064.3402768001</v>
      </c>
      <c r="N1547">
        <f t="shared" si="73"/>
        <v>127970.29559971682</v>
      </c>
      <c r="O1547" t="str">
        <f t="shared" si="74"/>
        <v>BEHOLD</v>
      </c>
      <c r="P1547" s="1" t="s">
        <v>6498</v>
      </c>
    </row>
    <row r="1548" spans="1:16" ht="15" customHeight="1" x14ac:dyDescent="0.2">
      <c r="A1548" s="1" t="s">
        <v>4518</v>
      </c>
      <c r="B1548" s="1" t="s">
        <v>4519</v>
      </c>
      <c r="C1548" s="1" t="s">
        <v>9</v>
      </c>
      <c r="D1548" s="1" t="s">
        <v>3</v>
      </c>
      <c r="E1548" s="5">
        <v>42860</v>
      </c>
      <c r="F1548" s="5">
        <v>46155</v>
      </c>
      <c r="G1548" s="2">
        <v>141.25810000000001</v>
      </c>
      <c r="H1548" s="1" t="s">
        <v>10</v>
      </c>
      <c r="I1548" s="2">
        <v>96.098024640000006</v>
      </c>
      <c r="J1548" s="1" t="s">
        <v>236</v>
      </c>
      <c r="K1548" s="1" t="s">
        <v>4520</v>
      </c>
      <c r="L1548" s="2">
        <v>15663.91</v>
      </c>
      <c r="M1548">
        <f t="shared" si="72"/>
        <v>2212654.1651710002</v>
      </c>
      <c r="N1548">
        <f t="shared" si="73"/>
        <v>195810.10311247787</v>
      </c>
      <c r="O1548" t="str">
        <f t="shared" si="74"/>
        <v>BEHOLD</v>
      </c>
      <c r="P1548" s="1" t="s">
        <v>6499</v>
      </c>
    </row>
    <row r="1549" spans="1:16" ht="15" customHeight="1" x14ac:dyDescent="0.2">
      <c r="A1549" s="1" t="s">
        <v>4521</v>
      </c>
      <c r="B1549" s="1" t="s">
        <v>4522</v>
      </c>
      <c r="C1549" s="1" t="s">
        <v>9</v>
      </c>
      <c r="D1549" s="1" t="s">
        <v>3</v>
      </c>
      <c r="E1549" s="5">
        <v>42654</v>
      </c>
      <c r="F1549" s="5">
        <v>46155</v>
      </c>
      <c r="G1549" s="2">
        <v>150.08580000000001</v>
      </c>
      <c r="H1549" s="1" t="s">
        <v>10</v>
      </c>
      <c r="I1549" s="2">
        <v>2900.7257768999998</v>
      </c>
      <c r="J1549" s="1" t="s">
        <v>76</v>
      </c>
      <c r="K1549" s="1" t="s">
        <v>4523</v>
      </c>
      <c r="L1549" s="2">
        <v>11711.88</v>
      </c>
      <c r="M1549">
        <f t="shared" si="72"/>
        <v>1757786.8793039999</v>
      </c>
      <c r="N1549">
        <f t="shared" si="73"/>
        <v>155556.36100035397</v>
      </c>
      <c r="O1549" t="str">
        <f t="shared" si="74"/>
        <v>BEHOLD</v>
      </c>
      <c r="P1549" s="1" t="s">
        <v>6500</v>
      </c>
    </row>
    <row r="1550" spans="1:16" ht="15" customHeight="1" x14ac:dyDescent="0.2">
      <c r="A1550" s="1" t="s">
        <v>4524</v>
      </c>
      <c r="B1550" s="1" t="s">
        <v>4525</v>
      </c>
      <c r="C1550" s="1" t="s">
        <v>2</v>
      </c>
      <c r="D1550" s="1" t="s">
        <v>3</v>
      </c>
      <c r="E1550" s="5">
        <v>44516</v>
      </c>
      <c r="F1550" s="5">
        <v>46155</v>
      </c>
      <c r="G1550" s="2">
        <v>5.8943380000000003</v>
      </c>
      <c r="H1550" s="1" t="s">
        <v>4</v>
      </c>
      <c r="I1550" s="2">
        <v>66.813117000000005</v>
      </c>
      <c r="J1550" s="1" t="s">
        <v>38</v>
      </c>
      <c r="K1550" s="1" t="s">
        <v>4526</v>
      </c>
      <c r="L1550" s="2">
        <v>9509.1080000000002</v>
      </c>
      <c r="M1550">
        <f t="shared" si="72"/>
        <v>56049.896630504001</v>
      </c>
      <c r="N1550">
        <f t="shared" si="73"/>
        <v>7523.4760577857714</v>
      </c>
      <c r="O1550" t="str">
        <f t="shared" si="74"/>
        <v>FJERN</v>
      </c>
      <c r="P1550" s="1"/>
    </row>
    <row r="1551" spans="1:16" ht="15" customHeight="1" x14ac:dyDescent="0.2">
      <c r="A1551" s="1" t="s">
        <v>4527</v>
      </c>
      <c r="B1551" s="1" t="s">
        <v>4528</v>
      </c>
      <c r="C1551" s="1" t="s">
        <v>9</v>
      </c>
      <c r="D1551" s="1" t="s">
        <v>3</v>
      </c>
      <c r="E1551" s="5">
        <v>44524</v>
      </c>
      <c r="F1551" s="5">
        <v>46155</v>
      </c>
      <c r="G1551" s="2">
        <v>1.407959</v>
      </c>
      <c r="H1551" s="1" t="s">
        <v>10</v>
      </c>
      <c r="I1551" s="2">
        <v>191.67136008</v>
      </c>
      <c r="J1551" s="1" t="s">
        <v>76</v>
      </c>
      <c r="K1551" s="1" t="s">
        <v>4529</v>
      </c>
      <c r="L1551" s="2">
        <v>51791.42</v>
      </c>
      <c r="M1551">
        <f t="shared" si="72"/>
        <v>72920.19591178</v>
      </c>
      <c r="N1551">
        <f t="shared" si="73"/>
        <v>6453.1146824584066</v>
      </c>
      <c r="O1551" t="str">
        <f t="shared" si="74"/>
        <v>FJERN</v>
      </c>
      <c r="P1551" s="1" t="s">
        <v>6501</v>
      </c>
    </row>
    <row r="1552" spans="1:16" ht="15" customHeight="1" x14ac:dyDescent="0.2">
      <c r="A1552" s="1" t="s">
        <v>4530</v>
      </c>
      <c r="B1552" s="1" t="s">
        <v>4531</v>
      </c>
      <c r="C1552" s="1" t="s">
        <v>2</v>
      </c>
      <c r="D1552" s="1" t="s">
        <v>3</v>
      </c>
      <c r="E1552" s="5">
        <v>44531</v>
      </c>
      <c r="F1552" s="5">
        <v>45426</v>
      </c>
      <c r="G1552" s="2">
        <v>5.0809519999999999</v>
      </c>
      <c r="H1552" s="1" t="s">
        <v>4</v>
      </c>
      <c r="I1552" s="2">
        <v>178.64</v>
      </c>
      <c r="J1552" s="1" t="s">
        <v>236</v>
      </c>
      <c r="K1552" s="1" t="s">
        <v>4532</v>
      </c>
      <c r="L1552" s="2">
        <v>13128.04</v>
      </c>
      <c r="M1552">
        <f t="shared" si="72"/>
        <v>66702.941094080001</v>
      </c>
      <c r="N1552">
        <f t="shared" si="73"/>
        <v>8953.4149119570466</v>
      </c>
      <c r="O1552" t="str">
        <f t="shared" si="74"/>
        <v>FJERN</v>
      </c>
      <c r="P1552" s="1" t="s">
        <v>6502</v>
      </c>
    </row>
    <row r="1553" spans="1:16" ht="15" customHeight="1" x14ac:dyDescent="0.2">
      <c r="A1553" s="1" t="s">
        <v>4533</v>
      </c>
      <c r="B1553" s="1" t="s">
        <v>4534</v>
      </c>
      <c r="C1553" s="1" t="s">
        <v>9</v>
      </c>
      <c r="D1553" s="1" t="s">
        <v>3</v>
      </c>
      <c r="E1553" s="5">
        <v>45373</v>
      </c>
      <c r="F1553" s="5">
        <v>46155</v>
      </c>
      <c r="G1553" s="2">
        <v>54.370060000000002</v>
      </c>
      <c r="H1553" s="1" t="s">
        <v>10</v>
      </c>
      <c r="I1553" s="2">
        <v>3879.7832263999999</v>
      </c>
      <c r="J1553" s="1" t="s">
        <v>23</v>
      </c>
      <c r="K1553" s="1" t="s">
        <v>4535</v>
      </c>
      <c r="L1553" s="2">
        <v>75881.7</v>
      </c>
      <c r="M1553">
        <f t="shared" si="72"/>
        <v>4125692.5819020001</v>
      </c>
      <c r="N1553">
        <f t="shared" si="73"/>
        <v>365105.53822141589</v>
      </c>
      <c r="O1553" t="str">
        <f t="shared" si="74"/>
        <v>BEHOLD</v>
      </c>
      <c r="P1553" s="1" t="s">
        <v>6503</v>
      </c>
    </row>
    <row r="1554" spans="1:16" ht="15" customHeight="1" x14ac:dyDescent="0.2">
      <c r="A1554" s="1" t="s">
        <v>4536</v>
      </c>
      <c r="B1554" s="1" t="s">
        <v>4537</v>
      </c>
      <c r="C1554" s="1" t="s">
        <v>9</v>
      </c>
      <c r="D1554" s="1" t="s">
        <v>3</v>
      </c>
      <c r="E1554" s="5">
        <v>44903</v>
      </c>
      <c r="F1554" s="5">
        <v>46155</v>
      </c>
      <c r="G1554" s="2">
        <v>92.521559999999994</v>
      </c>
      <c r="H1554" s="1" t="s">
        <v>10</v>
      </c>
      <c r="I1554" s="2">
        <v>718.36265219999996</v>
      </c>
      <c r="J1554" s="1" t="s">
        <v>115</v>
      </c>
      <c r="K1554" s="1" t="s">
        <v>4538</v>
      </c>
      <c r="L1554" s="2">
        <v>14227.62</v>
      </c>
      <c r="M1554">
        <f t="shared" si="72"/>
        <v>1316361.5974872001</v>
      </c>
      <c r="N1554">
        <f t="shared" si="73"/>
        <v>116492.17676877877</v>
      </c>
      <c r="O1554" t="str">
        <f t="shared" si="74"/>
        <v>BEHOLD</v>
      </c>
      <c r="P1554" s="1" t="s">
        <v>6504</v>
      </c>
    </row>
    <row r="1555" spans="1:16" ht="15" customHeight="1" x14ac:dyDescent="0.2">
      <c r="A1555" s="1" t="s">
        <v>4539</v>
      </c>
      <c r="B1555" s="1" t="s">
        <v>4540</v>
      </c>
      <c r="C1555" s="1" t="s">
        <v>2</v>
      </c>
      <c r="D1555" s="1" t="s">
        <v>3</v>
      </c>
      <c r="E1555" s="5">
        <v>39370</v>
      </c>
      <c r="F1555" s="5">
        <v>46155</v>
      </c>
      <c r="G1555" s="2">
        <v>33.867339999999999</v>
      </c>
      <c r="H1555" s="1" t="s">
        <v>4</v>
      </c>
      <c r="I1555" s="2">
        <v>24.538404</v>
      </c>
      <c r="J1555" s="1" t="s">
        <v>236</v>
      </c>
      <c r="K1555" s="1" t="s">
        <v>4541</v>
      </c>
      <c r="L1555" s="2">
        <v>247.87549999999999</v>
      </c>
      <c r="M1555">
        <f t="shared" si="72"/>
        <v>8394.88383617</v>
      </c>
      <c r="N1555">
        <f t="shared" si="73"/>
        <v>1126.83004512349</v>
      </c>
      <c r="O1555" t="str">
        <f t="shared" si="74"/>
        <v>FJERN</v>
      </c>
      <c r="P1555" s="1" t="s">
        <v>6505</v>
      </c>
    </row>
    <row r="1556" spans="1:16" ht="15" customHeight="1" x14ac:dyDescent="0.2">
      <c r="A1556" s="1" t="s">
        <v>4542</v>
      </c>
      <c r="B1556" s="1" t="s">
        <v>4543</v>
      </c>
      <c r="C1556" s="1" t="s">
        <v>9</v>
      </c>
      <c r="D1556" s="1" t="s">
        <v>3</v>
      </c>
      <c r="E1556" s="5">
        <v>44855</v>
      </c>
      <c r="F1556" s="5">
        <v>46041</v>
      </c>
      <c r="G1556" s="2">
        <v>17.975940000000001</v>
      </c>
      <c r="H1556" s="1" t="s">
        <v>10</v>
      </c>
      <c r="I1556" s="2">
        <v>783.28585439999995</v>
      </c>
      <c r="J1556" s="1" t="s">
        <v>51</v>
      </c>
      <c r="K1556" s="1" t="s">
        <v>4544</v>
      </c>
      <c r="L1556" s="2">
        <v>136682.5</v>
      </c>
      <c r="M1556">
        <f t="shared" si="72"/>
        <v>2456996.4190500001</v>
      </c>
      <c r="N1556">
        <f t="shared" si="73"/>
        <v>217433.31142035397</v>
      </c>
      <c r="O1556" t="str">
        <f t="shared" si="74"/>
        <v>BEHOLD</v>
      </c>
      <c r="P1556" s="1" t="s">
        <v>6506</v>
      </c>
    </row>
    <row r="1557" spans="1:16" ht="15" customHeight="1" x14ac:dyDescent="0.2">
      <c r="A1557" s="1" t="s">
        <v>4545</v>
      </c>
      <c r="B1557" s="1" t="s">
        <v>4546</v>
      </c>
      <c r="C1557" s="1" t="s">
        <v>9</v>
      </c>
      <c r="D1557" s="1" t="s">
        <v>3</v>
      </c>
      <c r="E1557" s="5">
        <v>41367</v>
      </c>
      <c r="F1557" s="5">
        <v>46155</v>
      </c>
      <c r="G1557" s="2">
        <v>411.07060000000001</v>
      </c>
      <c r="H1557" s="1" t="s">
        <v>10</v>
      </c>
      <c r="I1557" s="2">
        <v>29.646417570000001</v>
      </c>
      <c r="J1557" s="1" t="s">
        <v>366</v>
      </c>
      <c r="K1557" s="1" t="s">
        <v>4547</v>
      </c>
      <c r="L1557" s="2">
        <v>16741.59</v>
      </c>
      <c r="M1557">
        <f t="shared" si="72"/>
        <v>6881975.4462540001</v>
      </c>
      <c r="N1557">
        <f t="shared" si="73"/>
        <v>609024.37577469018</v>
      </c>
      <c r="O1557" t="str">
        <f t="shared" si="74"/>
        <v>BEHOLD</v>
      </c>
      <c r="P1557" s="1" t="s">
        <v>6507</v>
      </c>
    </row>
    <row r="1558" spans="1:16" ht="15" customHeight="1" x14ac:dyDescent="0.2">
      <c r="A1558" s="1" t="s">
        <v>4548</v>
      </c>
      <c r="B1558" s="1" t="s">
        <v>4549</v>
      </c>
      <c r="C1558" s="1" t="s">
        <v>9</v>
      </c>
      <c r="D1558" s="1" t="s">
        <v>3</v>
      </c>
      <c r="E1558" s="5">
        <v>39251</v>
      </c>
      <c r="F1558" s="5">
        <v>46155</v>
      </c>
      <c r="G1558" s="2">
        <v>26.45045</v>
      </c>
      <c r="H1558" s="1" t="s">
        <v>10</v>
      </c>
      <c r="I1558" s="2">
        <v>7173.3665387999999</v>
      </c>
      <c r="J1558" s="1" t="s">
        <v>61</v>
      </c>
      <c r="K1558" s="1" t="s">
        <v>4550</v>
      </c>
      <c r="L1558" s="2">
        <v>16558.240000000002</v>
      </c>
      <c r="M1558">
        <f t="shared" si="72"/>
        <v>437972.89920800005</v>
      </c>
      <c r="N1558">
        <f t="shared" si="73"/>
        <v>38758.663646725669</v>
      </c>
      <c r="O1558" t="str">
        <f t="shared" si="74"/>
        <v>FJERN</v>
      </c>
      <c r="P1558" s="1" t="s">
        <v>6508</v>
      </c>
    </row>
    <row r="1559" spans="1:16" ht="15" customHeight="1" x14ac:dyDescent="0.2">
      <c r="A1559" s="1" t="s">
        <v>4551</v>
      </c>
      <c r="B1559" s="1" t="s">
        <v>4552</v>
      </c>
      <c r="C1559" s="1" t="s">
        <v>9</v>
      </c>
      <c r="D1559" s="1" t="s">
        <v>3</v>
      </c>
      <c r="E1559" s="5">
        <v>44526</v>
      </c>
      <c r="F1559" s="5">
        <v>45744</v>
      </c>
      <c r="G1559" s="2">
        <v>2.93676</v>
      </c>
      <c r="H1559" s="1" t="s">
        <v>10</v>
      </c>
      <c r="I1559" s="2">
        <v>1.417531162</v>
      </c>
      <c r="J1559" s="1" t="s">
        <v>122</v>
      </c>
      <c r="K1559" s="1" t="s">
        <v>4553</v>
      </c>
      <c r="L1559" s="2">
        <v>11998.79</v>
      </c>
      <c r="M1559">
        <f t="shared" si="72"/>
        <v>35237.566520400003</v>
      </c>
      <c r="N1559">
        <f t="shared" si="73"/>
        <v>3118.3687186194693</v>
      </c>
      <c r="O1559" t="str">
        <f t="shared" si="74"/>
        <v>FJERN</v>
      </c>
      <c r="P1559" s="1" t="s">
        <v>6509</v>
      </c>
    </row>
    <row r="1560" spans="1:16" ht="15" customHeight="1" x14ac:dyDescent="0.2">
      <c r="A1560" s="1" t="s">
        <v>4554</v>
      </c>
      <c r="B1560" s="1" t="s">
        <v>4555</v>
      </c>
      <c r="C1560" s="1" t="s">
        <v>9</v>
      </c>
      <c r="D1560" s="1" t="s">
        <v>3</v>
      </c>
      <c r="E1560" s="5">
        <v>44659</v>
      </c>
      <c r="F1560" s="5">
        <v>46155</v>
      </c>
      <c r="G1560" s="2">
        <v>34.300260000000002</v>
      </c>
      <c r="H1560" s="1" t="s">
        <v>10</v>
      </c>
      <c r="I1560" s="2">
        <v>760.90501040000004</v>
      </c>
      <c r="J1560" s="1" t="s">
        <v>236</v>
      </c>
      <c r="K1560" s="1" t="s">
        <v>4556</v>
      </c>
      <c r="L1560" s="2">
        <v>8301.607</v>
      </c>
      <c r="M1560">
        <f t="shared" si="72"/>
        <v>284747.27851782</v>
      </c>
      <c r="N1560">
        <f t="shared" si="73"/>
        <v>25198.874205116812</v>
      </c>
      <c r="O1560" t="str">
        <f t="shared" si="74"/>
        <v>FJERN</v>
      </c>
      <c r="P1560" s="1" t="s">
        <v>6510</v>
      </c>
    </row>
    <row r="1561" spans="1:16" ht="15" customHeight="1" x14ac:dyDescent="0.2">
      <c r="A1561" s="1" t="s">
        <v>4557</v>
      </c>
      <c r="B1561" s="1" t="s">
        <v>4558</v>
      </c>
      <c r="C1561" s="1" t="s">
        <v>9</v>
      </c>
      <c r="D1561" s="1" t="s">
        <v>3</v>
      </c>
      <c r="E1561" s="5">
        <v>44370</v>
      </c>
      <c r="F1561" s="5">
        <v>45498</v>
      </c>
      <c r="G1561" s="2">
        <v>97.199340000000007</v>
      </c>
      <c r="H1561" s="1" t="s">
        <v>10</v>
      </c>
      <c r="I1561" s="2">
        <v>2435</v>
      </c>
      <c r="J1561" s="1" t="s">
        <v>76</v>
      </c>
      <c r="K1561" s="1" t="s">
        <v>4559</v>
      </c>
      <c r="L1561" s="2">
        <v>52610.98</v>
      </c>
      <c r="M1561">
        <f t="shared" si="72"/>
        <v>5113752.5327532003</v>
      </c>
      <c r="N1561">
        <f t="shared" si="73"/>
        <v>452544.47192506195</v>
      </c>
      <c r="O1561" t="str">
        <f t="shared" si="74"/>
        <v>BEHOLD</v>
      </c>
      <c r="P1561" s="1"/>
    </row>
    <row r="1562" spans="1:16" ht="15" customHeight="1" x14ac:dyDescent="0.2">
      <c r="A1562" s="1" t="s">
        <v>4560</v>
      </c>
      <c r="B1562" s="1" t="s">
        <v>4561</v>
      </c>
      <c r="C1562" s="1" t="s">
        <v>9</v>
      </c>
      <c r="D1562" s="1" t="s">
        <v>3</v>
      </c>
      <c r="E1562" s="5">
        <v>39188</v>
      </c>
      <c r="F1562" s="5">
        <v>46155</v>
      </c>
      <c r="G1562" s="2">
        <v>70.995320000000007</v>
      </c>
      <c r="H1562" s="1" t="s">
        <v>10</v>
      </c>
      <c r="I1562" s="2">
        <v>452.41222399999998</v>
      </c>
      <c r="J1562" s="1" t="s">
        <v>184</v>
      </c>
      <c r="K1562" s="1" t="s">
        <v>4562</v>
      </c>
      <c r="L1562" s="2">
        <v>6757.9790000000003</v>
      </c>
      <c r="M1562">
        <f t="shared" si="72"/>
        <v>479784.88165828004</v>
      </c>
      <c r="N1562">
        <f t="shared" si="73"/>
        <v>42458.839084803541</v>
      </c>
      <c r="O1562" t="str">
        <f t="shared" si="74"/>
        <v>FJERN</v>
      </c>
      <c r="P1562" s="1" t="s">
        <v>6511</v>
      </c>
    </row>
    <row r="1563" spans="1:16" ht="15" customHeight="1" x14ac:dyDescent="0.2">
      <c r="A1563" s="1" t="s">
        <v>4563</v>
      </c>
      <c r="B1563" s="1" t="s">
        <v>4564</v>
      </c>
      <c r="C1563" s="1" t="s">
        <v>9</v>
      </c>
      <c r="D1563" s="1" t="s">
        <v>3</v>
      </c>
      <c r="E1563" s="5">
        <v>38331</v>
      </c>
      <c r="F1563" s="5">
        <v>45734</v>
      </c>
      <c r="G1563" s="2">
        <v>548.66489999999999</v>
      </c>
      <c r="H1563" s="1" t="s">
        <v>10</v>
      </c>
      <c r="I1563" s="2">
        <v>19.680634399999999</v>
      </c>
      <c r="J1563" s="1" t="s">
        <v>289</v>
      </c>
      <c r="K1563" s="1" t="s">
        <v>4565</v>
      </c>
      <c r="L1563" s="2">
        <v>116337.7</v>
      </c>
      <c r="M1563">
        <f t="shared" si="72"/>
        <v>63830412.536729999</v>
      </c>
      <c r="N1563">
        <f t="shared" si="73"/>
        <v>5648709.0740469024</v>
      </c>
      <c r="O1563" t="str">
        <f t="shared" si="74"/>
        <v>BEHOLD</v>
      </c>
      <c r="P1563" s="1" t="s">
        <v>6512</v>
      </c>
    </row>
    <row r="1564" spans="1:16" ht="15" customHeight="1" x14ac:dyDescent="0.2">
      <c r="A1564" s="1" t="s">
        <v>4566</v>
      </c>
      <c r="B1564" s="1" t="s">
        <v>4567</v>
      </c>
      <c r="C1564" s="1" t="s">
        <v>9</v>
      </c>
      <c r="D1564" s="1" t="s">
        <v>3</v>
      </c>
      <c r="E1564" s="5">
        <v>44551</v>
      </c>
      <c r="F1564" s="5">
        <v>46150</v>
      </c>
      <c r="G1564" s="2">
        <v>2.1575709999999999</v>
      </c>
      <c r="H1564" s="1" t="s">
        <v>10</v>
      </c>
      <c r="I1564" s="2"/>
      <c r="J1564" s="1" t="s">
        <v>76</v>
      </c>
      <c r="K1564" s="1" t="s">
        <v>4568</v>
      </c>
      <c r="L1564" s="2">
        <v>10567.41</v>
      </c>
      <c r="M1564">
        <f t="shared" si="72"/>
        <v>22799.937361109998</v>
      </c>
      <c r="N1564">
        <f t="shared" si="73"/>
        <v>2017.6935717796457</v>
      </c>
      <c r="O1564" t="str">
        <f t="shared" si="74"/>
        <v>FJERN</v>
      </c>
      <c r="P1564" s="1"/>
    </row>
    <row r="1565" spans="1:16" ht="15" customHeight="1" x14ac:dyDescent="0.2">
      <c r="A1565" s="1" t="s">
        <v>4569</v>
      </c>
      <c r="B1565" s="1" t="s">
        <v>4570</v>
      </c>
      <c r="C1565" s="1" t="s">
        <v>9</v>
      </c>
      <c r="D1565" s="1" t="s">
        <v>3</v>
      </c>
      <c r="E1565" s="5">
        <v>44601</v>
      </c>
      <c r="F1565" s="5">
        <v>45889</v>
      </c>
      <c r="G1565" s="2">
        <v>0.2802077</v>
      </c>
      <c r="H1565" s="1" t="s">
        <v>10</v>
      </c>
      <c r="I1565" s="2">
        <v>4.9831446636000001</v>
      </c>
      <c r="J1565" s="1" t="s">
        <v>30</v>
      </c>
      <c r="K1565" s="1" t="s">
        <v>4571</v>
      </c>
      <c r="L1565" s="2">
        <v>31213120</v>
      </c>
      <c r="M1565">
        <f t="shared" si="72"/>
        <v>8746156.5650239997</v>
      </c>
      <c r="N1565">
        <f t="shared" si="73"/>
        <v>773996.15619681403</v>
      </c>
      <c r="O1565" t="str">
        <f t="shared" si="74"/>
        <v>BEHOLD</v>
      </c>
      <c r="P1565" s="1" t="s">
        <v>6513</v>
      </c>
    </row>
    <row r="1566" spans="1:16" ht="15" customHeight="1" x14ac:dyDescent="0.2">
      <c r="A1566" s="1" t="s">
        <v>4572</v>
      </c>
      <c r="B1566" s="1" t="s">
        <v>4573</v>
      </c>
      <c r="C1566" s="1" t="s">
        <v>9</v>
      </c>
      <c r="D1566" s="1" t="s">
        <v>3</v>
      </c>
      <c r="E1566" s="5">
        <v>44631</v>
      </c>
      <c r="F1566" s="5">
        <v>46155</v>
      </c>
      <c r="G1566" s="2">
        <v>7.3916849999999998</v>
      </c>
      <c r="H1566" s="1" t="s">
        <v>10</v>
      </c>
      <c r="I1566" s="2">
        <v>358.11138132000002</v>
      </c>
      <c r="J1566" s="1" t="s">
        <v>115</v>
      </c>
      <c r="K1566" s="1" t="s">
        <v>4574</v>
      </c>
      <c r="L1566" s="2">
        <v>70272.23</v>
      </c>
      <c r="M1566">
        <f t="shared" si="72"/>
        <v>519430.18840754998</v>
      </c>
      <c r="N1566">
        <f t="shared" si="73"/>
        <v>45967.273310402648</v>
      </c>
      <c r="O1566" t="str">
        <f t="shared" si="74"/>
        <v>FJERN</v>
      </c>
      <c r="P1566" s="1" t="s">
        <v>6514</v>
      </c>
    </row>
    <row r="1567" spans="1:16" ht="15" customHeight="1" x14ac:dyDescent="0.2">
      <c r="A1567" s="1" t="s">
        <v>4575</v>
      </c>
      <c r="B1567" s="1" t="s">
        <v>4576</v>
      </c>
      <c r="C1567" s="1" t="s">
        <v>9</v>
      </c>
      <c r="D1567" s="1" t="s">
        <v>3</v>
      </c>
      <c r="E1567" s="5">
        <v>38495</v>
      </c>
      <c r="F1567" s="5">
        <v>46155</v>
      </c>
      <c r="G1567" s="2">
        <v>55.308070000000001</v>
      </c>
      <c r="H1567" s="1" t="s">
        <v>10</v>
      </c>
      <c r="I1567" s="2">
        <v>28052.705720000002</v>
      </c>
      <c r="J1567" s="1" t="s">
        <v>61</v>
      </c>
      <c r="K1567" s="1" t="s">
        <v>4577</v>
      </c>
      <c r="L1567" s="2">
        <v>577034</v>
      </c>
      <c r="M1567">
        <f t="shared" si="72"/>
        <v>31914636.864380002</v>
      </c>
      <c r="N1567">
        <f t="shared" si="73"/>
        <v>2824304.1472902657</v>
      </c>
      <c r="O1567" t="str">
        <f t="shared" si="74"/>
        <v>BEHOLD</v>
      </c>
      <c r="P1567" s="1" t="s">
        <v>6515</v>
      </c>
    </row>
    <row r="1568" spans="1:16" ht="15" customHeight="1" x14ac:dyDescent="0.2">
      <c r="A1568" s="1" t="s">
        <v>4578</v>
      </c>
      <c r="B1568" s="1" t="s">
        <v>4579</v>
      </c>
      <c r="C1568" s="1" t="s">
        <v>9</v>
      </c>
      <c r="D1568" s="1" t="s">
        <v>3</v>
      </c>
      <c r="E1568" s="5">
        <v>36445</v>
      </c>
      <c r="F1568" s="5">
        <v>46155</v>
      </c>
      <c r="G1568" s="2">
        <v>35.766370000000002</v>
      </c>
      <c r="H1568" s="1" t="s">
        <v>10</v>
      </c>
      <c r="I1568" s="2">
        <v>80885.2</v>
      </c>
      <c r="J1568" s="1" t="s">
        <v>61</v>
      </c>
      <c r="K1568" s="1" t="s">
        <v>4580</v>
      </c>
      <c r="L1568" s="2">
        <v>1720122</v>
      </c>
      <c r="M1568">
        <f t="shared" si="72"/>
        <v>61522519.897140004</v>
      </c>
      <c r="N1568">
        <f t="shared" si="73"/>
        <v>5444470.7873575222</v>
      </c>
      <c r="O1568" t="str">
        <f t="shared" si="74"/>
        <v>BEHOLD</v>
      </c>
      <c r="P1568" s="1" t="s">
        <v>6516</v>
      </c>
    </row>
    <row r="1569" spans="1:16" ht="15" customHeight="1" x14ac:dyDescent="0.2">
      <c r="A1569" s="1" t="s">
        <v>4581</v>
      </c>
      <c r="B1569" s="1" t="s">
        <v>4582</v>
      </c>
      <c r="C1569" s="1" t="s">
        <v>9</v>
      </c>
      <c r="D1569" s="1" t="s">
        <v>3</v>
      </c>
      <c r="E1569" s="5">
        <v>44588</v>
      </c>
      <c r="F1569" s="5">
        <v>46155</v>
      </c>
      <c r="G1569" s="2">
        <v>72.956729999999993</v>
      </c>
      <c r="H1569" s="1" t="s">
        <v>10</v>
      </c>
      <c r="I1569" s="2">
        <v>1226.5916976000001</v>
      </c>
      <c r="J1569" s="1" t="s">
        <v>30</v>
      </c>
      <c r="K1569" s="1" t="s">
        <v>4583</v>
      </c>
      <c r="L1569" s="2">
        <v>10377.86</v>
      </c>
      <c r="M1569">
        <f t="shared" si="72"/>
        <v>757134.72999779996</v>
      </c>
      <c r="N1569">
        <f t="shared" si="73"/>
        <v>67003.073451132732</v>
      </c>
      <c r="O1569" t="str">
        <f t="shared" si="74"/>
        <v>FJERN</v>
      </c>
      <c r="P1569" s="1" t="s">
        <v>6517</v>
      </c>
    </row>
    <row r="1570" spans="1:16" ht="15" customHeight="1" x14ac:dyDescent="0.2">
      <c r="A1570" s="1" t="s">
        <v>4584</v>
      </c>
      <c r="B1570" s="1" t="s">
        <v>4585</v>
      </c>
      <c r="C1570" s="1" t="s">
        <v>9</v>
      </c>
      <c r="D1570" s="1" t="s">
        <v>3</v>
      </c>
      <c r="E1570" s="5">
        <v>45236</v>
      </c>
      <c r="F1570" s="5">
        <v>46155</v>
      </c>
      <c r="G1570" s="2">
        <v>37.143050000000002</v>
      </c>
      <c r="H1570" s="1" t="s">
        <v>10</v>
      </c>
      <c r="I1570" s="2">
        <v>340.13444449999997</v>
      </c>
      <c r="J1570" s="1" t="s">
        <v>289</v>
      </c>
      <c r="K1570" s="1" t="s">
        <v>4586</v>
      </c>
      <c r="L1570" s="2">
        <v>2444.59</v>
      </c>
      <c r="M1570">
        <f t="shared" si="72"/>
        <v>90799.528599500016</v>
      </c>
      <c r="N1570">
        <f t="shared" si="73"/>
        <v>8035.3565132300891</v>
      </c>
      <c r="O1570" t="str">
        <f t="shared" si="74"/>
        <v>FJERN</v>
      </c>
      <c r="P1570" s="1" t="s">
        <v>6518</v>
      </c>
    </row>
    <row r="1571" spans="1:16" ht="15" customHeight="1" x14ac:dyDescent="0.2">
      <c r="A1571" s="1" t="s">
        <v>4587</v>
      </c>
      <c r="B1571" s="1" t="s">
        <v>4588</v>
      </c>
      <c r="C1571" s="1" t="s">
        <v>9</v>
      </c>
      <c r="D1571" s="1" t="s">
        <v>3</v>
      </c>
      <c r="E1571" s="5">
        <v>44698</v>
      </c>
      <c r="F1571" s="5">
        <v>46155</v>
      </c>
      <c r="G1571" s="2">
        <v>25.80256</v>
      </c>
      <c r="H1571" s="1" t="s">
        <v>10</v>
      </c>
      <c r="I1571" s="2">
        <v>769.77599999999995</v>
      </c>
      <c r="J1571" s="1" t="s">
        <v>236</v>
      </c>
      <c r="K1571" s="1" t="s">
        <v>4589</v>
      </c>
      <c r="L1571" s="2">
        <v>4563.4449999999997</v>
      </c>
      <c r="M1571">
        <f t="shared" si="72"/>
        <v>117748.56341919999</v>
      </c>
      <c r="N1571">
        <f t="shared" si="73"/>
        <v>10420.226851256635</v>
      </c>
      <c r="O1571" t="str">
        <f t="shared" si="74"/>
        <v>FJERN</v>
      </c>
      <c r="P1571" s="1" t="s">
        <v>6519</v>
      </c>
    </row>
    <row r="1572" spans="1:16" ht="15" customHeight="1" x14ac:dyDescent="0.2">
      <c r="A1572" s="1" t="s">
        <v>4590</v>
      </c>
      <c r="B1572" s="1" t="s">
        <v>4591</v>
      </c>
      <c r="C1572" s="1" t="s">
        <v>9</v>
      </c>
      <c r="D1572" s="1" t="s">
        <v>3</v>
      </c>
      <c r="E1572" s="5">
        <v>44672</v>
      </c>
      <c r="F1572" s="5">
        <v>46155</v>
      </c>
      <c r="G1572" s="2">
        <v>47.430050000000001</v>
      </c>
      <c r="H1572" s="1" t="s">
        <v>10</v>
      </c>
      <c r="I1572" s="2">
        <v>237.74877359999999</v>
      </c>
      <c r="J1572" s="1" t="s">
        <v>5</v>
      </c>
      <c r="K1572" s="1" t="s">
        <v>4592</v>
      </c>
      <c r="L1572" s="2">
        <v>870.38869999999997</v>
      </c>
      <c r="M1572">
        <f t="shared" si="72"/>
        <v>41282.579560434999</v>
      </c>
      <c r="N1572">
        <f t="shared" si="73"/>
        <v>3653.3256248172561</v>
      </c>
      <c r="O1572" t="str">
        <f t="shared" si="74"/>
        <v>FJERN</v>
      </c>
      <c r="P1572" s="1"/>
    </row>
    <row r="1573" spans="1:16" ht="15" customHeight="1" x14ac:dyDescent="0.2">
      <c r="A1573" s="1" t="s">
        <v>4593</v>
      </c>
      <c r="B1573" s="1" t="s">
        <v>4594</v>
      </c>
      <c r="C1573" s="1" t="s">
        <v>9</v>
      </c>
      <c r="D1573" s="1" t="s">
        <v>3</v>
      </c>
      <c r="E1573" s="5">
        <v>42866</v>
      </c>
      <c r="F1573" s="5">
        <v>46155</v>
      </c>
      <c r="G1573" s="2">
        <v>35.753819999999997</v>
      </c>
      <c r="H1573" s="1" t="s">
        <v>10</v>
      </c>
      <c r="I1573" s="2">
        <v>6947.3360771600001</v>
      </c>
      <c r="J1573" s="1" t="s">
        <v>11</v>
      </c>
      <c r="K1573" s="1" t="s">
        <v>4595</v>
      </c>
      <c r="L1573" s="2">
        <v>494480.6</v>
      </c>
      <c r="M1573">
        <f t="shared" si="72"/>
        <v>17679570.365891997</v>
      </c>
      <c r="N1573">
        <f t="shared" si="73"/>
        <v>1564563.749193982</v>
      </c>
      <c r="O1573" t="str">
        <f t="shared" si="74"/>
        <v>BEHOLD</v>
      </c>
      <c r="P1573" s="1" t="s">
        <v>6520</v>
      </c>
    </row>
    <row r="1574" spans="1:16" ht="15" customHeight="1" x14ac:dyDescent="0.2">
      <c r="A1574" s="1" t="s">
        <v>4596</v>
      </c>
      <c r="B1574" s="1" t="s">
        <v>4597</v>
      </c>
      <c r="C1574" s="1" t="s">
        <v>9</v>
      </c>
      <c r="D1574" s="1" t="s">
        <v>3</v>
      </c>
      <c r="E1574" s="5">
        <v>41856</v>
      </c>
      <c r="F1574" s="5">
        <v>45184</v>
      </c>
      <c r="G1574" s="2">
        <v>32.176569999999998</v>
      </c>
      <c r="H1574" s="1" t="s">
        <v>10</v>
      </c>
      <c r="I1574" s="2"/>
      <c r="J1574" s="1" t="s">
        <v>328</v>
      </c>
      <c r="K1574" s="1" t="s">
        <v>4598</v>
      </c>
      <c r="L1574" s="2">
        <v>5891.5730000000003</v>
      </c>
      <c r="M1574">
        <f t="shared" si="72"/>
        <v>189570.61104461001</v>
      </c>
      <c r="N1574">
        <f t="shared" si="73"/>
        <v>16776.160269434513</v>
      </c>
      <c r="O1574" t="str">
        <f t="shared" si="74"/>
        <v>FJERN</v>
      </c>
      <c r="P1574" s="1" t="s">
        <v>6521</v>
      </c>
    </row>
    <row r="1575" spans="1:16" ht="15" customHeight="1" x14ac:dyDescent="0.2">
      <c r="A1575" s="1" t="s">
        <v>4599</v>
      </c>
      <c r="B1575" s="1" t="s">
        <v>4600</v>
      </c>
      <c r="C1575" s="1" t="s">
        <v>9</v>
      </c>
      <c r="D1575" s="1" t="s">
        <v>3</v>
      </c>
      <c r="E1575" s="5">
        <v>44693</v>
      </c>
      <c r="F1575" s="5">
        <v>46155</v>
      </c>
      <c r="G1575" s="2">
        <v>0.60631349999999995</v>
      </c>
      <c r="H1575" s="1" t="s">
        <v>10</v>
      </c>
      <c r="I1575" s="2">
        <v>13.615917725230601</v>
      </c>
      <c r="J1575" s="1" t="s">
        <v>5</v>
      </c>
      <c r="K1575" s="1" t="s">
        <v>4601</v>
      </c>
      <c r="L1575" s="2">
        <v>174399.1</v>
      </c>
      <c r="M1575">
        <f t="shared" si="72"/>
        <v>105740.52871785</v>
      </c>
      <c r="N1575">
        <f t="shared" si="73"/>
        <v>9357.568913084071</v>
      </c>
      <c r="O1575" t="str">
        <f t="shared" si="74"/>
        <v>FJERN</v>
      </c>
      <c r="P1575" s="1" t="s">
        <v>6522</v>
      </c>
    </row>
    <row r="1576" spans="1:16" ht="15" customHeight="1" x14ac:dyDescent="0.2">
      <c r="A1576" s="1" t="s">
        <v>4602</v>
      </c>
      <c r="B1576" s="1" t="s">
        <v>4603</v>
      </c>
      <c r="C1576" s="1" t="s">
        <v>9</v>
      </c>
      <c r="D1576" s="1" t="s">
        <v>3</v>
      </c>
      <c r="E1576" s="5">
        <v>44644</v>
      </c>
      <c r="F1576" s="5">
        <v>45812</v>
      </c>
      <c r="G1576" s="2">
        <v>8.3581730000000007</v>
      </c>
      <c r="H1576" s="1" t="s">
        <v>10</v>
      </c>
      <c r="I1576" s="2">
        <v>15.17254823</v>
      </c>
      <c r="J1576" s="1" t="s">
        <v>86</v>
      </c>
      <c r="K1576" s="1" t="s">
        <v>4604</v>
      </c>
      <c r="L1576" s="2">
        <v>46850.69</v>
      </c>
      <c r="M1576">
        <f t="shared" si="72"/>
        <v>391586.17218937003</v>
      </c>
      <c r="N1576">
        <f t="shared" si="73"/>
        <v>34653.643556581417</v>
      </c>
      <c r="O1576" t="str">
        <f t="shared" si="74"/>
        <v>FJERN</v>
      </c>
      <c r="P1576" s="1"/>
    </row>
    <row r="1577" spans="1:16" ht="15" customHeight="1" x14ac:dyDescent="0.2">
      <c r="A1577" s="1" t="s">
        <v>4605</v>
      </c>
      <c r="B1577" s="1" t="s">
        <v>4606</v>
      </c>
      <c r="C1577" s="1" t="s">
        <v>9</v>
      </c>
      <c r="D1577" s="1" t="s">
        <v>3</v>
      </c>
      <c r="E1577" s="5">
        <v>35944</v>
      </c>
      <c r="F1577" s="5">
        <v>46155</v>
      </c>
      <c r="G1577" s="2">
        <v>65.434560000000005</v>
      </c>
      <c r="H1577" s="1" t="s">
        <v>10</v>
      </c>
      <c r="I1577" s="2">
        <v>10743.437322</v>
      </c>
      <c r="J1577" s="1" t="s">
        <v>64</v>
      </c>
      <c r="K1577" s="1" t="s">
        <v>4607</v>
      </c>
      <c r="L1577" s="2">
        <v>127841.4</v>
      </c>
      <c r="M1577">
        <f t="shared" si="72"/>
        <v>8365245.7587839998</v>
      </c>
      <c r="N1577">
        <f t="shared" si="73"/>
        <v>740287.23529061943</v>
      </c>
      <c r="O1577" t="str">
        <f t="shared" si="74"/>
        <v>BEHOLD</v>
      </c>
      <c r="P1577" s="1" t="s">
        <v>6523</v>
      </c>
    </row>
    <row r="1578" spans="1:16" ht="15" customHeight="1" x14ac:dyDescent="0.2">
      <c r="A1578" s="1" t="s">
        <v>4608</v>
      </c>
      <c r="B1578" s="1" t="s">
        <v>4609</v>
      </c>
      <c r="C1578" s="1" t="s">
        <v>2</v>
      </c>
      <c r="D1578" s="1" t="s">
        <v>3</v>
      </c>
      <c r="E1578" s="5">
        <v>45412</v>
      </c>
      <c r="F1578" s="5">
        <v>45799</v>
      </c>
      <c r="G1578" s="2">
        <v>249.40440000000001</v>
      </c>
      <c r="H1578" s="1" t="s">
        <v>4</v>
      </c>
      <c r="I1578" s="2">
        <v>7073.3104620000004</v>
      </c>
      <c r="J1578" s="1" t="s">
        <v>11</v>
      </c>
      <c r="K1578" s="1" t="s">
        <v>4610</v>
      </c>
      <c r="L1578" s="2">
        <v>64577.2</v>
      </c>
      <c r="M1578">
        <f t="shared" si="72"/>
        <v>16105837.81968</v>
      </c>
      <c r="N1578">
        <f t="shared" si="73"/>
        <v>2161857.4254604024</v>
      </c>
      <c r="O1578" t="str">
        <f t="shared" si="74"/>
        <v>BEHOLD</v>
      </c>
      <c r="P1578" s="1" t="s">
        <v>6524</v>
      </c>
    </row>
    <row r="1579" spans="1:16" ht="15" customHeight="1" x14ac:dyDescent="0.2">
      <c r="A1579" s="1" t="s">
        <v>4611</v>
      </c>
      <c r="B1579" s="1" t="s">
        <v>4612</v>
      </c>
      <c r="C1579" s="1" t="s">
        <v>9</v>
      </c>
      <c r="D1579" s="1" t="s">
        <v>3</v>
      </c>
      <c r="E1579" s="5">
        <v>35964</v>
      </c>
      <c r="F1579" s="5">
        <v>46155</v>
      </c>
      <c r="G1579" s="2">
        <v>103.6932</v>
      </c>
      <c r="H1579" s="1" t="s">
        <v>10</v>
      </c>
      <c r="I1579" s="2">
        <v>289104.66493101802</v>
      </c>
      <c r="J1579" s="1" t="s">
        <v>23</v>
      </c>
      <c r="K1579" s="1" t="s">
        <v>4613</v>
      </c>
      <c r="L1579" s="2">
        <v>1297281</v>
      </c>
      <c r="M1579">
        <f t="shared" si="72"/>
        <v>134519218.18920001</v>
      </c>
      <c r="N1579">
        <f t="shared" si="73"/>
        <v>11904355.591964602</v>
      </c>
      <c r="O1579" t="str">
        <f t="shared" si="74"/>
        <v>BEHOLD</v>
      </c>
      <c r="P1579" s="1" t="s">
        <v>6525</v>
      </c>
    </row>
    <row r="1580" spans="1:16" ht="15" customHeight="1" x14ac:dyDescent="0.2">
      <c r="A1580" s="1" t="s">
        <v>4614</v>
      </c>
      <c r="B1580" s="1" t="s">
        <v>4615</v>
      </c>
      <c r="C1580" s="1" t="s">
        <v>9</v>
      </c>
      <c r="D1580" s="1" t="s">
        <v>3</v>
      </c>
      <c r="E1580" s="5">
        <v>39524</v>
      </c>
      <c r="F1580" s="5">
        <v>46155</v>
      </c>
      <c r="G1580" s="2">
        <v>7034.3140000000003</v>
      </c>
      <c r="H1580" s="1" t="s">
        <v>10</v>
      </c>
      <c r="I1580" s="2">
        <v>691.00452919999998</v>
      </c>
      <c r="J1580" s="1" t="s">
        <v>86</v>
      </c>
      <c r="K1580" s="1" t="s">
        <v>4616</v>
      </c>
      <c r="L1580" s="2">
        <v>17072.88</v>
      </c>
      <c r="M1580">
        <f t="shared" si="72"/>
        <v>120095998.80432001</v>
      </c>
      <c r="N1580">
        <f t="shared" si="73"/>
        <v>10627964.495957522</v>
      </c>
      <c r="O1580" t="str">
        <f t="shared" si="74"/>
        <v>BEHOLD</v>
      </c>
      <c r="P1580" s="1" t="s">
        <v>6526</v>
      </c>
    </row>
    <row r="1581" spans="1:16" ht="15" customHeight="1" x14ac:dyDescent="0.2">
      <c r="A1581" s="1" t="s">
        <v>4617</v>
      </c>
      <c r="B1581" s="1" t="s">
        <v>4618</v>
      </c>
      <c r="C1581" s="1" t="s">
        <v>9</v>
      </c>
      <c r="D1581" s="1" t="s">
        <v>3</v>
      </c>
      <c r="E1581" s="5">
        <v>37140</v>
      </c>
      <c r="F1581" s="5">
        <v>42835</v>
      </c>
      <c r="G1581" s="2">
        <v>181.2483</v>
      </c>
      <c r="H1581" s="1" t="s">
        <v>10</v>
      </c>
      <c r="I1581" s="2"/>
      <c r="J1581" s="1" t="s">
        <v>289</v>
      </c>
      <c r="K1581" s="1" t="s">
        <v>4619</v>
      </c>
      <c r="L1581" s="2">
        <v>24779.439999999999</v>
      </c>
      <c r="M1581">
        <f t="shared" si="72"/>
        <v>4491231.3749519996</v>
      </c>
      <c r="N1581">
        <f t="shared" si="73"/>
        <v>397454.10397805303</v>
      </c>
      <c r="O1581" t="str">
        <f t="shared" si="74"/>
        <v>BEHOLD</v>
      </c>
      <c r="P1581" s="1" t="s">
        <v>6527</v>
      </c>
    </row>
    <row r="1582" spans="1:16" ht="15" customHeight="1" x14ac:dyDescent="0.2">
      <c r="A1582" s="1" t="s">
        <v>4620</v>
      </c>
      <c r="B1582" s="1" t="s">
        <v>4621</v>
      </c>
      <c r="C1582" s="1" t="s">
        <v>9</v>
      </c>
      <c r="D1582" s="1" t="s">
        <v>3</v>
      </c>
      <c r="E1582" s="5">
        <v>37232</v>
      </c>
      <c r="F1582" s="5">
        <v>46155</v>
      </c>
      <c r="G1582" s="2">
        <v>206.46969999999999</v>
      </c>
      <c r="H1582" s="1" t="s">
        <v>10</v>
      </c>
      <c r="I1582" s="2">
        <v>146293.85274035501</v>
      </c>
      <c r="J1582" s="1" t="s">
        <v>86</v>
      </c>
      <c r="K1582" s="1" t="s">
        <v>4622</v>
      </c>
      <c r="L1582" s="2">
        <v>2300035</v>
      </c>
      <c r="M1582">
        <f t="shared" si="72"/>
        <v>474887536.43949997</v>
      </c>
      <c r="N1582">
        <f t="shared" si="73"/>
        <v>42025445.702610612</v>
      </c>
      <c r="O1582" t="str">
        <f t="shared" si="74"/>
        <v>BEHOLD</v>
      </c>
      <c r="P1582" s="1" t="s">
        <v>6528</v>
      </c>
    </row>
    <row r="1583" spans="1:16" ht="15" customHeight="1" x14ac:dyDescent="0.2">
      <c r="A1583" s="1" t="s">
        <v>4623</v>
      </c>
      <c r="B1583" s="1" t="s">
        <v>4624</v>
      </c>
      <c r="C1583" s="1" t="s">
        <v>9</v>
      </c>
      <c r="D1583" s="1" t="s">
        <v>3</v>
      </c>
      <c r="E1583" s="5">
        <v>45637</v>
      </c>
      <c r="F1583" s="5">
        <v>46155</v>
      </c>
      <c r="G1583" s="2">
        <v>46.0702</v>
      </c>
      <c r="H1583" s="1" t="s">
        <v>10</v>
      </c>
      <c r="I1583" s="2">
        <v>2346.4</v>
      </c>
      <c r="J1583" s="1" t="s">
        <v>51</v>
      </c>
      <c r="K1583" s="1" t="s">
        <v>4625</v>
      </c>
      <c r="L1583" s="2">
        <v>5927.0169999999998</v>
      </c>
      <c r="M1583">
        <f t="shared" si="72"/>
        <v>273058.85859339999</v>
      </c>
      <c r="N1583">
        <f t="shared" si="73"/>
        <v>24164.500760477873</v>
      </c>
      <c r="O1583" t="str">
        <f t="shared" si="74"/>
        <v>FJERN</v>
      </c>
      <c r="P1583" s="1" t="s">
        <v>6529</v>
      </c>
    </row>
    <row r="1584" spans="1:16" ht="15" customHeight="1" x14ac:dyDescent="0.2">
      <c r="A1584" s="1" t="s">
        <v>4626</v>
      </c>
      <c r="B1584" s="1" t="s">
        <v>4627</v>
      </c>
      <c r="C1584" s="1" t="s">
        <v>9</v>
      </c>
      <c r="D1584" s="1" t="s">
        <v>3</v>
      </c>
      <c r="E1584" s="5">
        <v>35384</v>
      </c>
      <c r="F1584" s="5">
        <v>46155</v>
      </c>
      <c r="G1584" s="2">
        <v>33.74456</v>
      </c>
      <c r="H1584" s="1" t="s">
        <v>10</v>
      </c>
      <c r="I1584" s="2">
        <v>183.50652898000001</v>
      </c>
      <c r="J1584" s="1" t="s">
        <v>366</v>
      </c>
      <c r="K1584" s="1" t="s">
        <v>4628</v>
      </c>
      <c r="L1584" s="2">
        <v>317174.09999999998</v>
      </c>
      <c r="M1584">
        <f t="shared" si="72"/>
        <v>10702900.447896</v>
      </c>
      <c r="N1584">
        <f t="shared" si="73"/>
        <v>947159.33167221234</v>
      </c>
      <c r="O1584" t="str">
        <f t="shared" si="74"/>
        <v>BEHOLD</v>
      </c>
      <c r="P1584" s="1" t="s">
        <v>6530</v>
      </c>
    </row>
    <row r="1585" spans="1:16" ht="15" customHeight="1" x14ac:dyDescent="0.2">
      <c r="A1585" s="1" t="s">
        <v>4629</v>
      </c>
      <c r="B1585" s="1" t="s">
        <v>4630</v>
      </c>
      <c r="C1585" s="1" t="s">
        <v>9</v>
      </c>
      <c r="D1585" s="1" t="s">
        <v>3</v>
      </c>
      <c r="E1585" s="5">
        <v>45638</v>
      </c>
      <c r="F1585" s="5">
        <v>46155</v>
      </c>
      <c r="G1585" s="2">
        <v>65.796719999999993</v>
      </c>
      <c r="H1585" s="1" t="s">
        <v>10</v>
      </c>
      <c r="I1585" s="2">
        <v>38942.775245299999</v>
      </c>
      <c r="J1585" s="1" t="s">
        <v>61</v>
      </c>
      <c r="K1585" s="1" t="s">
        <v>4631</v>
      </c>
      <c r="L1585" s="2">
        <v>399308.9</v>
      </c>
      <c r="M1585">
        <f t="shared" si="72"/>
        <v>26273215.886808001</v>
      </c>
      <c r="N1585">
        <f t="shared" si="73"/>
        <v>2325063.3528148672</v>
      </c>
      <c r="O1585" t="str">
        <f t="shared" si="74"/>
        <v>BEHOLD</v>
      </c>
      <c r="P1585" s="1" t="s">
        <v>6531</v>
      </c>
    </row>
    <row r="1586" spans="1:16" ht="15" customHeight="1" x14ac:dyDescent="0.2">
      <c r="A1586" s="1" t="s">
        <v>4632</v>
      </c>
      <c r="B1586" s="1" t="s">
        <v>4633</v>
      </c>
      <c r="C1586" s="1" t="s">
        <v>9</v>
      </c>
      <c r="D1586" s="1" t="s">
        <v>3</v>
      </c>
      <c r="E1586" s="5">
        <v>44680</v>
      </c>
      <c r="F1586" s="5">
        <v>46155</v>
      </c>
      <c r="G1586" s="2">
        <v>21.945399999999999</v>
      </c>
      <c r="H1586" s="1" t="s">
        <v>10</v>
      </c>
      <c r="I1586" s="2">
        <v>320.22492570000003</v>
      </c>
      <c r="J1586" s="1" t="s">
        <v>34</v>
      </c>
      <c r="K1586" s="1" t="s">
        <v>4634</v>
      </c>
      <c r="L1586" s="2">
        <v>9102.9130000000005</v>
      </c>
      <c r="M1586">
        <f t="shared" si="72"/>
        <v>199767.06695020001</v>
      </c>
      <c r="N1586">
        <f t="shared" si="73"/>
        <v>17678.501500017697</v>
      </c>
      <c r="O1586" t="str">
        <f t="shared" si="74"/>
        <v>FJERN</v>
      </c>
      <c r="P1586" s="1"/>
    </row>
    <row r="1587" spans="1:16" ht="15" customHeight="1" x14ac:dyDescent="0.2">
      <c r="A1587" s="1" t="s">
        <v>4635</v>
      </c>
      <c r="B1587" s="1" t="s">
        <v>4636</v>
      </c>
      <c r="C1587" s="1" t="s">
        <v>9</v>
      </c>
      <c r="D1587" s="1" t="s">
        <v>3</v>
      </c>
      <c r="E1587" s="5">
        <v>44215</v>
      </c>
      <c r="F1587" s="5">
        <v>46155</v>
      </c>
      <c r="G1587" s="2">
        <v>256.90710000000001</v>
      </c>
      <c r="H1587" s="1" t="s">
        <v>10</v>
      </c>
      <c r="I1587" s="2">
        <v>95.264510000000001</v>
      </c>
      <c r="J1587" s="1" t="s">
        <v>122</v>
      </c>
      <c r="K1587" s="1" t="s">
        <v>4637</v>
      </c>
      <c r="L1587" s="2">
        <v>101621.7</v>
      </c>
      <c r="M1587">
        <f t="shared" si="72"/>
        <v>26107336.244070001</v>
      </c>
      <c r="N1587">
        <f t="shared" si="73"/>
        <v>2310383.7384132743</v>
      </c>
      <c r="O1587" t="str">
        <f t="shared" si="74"/>
        <v>BEHOLD</v>
      </c>
      <c r="P1587" s="1"/>
    </row>
    <row r="1588" spans="1:16" ht="15" customHeight="1" x14ac:dyDescent="0.2">
      <c r="A1588" s="1" t="s">
        <v>4638</v>
      </c>
      <c r="B1588" s="1" t="s">
        <v>4639</v>
      </c>
      <c r="C1588" s="1" t="s">
        <v>9</v>
      </c>
      <c r="D1588" s="1" t="s">
        <v>3</v>
      </c>
      <c r="E1588" s="5">
        <v>43045</v>
      </c>
      <c r="F1588" s="5">
        <v>46155</v>
      </c>
      <c r="G1588" s="2">
        <v>2595.502</v>
      </c>
      <c r="H1588" s="1" t="s">
        <v>10</v>
      </c>
      <c r="I1588" s="2">
        <v>63.35510532</v>
      </c>
      <c r="J1588" s="1" t="s">
        <v>256</v>
      </c>
      <c r="K1588" s="1" t="s">
        <v>4640</v>
      </c>
      <c r="L1588" s="2">
        <v>33222.31</v>
      </c>
      <c r="M1588">
        <f t="shared" si="72"/>
        <v>86228572.049619988</v>
      </c>
      <c r="N1588">
        <f t="shared" si="73"/>
        <v>7630847.084037167</v>
      </c>
      <c r="O1588" t="str">
        <f t="shared" si="74"/>
        <v>BEHOLD</v>
      </c>
      <c r="P1588" s="1" t="s">
        <v>6532</v>
      </c>
    </row>
    <row r="1589" spans="1:16" ht="15" customHeight="1" x14ac:dyDescent="0.2">
      <c r="A1589" s="1" t="s">
        <v>4641</v>
      </c>
      <c r="B1589" s="1" t="s">
        <v>4642</v>
      </c>
      <c r="C1589" s="1" t="s">
        <v>9</v>
      </c>
      <c r="D1589" s="1" t="s">
        <v>3</v>
      </c>
      <c r="E1589" s="5">
        <v>43021</v>
      </c>
      <c r="F1589" s="5">
        <v>46155</v>
      </c>
      <c r="G1589" s="2">
        <v>169.60400000000001</v>
      </c>
      <c r="H1589" s="1" t="s">
        <v>10</v>
      </c>
      <c r="I1589" s="2">
        <v>173.6467006</v>
      </c>
      <c r="J1589" s="1" t="s">
        <v>23</v>
      </c>
      <c r="K1589" s="1" t="s">
        <v>4643</v>
      </c>
      <c r="L1589" s="2">
        <v>26718.240000000002</v>
      </c>
      <c r="M1589">
        <f t="shared" si="72"/>
        <v>4531520.376960001</v>
      </c>
      <c r="N1589">
        <f t="shared" si="73"/>
        <v>401019.50238584075</v>
      </c>
      <c r="O1589" t="str">
        <f t="shared" si="74"/>
        <v>BEHOLD</v>
      </c>
      <c r="P1589" s="1" t="s">
        <v>6533</v>
      </c>
    </row>
    <row r="1590" spans="1:16" ht="15" customHeight="1" x14ac:dyDescent="0.2">
      <c r="A1590" s="1" t="s">
        <v>4644</v>
      </c>
      <c r="B1590" s="1" t="s">
        <v>4645</v>
      </c>
      <c r="C1590" s="1" t="s">
        <v>9</v>
      </c>
      <c r="D1590" s="1" t="s">
        <v>3</v>
      </c>
      <c r="E1590" s="5">
        <v>43524</v>
      </c>
      <c r="F1590" s="5">
        <v>46155</v>
      </c>
      <c r="G1590" s="2">
        <v>1.8211869999999999</v>
      </c>
      <c r="H1590" s="1" t="s">
        <v>10</v>
      </c>
      <c r="I1590" s="2">
        <v>4297.9336644892601</v>
      </c>
      <c r="J1590" s="1" t="s">
        <v>11</v>
      </c>
      <c r="K1590" s="1" t="s">
        <v>4646</v>
      </c>
      <c r="L1590" s="2">
        <v>194665.3</v>
      </c>
      <c r="M1590">
        <f t="shared" si="72"/>
        <v>354521.91371109994</v>
      </c>
      <c r="N1590">
        <f t="shared" si="73"/>
        <v>31373.620682398225</v>
      </c>
      <c r="O1590" t="str">
        <f t="shared" si="74"/>
        <v>FJERN</v>
      </c>
      <c r="P1590" s="1" t="s">
        <v>6534</v>
      </c>
    </row>
    <row r="1591" spans="1:16" ht="15" customHeight="1" x14ac:dyDescent="0.2">
      <c r="A1591" s="1" t="s">
        <v>4647</v>
      </c>
      <c r="B1591" s="1" t="s">
        <v>4648</v>
      </c>
      <c r="C1591" s="1" t="s">
        <v>9</v>
      </c>
      <c r="D1591" s="1" t="s">
        <v>3</v>
      </c>
      <c r="E1591" s="5">
        <v>45435</v>
      </c>
      <c r="F1591" s="5">
        <v>46155</v>
      </c>
      <c r="G1591" s="2">
        <v>180.2328</v>
      </c>
      <c r="H1591" s="1" t="s">
        <v>10</v>
      </c>
      <c r="I1591" s="2">
        <v>3156.0296480000002</v>
      </c>
      <c r="J1591" s="1" t="s">
        <v>167</v>
      </c>
      <c r="K1591" s="1" t="s">
        <v>4649</v>
      </c>
      <c r="L1591" s="2">
        <v>15780.89</v>
      </c>
      <c r="M1591">
        <f t="shared" si="72"/>
        <v>2844233.991192</v>
      </c>
      <c r="N1591">
        <f t="shared" si="73"/>
        <v>251702.12311433625</v>
      </c>
      <c r="O1591" t="str">
        <f t="shared" si="74"/>
        <v>BEHOLD</v>
      </c>
      <c r="P1591" s="1" t="s">
        <v>6535</v>
      </c>
    </row>
    <row r="1592" spans="1:16" ht="15" customHeight="1" x14ac:dyDescent="0.2">
      <c r="A1592" s="1" t="s">
        <v>4650</v>
      </c>
      <c r="B1592" s="1" t="s">
        <v>4651</v>
      </c>
      <c r="C1592" s="1" t="s">
        <v>9</v>
      </c>
      <c r="D1592" s="1" t="s">
        <v>3</v>
      </c>
      <c r="E1592" s="5">
        <v>44620</v>
      </c>
      <c r="F1592" s="5">
        <v>45922</v>
      </c>
      <c r="G1592" s="2">
        <v>0.43972549999999999</v>
      </c>
      <c r="H1592" s="1" t="s">
        <v>10</v>
      </c>
      <c r="I1592" s="2"/>
      <c r="J1592" s="1" t="s">
        <v>76</v>
      </c>
      <c r="K1592" s="1" t="s">
        <v>4652</v>
      </c>
      <c r="L1592" s="2">
        <v>10591760</v>
      </c>
      <c r="M1592">
        <f t="shared" si="72"/>
        <v>4657466.9618800003</v>
      </c>
      <c r="N1592">
        <f t="shared" si="73"/>
        <v>412165.21786548675</v>
      </c>
      <c r="O1592" t="str">
        <f t="shared" si="74"/>
        <v>BEHOLD</v>
      </c>
      <c r="P1592" s="1" t="s">
        <v>6536</v>
      </c>
    </row>
    <row r="1593" spans="1:16" ht="15" customHeight="1" x14ac:dyDescent="0.2">
      <c r="A1593" s="1" t="s">
        <v>4653</v>
      </c>
      <c r="B1593" s="1" t="s">
        <v>4654</v>
      </c>
      <c r="C1593" s="1" t="s">
        <v>9</v>
      </c>
      <c r="D1593" s="1" t="s">
        <v>3</v>
      </c>
      <c r="E1593" s="5">
        <v>38719</v>
      </c>
      <c r="F1593" s="5">
        <v>46155</v>
      </c>
      <c r="G1593" s="2">
        <v>26.81269</v>
      </c>
      <c r="H1593" s="1" t="s">
        <v>10</v>
      </c>
      <c r="I1593" s="2">
        <v>143.79419272000001</v>
      </c>
      <c r="J1593" s="1" t="s">
        <v>167</v>
      </c>
      <c r="K1593" s="1" t="s">
        <v>4655</v>
      </c>
      <c r="L1593" s="2">
        <v>30507.95</v>
      </c>
      <c r="M1593">
        <f t="shared" si="72"/>
        <v>818000.20588550007</v>
      </c>
      <c r="N1593">
        <f t="shared" si="73"/>
        <v>72389.398750929206</v>
      </c>
      <c r="O1593" t="str">
        <f t="shared" si="74"/>
        <v>FJERN</v>
      </c>
      <c r="P1593" s="1" t="s">
        <v>6537</v>
      </c>
    </row>
    <row r="1594" spans="1:16" ht="15" customHeight="1" x14ac:dyDescent="0.2">
      <c r="A1594" s="1" t="s">
        <v>4656</v>
      </c>
      <c r="B1594" s="1" t="s">
        <v>4657</v>
      </c>
      <c r="C1594" s="1" t="s">
        <v>9</v>
      </c>
      <c r="D1594" s="1" t="s">
        <v>3</v>
      </c>
      <c r="E1594" s="5">
        <v>36923</v>
      </c>
      <c r="F1594" s="5">
        <v>46155</v>
      </c>
      <c r="G1594" s="2">
        <v>92.903890000000004</v>
      </c>
      <c r="H1594" s="1" t="s">
        <v>10</v>
      </c>
      <c r="I1594" s="2">
        <v>461.21431999999999</v>
      </c>
      <c r="J1594" s="1" t="s">
        <v>23</v>
      </c>
      <c r="K1594" s="1" t="s">
        <v>4658</v>
      </c>
      <c r="L1594" s="2">
        <v>30617.29</v>
      </c>
      <c r="M1594">
        <f t="shared" si="72"/>
        <v>2844465.3422581004</v>
      </c>
      <c r="N1594">
        <f t="shared" si="73"/>
        <v>251722.59666000886</v>
      </c>
      <c r="O1594" t="str">
        <f t="shared" si="74"/>
        <v>BEHOLD</v>
      </c>
      <c r="P1594" s="1" t="s">
        <v>6538</v>
      </c>
    </row>
    <row r="1595" spans="1:16" ht="15" customHeight="1" x14ac:dyDescent="0.2">
      <c r="A1595" s="1" t="s">
        <v>4659</v>
      </c>
      <c r="B1595" s="1" t="s">
        <v>4660</v>
      </c>
      <c r="C1595" s="1" t="s">
        <v>9</v>
      </c>
      <c r="D1595" s="1" t="s">
        <v>3</v>
      </c>
      <c r="E1595" s="5">
        <v>45744</v>
      </c>
      <c r="F1595" s="5">
        <v>46155</v>
      </c>
      <c r="G1595" s="2">
        <v>111.7266</v>
      </c>
      <c r="H1595" s="1" t="s">
        <v>10</v>
      </c>
      <c r="I1595" s="2">
        <v>454.906925</v>
      </c>
      <c r="J1595" s="1" t="s">
        <v>76</v>
      </c>
      <c r="K1595" s="1" t="s">
        <v>4661</v>
      </c>
      <c r="L1595" s="2">
        <v>2605.4389999999999</v>
      </c>
      <c r="M1595">
        <f t="shared" si="72"/>
        <v>291096.84097740002</v>
      </c>
      <c r="N1595">
        <f t="shared" si="73"/>
        <v>25760.782387380532</v>
      </c>
      <c r="O1595" t="str">
        <f t="shared" si="74"/>
        <v>FJERN</v>
      </c>
      <c r="P1595" s="1"/>
    </row>
    <row r="1596" spans="1:16" ht="15" customHeight="1" x14ac:dyDescent="0.2">
      <c r="A1596" s="1" t="s">
        <v>4662</v>
      </c>
      <c r="B1596" s="1" t="s">
        <v>4663</v>
      </c>
      <c r="C1596" s="1" t="s">
        <v>9</v>
      </c>
      <c r="D1596" s="1" t="s">
        <v>3</v>
      </c>
      <c r="E1596" s="5">
        <v>41928</v>
      </c>
      <c r="F1596" s="5">
        <v>46155</v>
      </c>
      <c r="G1596" s="2">
        <v>281.11520000000002</v>
      </c>
      <c r="H1596" s="1" t="s">
        <v>10</v>
      </c>
      <c r="I1596" s="2">
        <v>2479.2919919999999</v>
      </c>
      <c r="J1596" s="1" t="s">
        <v>23</v>
      </c>
      <c r="K1596" s="1" t="s">
        <v>4664</v>
      </c>
      <c r="L1596" s="2">
        <v>2596.4780000000001</v>
      </c>
      <c r="M1596">
        <f t="shared" si="72"/>
        <v>729909.43226560007</v>
      </c>
      <c r="N1596">
        <f t="shared" si="73"/>
        <v>64593.755067752216</v>
      </c>
      <c r="O1596" t="str">
        <f t="shared" si="74"/>
        <v>FJERN</v>
      </c>
      <c r="P1596" s="1" t="s">
        <v>6539</v>
      </c>
    </row>
    <row r="1597" spans="1:16" ht="15" customHeight="1" x14ac:dyDescent="0.2">
      <c r="A1597" s="1" t="s">
        <v>4665</v>
      </c>
      <c r="B1597" s="1" t="s">
        <v>4666</v>
      </c>
      <c r="C1597" s="1" t="s">
        <v>9</v>
      </c>
      <c r="D1597" s="1" t="s">
        <v>255</v>
      </c>
      <c r="E1597" s="5">
        <v>41890</v>
      </c>
      <c r="F1597" s="5">
        <v>44043</v>
      </c>
      <c r="G1597" s="2">
        <v>0.85203419999999996</v>
      </c>
      <c r="H1597" s="1" t="s">
        <v>3371</v>
      </c>
      <c r="I1597" s="2"/>
      <c r="J1597" s="1" t="s">
        <v>11</v>
      </c>
      <c r="K1597" s="1" t="s">
        <v>4667</v>
      </c>
      <c r="L1597" s="2">
        <v>6723.6369999999997</v>
      </c>
      <c r="M1597">
        <f t="shared" si="72"/>
        <v>5728.7686723853994</v>
      </c>
      <c r="N1597">
        <f t="shared" si="73"/>
        <v>5728.7686723853994</v>
      </c>
      <c r="O1597" t="str">
        <f t="shared" si="74"/>
        <v>FJERN</v>
      </c>
      <c r="P1597" s="1" t="s">
        <v>6540</v>
      </c>
    </row>
    <row r="1598" spans="1:16" ht="15" customHeight="1" x14ac:dyDescent="0.2">
      <c r="A1598" s="1" t="s">
        <v>4668</v>
      </c>
      <c r="B1598" s="1" t="s">
        <v>4669</v>
      </c>
      <c r="C1598" s="1" t="s">
        <v>9</v>
      </c>
      <c r="D1598" s="1" t="s">
        <v>3</v>
      </c>
      <c r="E1598" s="5">
        <v>35776</v>
      </c>
      <c r="F1598" s="5">
        <v>46155</v>
      </c>
      <c r="G1598" s="2">
        <v>41.989669999999997</v>
      </c>
      <c r="H1598" s="1" t="s">
        <v>10</v>
      </c>
      <c r="I1598" s="2">
        <v>15205.9400556</v>
      </c>
      <c r="J1598" s="1" t="s">
        <v>122</v>
      </c>
      <c r="K1598" s="1" t="s">
        <v>4670</v>
      </c>
      <c r="L1598" s="2">
        <v>303736.5</v>
      </c>
      <c r="M1598">
        <f t="shared" si="72"/>
        <v>12753795.401954999</v>
      </c>
      <c r="N1598">
        <f t="shared" si="73"/>
        <v>1128654.4603499998</v>
      </c>
      <c r="O1598" t="str">
        <f t="shared" si="74"/>
        <v>BEHOLD</v>
      </c>
      <c r="P1598" s="1" t="s">
        <v>6541</v>
      </c>
    </row>
    <row r="1599" spans="1:16" ht="15" customHeight="1" x14ac:dyDescent="0.2">
      <c r="A1599" s="1" t="s">
        <v>4671</v>
      </c>
      <c r="B1599" s="1" t="s">
        <v>4672</v>
      </c>
      <c r="C1599" s="1" t="s">
        <v>9</v>
      </c>
      <c r="D1599" s="1" t="s">
        <v>3</v>
      </c>
      <c r="E1599" s="5">
        <v>41900</v>
      </c>
      <c r="F1599" s="5">
        <v>46155</v>
      </c>
      <c r="G1599" s="2">
        <v>11.02582</v>
      </c>
      <c r="H1599" s="1" t="s">
        <v>10</v>
      </c>
      <c r="I1599" s="2">
        <v>866.52219060000004</v>
      </c>
      <c r="J1599" s="1" t="s">
        <v>236</v>
      </c>
      <c r="K1599" s="1" t="s">
        <v>4673</v>
      </c>
      <c r="L1599" s="2">
        <v>47770.2</v>
      </c>
      <c r="M1599">
        <f t="shared" si="72"/>
        <v>526705.62656399992</v>
      </c>
      <c r="N1599">
        <f t="shared" si="73"/>
        <v>46611.117395044239</v>
      </c>
      <c r="O1599" t="str">
        <f t="shared" si="74"/>
        <v>FJERN</v>
      </c>
      <c r="P1599" s="1" t="s">
        <v>6542</v>
      </c>
    </row>
    <row r="1600" spans="1:16" ht="15" customHeight="1" x14ac:dyDescent="0.2">
      <c r="A1600" s="1" t="s">
        <v>4674</v>
      </c>
      <c r="B1600" s="1" t="s">
        <v>4675</v>
      </c>
      <c r="C1600" s="1" t="s">
        <v>9</v>
      </c>
      <c r="D1600" s="1" t="s">
        <v>3</v>
      </c>
      <c r="E1600" s="5">
        <v>41957</v>
      </c>
      <c r="F1600" s="5">
        <v>43990</v>
      </c>
      <c r="G1600" s="2">
        <v>10.240259999999999</v>
      </c>
      <c r="H1600" s="1" t="s">
        <v>10</v>
      </c>
      <c r="I1600" s="2"/>
      <c r="J1600" s="1" t="s">
        <v>19</v>
      </c>
      <c r="K1600" s="1" t="s">
        <v>4676</v>
      </c>
      <c r="L1600" s="2">
        <v>33334.21</v>
      </c>
      <c r="M1600">
        <f t="shared" si="72"/>
        <v>341350.97729459999</v>
      </c>
      <c r="N1600">
        <f t="shared" si="73"/>
        <v>30208.051088017695</v>
      </c>
      <c r="O1600" t="str">
        <f t="shared" si="74"/>
        <v>FJERN</v>
      </c>
      <c r="P1600" s="1" t="s">
        <v>6543</v>
      </c>
    </row>
    <row r="1601" spans="1:16" ht="15" customHeight="1" x14ac:dyDescent="0.2">
      <c r="A1601" s="1" t="s">
        <v>4677</v>
      </c>
      <c r="B1601" s="1" t="s">
        <v>4678</v>
      </c>
      <c r="C1601" s="1" t="s">
        <v>9</v>
      </c>
      <c r="D1601" s="1" t="s">
        <v>3</v>
      </c>
      <c r="E1601" s="5">
        <v>42697</v>
      </c>
      <c r="F1601" s="5">
        <v>46155</v>
      </c>
      <c r="G1601" s="2">
        <v>132.03219999999999</v>
      </c>
      <c r="H1601" s="1" t="s">
        <v>10</v>
      </c>
      <c r="I1601" s="2">
        <v>14.760826096800001</v>
      </c>
      <c r="J1601" s="1" t="s">
        <v>366</v>
      </c>
      <c r="K1601" s="1" t="s">
        <v>4679</v>
      </c>
      <c r="L1601" s="2">
        <v>747246.2</v>
      </c>
      <c r="M1601">
        <f t="shared" si="72"/>
        <v>98660559.727639988</v>
      </c>
      <c r="N1601">
        <f t="shared" si="73"/>
        <v>8731022.9847469013</v>
      </c>
      <c r="O1601" t="str">
        <f t="shared" si="74"/>
        <v>BEHOLD</v>
      </c>
      <c r="P1601" s="1" t="s">
        <v>6544</v>
      </c>
    </row>
    <row r="1602" spans="1:16" ht="15" customHeight="1" x14ac:dyDescent="0.2">
      <c r="A1602" s="1" t="s">
        <v>4680</v>
      </c>
      <c r="B1602" s="1" t="s">
        <v>4681</v>
      </c>
      <c r="C1602" s="1" t="s">
        <v>9</v>
      </c>
      <c r="D1602" s="1" t="s">
        <v>3</v>
      </c>
      <c r="E1602" s="5">
        <v>45327</v>
      </c>
      <c r="F1602" s="5">
        <v>46155</v>
      </c>
      <c r="G1602" s="2">
        <v>7.6996919999999998</v>
      </c>
      <c r="H1602" s="1" t="s">
        <v>10</v>
      </c>
      <c r="I1602" s="2">
        <v>59.153458000000001</v>
      </c>
      <c r="J1602" s="1" t="s">
        <v>76</v>
      </c>
      <c r="K1602" s="1" t="s">
        <v>4682</v>
      </c>
      <c r="L1602" s="2">
        <v>12327</v>
      </c>
      <c r="M1602">
        <f t="shared" si="72"/>
        <v>94914.103283999997</v>
      </c>
      <c r="N1602">
        <f t="shared" si="73"/>
        <v>8399.478166725663</v>
      </c>
      <c r="O1602" t="str">
        <f t="shared" si="74"/>
        <v>FJERN</v>
      </c>
      <c r="P1602" s="1" t="s">
        <v>6545</v>
      </c>
    </row>
    <row r="1603" spans="1:16" ht="15" customHeight="1" x14ac:dyDescent="0.2">
      <c r="A1603" s="1" t="s">
        <v>4683</v>
      </c>
      <c r="B1603" s="1" t="s">
        <v>4684</v>
      </c>
      <c r="C1603" s="1" t="s">
        <v>9</v>
      </c>
      <c r="D1603" s="1" t="s">
        <v>3</v>
      </c>
      <c r="E1603" s="5">
        <v>41908</v>
      </c>
      <c r="F1603" s="5">
        <v>46155</v>
      </c>
      <c r="G1603" s="2">
        <v>112.5457</v>
      </c>
      <c r="H1603" s="1" t="s">
        <v>10</v>
      </c>
      <c r="I1603" s="2">
        <v>9519.0890975999991</v>
      </c>
      <c r="J1603" s="1" t="s">
        <v>86</v>
      </c>
      <c r="K1603" s="1" t="s">
        <v>4685</v>
      </c>
      <c r="L1603" s="2">
        <v>184821.8</v>
      </c>
      <c r="M1603">
        <f t="shared" ref="M1603:M1666" si="75">IF(OR(G1603="",L1603=""),"",G1603*L1603)</f>
        <v>20800898.856259998</v>
      </c>
      <c r="N1603">
        <f t="shared" ref="N1603:N1666" si="76">IF(M1603="","",IF(H1603="DKK",M1603/7.45,IF(H1603="SEK",M1603/11.3,M1603)))</f>
        <v>1840787.5094035396</v>
      </c>
      <c r="O1603" t="str">
        <f t="shared" ref="O1603:O1666" si="77">IF(AND(E1603&lt;=DATE(2024,12,31),F1603&gt;=DATE(2010,1,1),D1603="SHARE",N1603&gt;=100000),"BEHOLD","FJERN")</f>
        <v>BEHOLD</v>
      </c>
      <c r="P1603" s="1" t="s">
        <v>6546</v>
      </c>
    </row>
    <row r="1604" spans="1:16" ht="15" customHeight="1" x14ac:dyDescent="0.2">
      <c r="A1604" s="1" t="s">
        <v>4686</v>
      </c>
      <c r="B1604" s="1" t="s">
        <v>4687</v>
      </c>
      <c r="C1604" s="1" t="s">
        <v>9</v>
      </c>
      <c r="D1604" s="1" t="s">
        <v>3</v>
      </c>
      <c r="E1604" s="5">
        <v>42786</v>
      </c>
      <c r="F1604" s="5">
        <v>45505</v>
      </c>
      <c r="G1604" s="2">
        <v>28.128270000000001</v>
      </c>
      <c r="H1604" s="1" t="s">
        <v>10</v>
      </c>
      <c r="I1604" s="2">
        <v>91.038192899999999</v>
      </c>
      <c r="J1604" s="1" t="s">
        <v>236</v>
      </c>
      <c r="K1604" s="1" t="s">
        <v>4688</v>
      </c>
      <c r="L1604" s="2">
        <v>5568.3829999999998</v>
      </c>
      <c r="M1604">
        <f t="shared" si="75"/>
        <v>156628.98048741001</v>
      </c>
      <c r="N1604">
        <f t="shared" si="76"/>
        <v>13860.971724549558</v>
      </c>
      <c r="O1604" t="str">
        <f t="shared" si="77"/>
        <v>FJERN</v>
      </c>
      <c r="P1604" s="1" t="s">
        <v>6547</v>
      </c>
    </row>
    <row r="1605" spans="1:16" ht="15" customHeight="1" x14ac:dyDescent="0.2">
      <c r="A1605" s="1" t="s">
        <v>4689</v>
      </c>
      <c r="B1605" s="1" t="s">
        <v>4690</v>
      </c>
      <c r="C1605" s="1" t="s">
        <v>9</v>
      </c>
      <c r="D1605" s="1" t="s">
        <v>3</v>
      </c>
      <c r="E1605" s="5">
        <v>42724</v>
      </c>
      <c r="F1605" s="5">
        <v>46155</v>
      </c>
      <c r="G1605" s="2">
        <v>106.21810000000001</v>
      </c>
      <c r="H1605" s="1" t="s">
        <v>10</v>
      </c>
      <c r="I1605" s="2">
        <v>43.727582999998901</v>
      </c>
      <c r="J1605" s="1" t="s">
        <v>51</v>
      </c>
      <c r="K1605" s="1" t="s">
        <v>4691</v>
      </c>
      <c r="L1605" s="2">
        <v>19493.900000000001</v>
      </c>
      <c r="M1605">
        <f t="shared" si="75"/>
        <v>2070605.0195900004</v>
      </c>
      <c r="N1605">
        <f t="shared" si="76"/>
        <v>183239.38226460179</v>
      </c>
      <c r="O1605" t="str">
        <f t="shared" si="77"/>
        <v>BEHOLD</v>
      </c>
      <c r="P1605" s="1" t="s">
        <v>6548</v>
      </c>
    </row>
    <row r="1606" spans="1:16" ht="15" customHeight="1" x14ac:dyDescent="0.2">
      <c r="A1606" s="1" t="s">
        <v>4692</v>
      </c>
      <c r="B1606" s="1" t="s">
        <v>4693</v>
      </c>
      <c r="C1606" s="1" t="s">
        <v>9</v>
      </c>
      <c r="D1606" s="1" t="s">
        <v>3</v>
      </c>
      <c r="E1606" s="5">
        <v>38043</v>
      </c>
      <c r="F1606" s="5">
        <v>46062</v>
      </c>
      <c r="G1606" s="2">
        <v>2249.835</v>
      </c>
      <c r="H1606" s="1" t="s">
        <v>10</v>
      </c>
      <c r="I1606" s="2">
        <v>17.957074200000001</v>
      </c>
      <c r="J1606" s="1" t="s">
        <v>328</v>
      </c>
      <c r="K1606" s="1" t="s">
        <v>4694</v>
      </c>
      <c r="L1606" s="2">
        <v>327.62389999999999</v>
      </c>
      <c r="M1606">
        <f t="shared" si="75"/>
        <v>737099.71705650003</v>
      </c>
      <c r="N1606">
        <f t="shared" si="76"/>
        <v>65230.063456327429</v>
      </c>
      <c r="O1606" t="str">
        <f t="shared" si="77"/>
        <v>FJERN</v>
      </c>
      <c r="P1606" s="1" t="s">
        <v>6549</v>
      </c>
    </row>
    <row r="1607" spans="1:16" ht="15" customHeight="1" x14ac:dyDescent="0.2">
      <c r="A1607" s="1" t="s">
        <v>4695</v>
      </c>
      <c r="B1607" s="1" t="s">
        <v>4696</v>
      </c>
      <c r="C1607" s="1" t="s">
        <v>9</v>
      </c>
      <c r="D1607" s="1" t="s">
        <v>3</v>
      </c>
      <c r="E1607" s="5">
        <v>42403</v>
      </c>
      <c r="F1607" s="5">
        <v>46155</v>
      </c>
      <c r="G1607" s="2">
        <v>687.51859999999999</v>
      </c>
      <c r="H1607" s="1" t="s">
        <v>10</v>
      </c>
      <c r="I1607" s="2">
        <v>210.17454960000001</v>
      </c>
      <c r="J1607" s="1" t="s">
        <v>366</v>
      </c>
      <c r="K1607" s="1" t="s">
        <v>4697</v>
      </c>
      <c r="L1607" s="2">
        <v>27664.07</v>
      </c>
      <c r="M1607">
        <f t="shared" si="75"/>
        <v>19019562.676702</v>
      </c>
      <c r="N1607">
        <f t="shared" si="76"/>
        <v>1683147.1395311505</v>
      </c>
      <c r="O1607" t="str">
        <f t="shared" si="77"/>
        <v>BEHOLD</v>
      </c>
      <c r="P1607" s="1" t="s">
        <v>6550</v>
      </c>
    </row>
    <row r="1608" spans="1:16" ht="15" customHeight="1" x14ac:dyDescent="0.2">
      <c r="A1608" s="1" t="s">
        <v>4698</v>
      </c>
      <c r="B1608" s="1" t="s">
        <v>4699</v>
      </c>
      <c r="C1608" s="1" t="s">
        <v>9</v>
      </c>
      <c r="D1608" s="1" t="s">
        <v>3</v>
      </c>
      <c r="E1608" s="5">
        <v>43965</v>
      </c>
      <c r="F1608" s="5">
        <v>46155</v>
      </c>
      <c r="G1608" s="2">
        <v>107.36799999999999</v>
      </c>
      <c r="H1608" s="1" t="s">
        <v>10</v>
      </c>
      <c r="I1608" s="2">
        <v>186.01353025</v>
      </c>
      <c r="J1608" s="1" t="s">
        <v>236</v>
      </c>
      <c r="K1608" s="1" t="s">
        <v>4700</v>
      </c>
      <c r="L1608" s="2">
        <v>6599.9189999999999</v>
      </c>
      <c r="M1608">
        <f t="shared" si="75"/>
        <v>708620.10319199995</v>
      </c>
      <c r="N1608">
        <f t="shared" si="76"/>
        <v>62709.743645309725</v>
      </c>
      <c r="O1608" t="str">
        <f t="shared" si="77"/>
        <v>FJERN</v>
      </c>
      <c r="P1608" s="1" t="s">
        <v>6551</v>
      </c>
    </row>
    <row r="1609" spans="1:16" ht="15" customHeight="1" x14ac:dyDescent="0.2">
      <c r="A1609" s="1" t="s">
        <v>4701</v>
      </c>
      <c r="B1609" s="1" t="s">
        <v>4702</v>
      </c>
      <c r="C1609" s="1" t="s">
        <v>9</v>
      </c>
      <c r="D1609" s="1" t="s">
        <v>3</v>
      </c>
      <c r="E1609" s="5">
        <v>42803</v>
      </c>
      <c r="F1609" s="5">
        <v>46085</v>
      </c>
      <c r="G1609" s="2">
        <v>234.0324</v>
      </c>
      <c r="H1609" s="1" t="s">
        <v>10</v>
      </c>
      <c r="I1609" s="2">
        <v>9.9541144799999994</v>
      </c>
      <c r="J1609" s="1" t="s">
        <v>34</v>
      </c>
      <c r="K1609" s="1" t="s">
        <v>4703</v>
      </c>
      <c r="L1609" s="2">
        <v>6995.2160000000003</v>
      </c>
      <c r="M1609">
        <f t="shared" si="75"/>
        <v>1637107.1889984</v>
      </c>
      <c r="N1609">
        <f t="shared" si="76"/>
        <v>144876.74238923893</v>
      </c>
      <c r="O1609" t="str">
        <f t="shared" si="77"/>
        <v>BEHOLD</v>
      </c>
      <c r="P1609" s="1" t="s">
        <v>6552</v>
      </c>
    </row>
    <row r="1610" spans="1:16" ht="15" customHeight="1" x14ac:dyDescent="0.2">
      <c r="A1610" s="1" t="s">
        <v>4704</v>
      </c>
      <c r="B1610" s="1" t="s">
        <v>4705</v>
      </c>
      <c r="C1610" s="1" t="s">
        <v>9</v>
      </c>
      <c r="D1610" s="1" t="s">
        <v>3</v>
      </c>
      <c r="E1610" s="5">
        <v>36222</v>
      </c>
      <c r="F1610" s="5">
        <v>46155</v>
      </c>
      <c r="G1610" s="2">
        <v>79.607299999999995</v>
      </c>
      <c r="H1610" s="1" t="s">
        <v>10</v>
      </c>
      <c r="I1610" s="2">
        <v>57145.177237399999</v>
      </c>
      <c r="J1610" s="1" t="s">
        <v>64</v>
      </c>
      <c r="K1610" s="1" t="s">
        <v>4706</v>
      </c>
      <c r="L1610" s="2">
        <v>119429</v>
      </c>
      <c r="M1610">
        <f t="shared" si="75"/>
        <v>9507420.2316999994</v>
      </c>
      <c r="N1610">
        <f t="shared" si="76"/>
        <v>841364.62227433617</v>
      </c>
      <c r="O1610" t="str">
        <f t="shared" si="77"/>
        <v>BEHOLD</v>
      </c>
      <c r="P1610" s="1" t="s">
        <v>6553</v>
      </c>
    </row>
    <row r="1611" spans="1:16" ht="15" customHeight="1" x14ac:dyDescent="0.2">
      <c r="A1611" s="1" t="s">
        <v>4707</v>
      </c>
      <c r="B1611" s="1" t="s">
        <v>4708</v>
      </c>
      <c r="C1611" s="1" t="s">
        <v>9</v>
      </c>
      <c r="D1611" s="1" t="s">
        <v>3</v>
      </c>
      <c r="E1611" s="5">
        <v>39377</v>
      </c>
      <c r="F1611" s="5">
        <v>46155</v>
      </c>
      <c r="G1611" s="2">
        <v>169.20580000000001</v>
      </c>
      <c r="H1611" s="1" t="s">
        <v>10</v>
      </c>
      <c r="I1611" s="2">
        <v>27.070285599999998</v>
      </c>
      <c r="J1611" s="1" t="s">
        <v>86</v>
      </c>
      <c r="K1611" s="1" t="s">
        <v>4709</v>
      </c>
      <c r="L1611" s="2">
        <v>751.19039999999995</v>
      </c>
      <c r="M1611">
        <f t="shared" si="75"/>
        <v>127105.77258432</v>
      </c>
      <c r="N1611">
        <f t="shared" si="76"/>
        <v>11248.298458789381</v>
      </c>
      <c r="O1611" t="str">
        <f t="shared" si="77"/>
        <v>FJERN</v>
      </c>
      <c r="P1611" s="1" t="s">
        <v>6554</v>
      </c>
    </row>
    <row r="1612" spans="1:16" ht="15" customHeight="1" x14ac:dyDescent="0.2">
      <c r="A1612" s="1" t="s">
        <v>4710</v>
      </c>
      <c r="B1612" s="1" t="s">
        <v>4711</v>
      </c>
      <c r="C1612" s="1" t="s">
        <v>9</v>
      </c>
      <c r="D1612" s="1" t="s">
        <v>3</v>
      </c>
      <c r="E1612" s="5">
        <v>41627</v>
      </c>
      <c r="F1612" s="5">
        <v>46155</v>
      </c>
      <c r="G1612" s="2">
        <v>16.47091</v>
      </c>
      <c r="H1612" s="1" t="s">
        <v>10</v>
      </c>
      <c r="I1612" s="2">
        <v>121.85172559999999</v>
      </c>
      <c r="J1612" s="1" t="s">
        <v>51</v>
      </c>
      <c r="K1612" s="1" t="s">
        <v>4712</v>
      </c>
      <c r="L1612" s="2">
        <v>68480.600000000006</v>
      </c>
      <c r="M1612">
        <f t="shared" si="75"/>
        <v>1127937.7993460002</v>
      </c>
      <c r="N1612">
        <f t="shared" si="76"/>
        <v>99817.504366902664</v>
      </c>
      <c r="O1612" t="str">
        <f t="shared" si="77"/>
        <v>FJERN</v>
      </c>
      <c r="P1612" s="1" t="s">
        <v>6555</v>
      </c>
    </row>
    <row r="1613" spans="1:16" ht="15" customHeight="1" x14ac:dyDescent="0.2">
      <c r="A1613" s="1" t="s">
        <v>4713</v>
      </c>
      <c r="B1613" s="1" t="s">
        <v>4714</v>
      </c>
      <c r="C1613" s="1" t="s">
        <v>9</v>
      </c>
      <c r="D1613" s="1" t="s">
        <v>3</v>
      </c>
      <c r="E1613" s="5">
        <v>39919</v>
      </c>
      <c r="F1613" s="5">
        <v>46155</v>
      </c>
      <c r="G1613" s="2">
        <v>322.67329999999998</v>
      </c>
      <c r="H1613" s="1" t="s">
        <v>10</v>
      </c>
      <c r="I1613" s="2">
        <v>214.63256672</v>
      </c>
      <c r="J1613" s="1" t="s">
        <v>34</v>
      </c>
      <c r="K1613" s="1" t="s">
        <v>4715</v>
      </c>
      <c r="L1613" s="2">
        <v>20073.88</v>
      </c>
      <c r="M1613">
        <f t="shared" si="75"/>
        <v>6477305.1034040004</v>
      </c>
      <c r="N1613">
        <f t="shared" si="76"/>
        <v>573212.84100920358</v>
      </c>
      <c r="O1613" t="str">
        <f t="shared" si="77"/>
        <v>BEHOLD</v>
      </c>
      <c r="P1613" s="1" t="s">
        <v>6556</v>
      </c>
    </row>
    <row r="1614" spans="1:16" ht="15" customHeight="1" x14ac:dyDescent="0.2">
      <c r="A1614" s="1" t="s">
        <v>4716</v>
      </c>
      <c r="B1614" s="1" t="s">
        <v>4717</v>
      </c>
      <c r="C1614" s="1" t="s">
        <v>9</v>
      </c>
      <c r="D1614" s="1" t="s">
        <v>3</v>
      </c>
      <c r="E1614" s="5">
        <v>35698</v>
      </c>
      <c r="F1614" s="5">
        <v>46155</v>
      </c>
      <c r="G1614" s="2">
        <v>91.846819999999994</v>
      </c>
      <c r="H1614" s="1" t="s">
        <v>10</v>
      </c>
      <c r="I1614" s="2">
        <v>23177.072523520001</v>
      </c>
      <c r="J1614" s="1" t="s">
        <v>76</v>
      </c>
      <c r="K1614" s="1" t="s">
        <v>4718</v>
      </c>
      <c r="L1614" s="2">
        <v>852065.8</v>
      </c>
      <c r="M1614">
        <f t="shared" si="75"/>
        <v>78259534.160755992</v>
      </c>
      <c r="N1614">
        <f t="shared" si="76"/>
        <v>6925622.4921022998</v>
      </c>
      <c r="O1614" t="str">
        <f t="shared" si="77"/>
        <v>BEHOLD</v>
      </c>
      <c r="P1614" s="1" t="s">
        <v>6557</v>
      </c>
    </row>
    <row r="1615" spans="1:16" ht="15" customHeight="1" x14ac:dyDescent="0.2">
      <c r="A1615" s="1" t="s">
        <v>4719</v>
      </c>
      <c r="B1615" s="1" t="s">
        <v>4720</v>
      </c>
      <c r="C1615" s="1" t="s">
        <v>9</v>
      </c>
      <c r="D1615" s="1" t="s">
        <v>3</v>
      </c>
      <c r="E1615" s="5">
        <v>41922</v>
      </c>
      <c r="F1615" s="5">
        <v>46155</v>
      </c>
      <c r="G1615" s="2">
        <v>91.489220000000003</v>
      </c>
      <c r="H1615" s="1" t="s">
        <v>10</v>
      </c>
      <c r="I1615" s="2">
        <v>15511.5358378</v>
      </c>
      <c r="J1615" s="1" t="s">
        <v>86</v>
      </c>
      <c r="K1615" s="1" t="s">
        <v>4721</v>
      </c>
      <c r="L1615" s="2">
        <v>257525.4</v>
      </c>
      <c r="M1615">
        <f t="shared" si="75"/>
        <v>23560797.976188</v>
      </c>
      <c r="N1615">
        <f t="shared" si="76"/>
        <v>2085026.3695741592</v>
      </c>
      <c r="O1615" t="str">
        <f t="shared" si="77"/>
        <v>BEHOLD</v>
      </c>
      <c r="P1615" s="1" t="s">
        <v>6558</v>
      </c>
    </row>
    <row r="1616" spans="1:16" ht="15" customHeight="1" x14ac:dyDescent="0.2">
      <c r="A1616" s="1" t="s">
        <v>4722</v>
      </c>
      <c r="B1616" s="1" t="s">
        <v>4723</v>
      </c>
      <c r="C1616" s="1" t="s">
        <v>2</v>
      </c>
      <c r="D1616" s="1" t="s">
        <v>3</v>
      </c>
      <c r="E1616" s="5">
        <v>35082</v>
      </c>
      <c r="F1616" s="5">
        <v>46155</v>
      </c>
      <c r="G1616" s="2">
        <v>146.55840000000001</v>
      </c>
      <c r="H1616" s="1" t="s">
        <v>4</v>
      </c>
      <c r="I1616" s="2">
        <v>46669.165753095702</v>
      </c>
      <c r="J1616" s="1" t="s">
        <v>86</v>
      </c>
      <c r="K1616" s="1" t="s">
        <v>4724</v>
      </c>
      <c r="L1616" s="2">
        <v>293846.09999999998</v>
      </c>
      <c r="M1616">
        <f t="shared" si="75"/>
        <v>43065614.26224</v>
      </c>
      <c r="N1616">
        <f t="shared" si="76"/>
        <v>5780619.3640590599</v>
      </c>
      <c r="O1616" t="str">
        <f t="shared" si="77"/>
        <v>BEHOLD</v>
      </c>
      <c r="P1616" s="1" t="s">
        <v>6559</v>
      </c>
    </row>
    <row r="1617" spans="1:16" ht="15" customHeight="1" x14ac:dyDescent="0.2">
      <c r="A1617" s="1" t="s">
        <v>4725</v>
      </c>
      <c r="B1617" s="1" t="s">
        <v>4726</v>
      </c>
      <c r="C1617" s="1" t="s">
        <v>9</v>
      </c>
      <c r="D1617" s="1" t="s">
        <v>3</v>
      </c>
      <c r="E1617" s="5">
        <v>41974</v>
      </c>
      <c r="F1617" s="5">
        <v>46155</v>
      </c>
      <c r="G1617" s="2">
        <v>11.73203</v>
      </c>
      <c r="H1617" s="1" t="s">
        <v>10</v>
      </c>
      <c r="I1617" s="2">
        <v>538.62545880000005</v>
      </c>
      <c r="J1617" s="1" t="s">
        <v>5</v>
      </c>
      <c r="K1617" s="1" t="s">
        <v>4727</v>
      </c>
      <c r="L1617" s="2">
        <v>12798.72</v>
      </c>
      <c r="M1617">
        <f t="shared" si="75"/>
        <v>150154.96700159999</v>
      </c>
      <c r="N1617">
        <f t="shared" si="76"/>
        <v>13288.050177132742</v>
      </c>
      <c r="O1617" t="str">
        <f t="shared" si="77"/>
        <v>FJERN</v>
      </c>
      <c r="P1617" s="1" t="s">
        <v>6560</v>
      </c>
    </row>
    <row r="1618" spans="1:16" ht="15" customHeight="1" x14ac:dyDescent="0.2">
      <c r="A1618" s="1" t="s">
        <v>4728</v>
      </c>
      <c r="B1618" s="1" t="s">
        <v>4729</v>
      </c>
      <c r="C1618" s="1" t="s">
        <v>9</v>
      </c>
      <c r="D1618" s="1" t="s">
        <v>3</v>
      </c>
      <c r="E1618" s="5">
        <v>41927</v>
      </c>
      <c r="F1618" s="5">
        <v>46155</v>
      </c>
      <c r="G1618" s="2">
        <v>6.8085399999999998</v>
      </c>
      <c r="H1618" s="1" t="s">
        <v>10</v>
      </c>
      <c r="I1618" s="2">
        <v>176.80226400000001</v>
      </c>
      <c r="J1618" s="1" t="s">
        <v>236</v>
      </c>
      <c r="K1618" s="1" t="s">
        <v>4730</v>
      </c>
      <c r="L1618" s="2">
        <v>14893.38</v>
      </c>
      <c r="M1618">
        <f t="shared" si="75"/>
        <v>101402.17346519999</v>
      </c>
      <c r="N1618">
        <f t="shared" si="76"/>
        <v>8973.6436694867243</v>
      </c>
      <c r="O1618" t="str">
        <f t="shared" si="77"/>
        <v>FJERN</v>
      </c>
      <c r="P1618" s="1" t="s">
        <v>6561</v>
      </c>
    </row>
    <row r="1619" spans="1:16" ht="15" customHeight="1" x14ac:dyDescent="0.2">
      <c r="A1619" s="1" t="s">
        <v>4731</v>
      </c>
      <c r="B1619" s="1" t="s">
        <v>4732</v>
      </c>
      <c r="C1619" s="1" t="s">
        <v>9</v>
      </c>
      <c r="D1619" s="1" t="s">
        <v>3</v>
      </c>
      <c r="E1619" s="5">
        <v>38341</v>
      </c>
      <c r="F1619" s="5">
        <v>46155</v>
      </c>
      <c r="G1619" s="2">
        <v>32.036589999999997</v>
      </c>
      <c r="H1619" s="1" t="s">
        <v>10</v>
      </c>
      <c r="I1619" s="2">
        <v>1579.3185152000001</v>
      </c>
      <c r="J1619" s="1" t="s">
        <v>122</v>
      </c>
      <c r="K1619" s="1" t="s">
        <v>4733</v>
      </c>
      <c r="L1619" s="2">
        <v>41629.269999999997</v>
      </c>
      <c r="M1619">
        <f t="shared" si="75"/>
        <v>1333659.8549892998</v>
      </c>
      <c r="N1619">
        <f t="shared" si="76"/>
        <v>118022.99601675218</v>
      </c>
      <c r="O1619" t="str">
        <f t="shared" si="77"/>
        <v>BEHOLD</v>
      </c>
      <c r="P1619" s="1" t="s">
        <v>6562</v>
      </c>
    </row>
    <row r="1620" spans="1:16" ht="15" customHeight="1" x14ac:dyDescent="0.2">
      <c r="A1620" s="1" t="s">
        <v>4734</v>
      </c>
      <c r="B1620" s="1" t="s">
        <v>4735</v>
      </c>
      <c r="C1620" s="1" t="s">
        <v>9</v>
      </c>
      <c r="D1620" s="1" t="s">
        <v>3</v>
      </c>
      <c r="E1620" s="5">
        <v>45510</v>
      </c>
      <c r="F1620" s="5">
        <v>46155</v>
      </c>
      <c r="G1620" s="2">
        <v>0.1149215</v>
      </c>
      <c r="H1620" s="1" t="s">
        <v>10</v>
      </c>
      <c r="I1620" s="2"/>
      <c r="J1620" s="1" t="s">
        <v>34</v>
      </c>
      <c r="K1620" s="1" t="s">
        <v>4736</v>
      </c>
      <c r="L1620" s="2">
        <v>1240330</v>
      </c>
      <c r="M1620">
        <f t="shared" si="75"/>
        <v>142540.584095</v>
      </c>
      <c r="N1620">
        <f t="shared" si="76"/>
        <v>12614.210981858407</v>
      </c>
      <c r="O1620" t="str">
        <f t="shared" si="77"/>
        <v>FJERN</v>
      </c>
      <c r="P1620" s="1"/>
    </row>
    <row r="1621" spans="1:16" ht="15" customHeight="1" x14ac:dyDescent="0.2">
      <c r="A1621" s="1" t="s">
        <v>4737</v>
      </c>
      <c r="B1621" s="1" t="s">
        <v>4738</v>
      </c>
      <c r="C1621" s="1" t="s">
        <v>2</v>
      </c>
      <c r="D1621" s="1" t="s">
        <v>3</v>
      </c>
      <c r="E1621" s="5">
        <v>43060</v>
      </c>
      <c r="F1621" s="5">
        <v>46155</v>
      </c>
      <c r="G1621" s="2">
        <v>32310.93</v>
      </c>
      <c r="H1621" s="1" t="s">
        <v>4</v>
      </c>
      <c r="I1621" s="2">
        <v>34.4165712</v>
      </c>
      <c r="J1621" s="1" t="s">
        <v>366</v>
      </c>
      <c r="K1621" s="1" t="s">
        <v>4739</v>
      </c>
      <c r="L1621" s="2">
        <v>129.2132</v>
      </c>
      <c r="M1621">
        <f t="shared" si="75"/>
        <v>4174998.6602759999</v>
      </c>
      <c r="N1621">
        <f t="shared" si="76"/>
        <v>560402.50473503349</v>
      </c>
      <c r="O1621" t="str">
        <f t="shared" si="77"/>
        <v>BEHOLD</v>
      </c>
      <c r="P1621" s="1" t="s">
        <v>6563</v>
      </c>
    </row>
    <row r="1622" spans="1:16" ht="15" customHeight="1" x14ac:dyDescent="0.2">
      <c r="A1622" s="1" t="s">
        <v>4740</v>
      </c>
      <c r="B1622" s="1" t="s">
        <v>4741</v>
      </c>
      <c r="C1622" s="1" t="s">
        <v>9</v>
      </c>
      <c r="D1622" s="1" t="s">
        <v>3</v>
      </c>
      <c r="E1622" s="5">
        <v>36279</v>
      </c>
      <c r="F1622" s="5">
        <v>46155</v>
      </c>
      <c r="G1622" s="2">
        <v>71.04392</v>
      </c>
      <c r="H1622" s="1" t="s">
        <v>10</v>
      </c>
      <c r="I1622" s="2">
        <v>107.0493816</v>
      </c>
      <c r="J1622" s="1" t="s">
        <v>23</v>
      </c>
      <c r="K1622" s="1" t="s">
        <v>4742</v>
      </c>
      <c r="L1622" s="2">
        <v>95033.87</v>
      </c>
      <c r="M1622">
        <f t="shared" si="75"/>
        <v>6751578.6575703993</v>
      </c>
      <c r="N1622">
        <f t="shared" si="76"/>
        <v>597484.83695313265</v>
      </c>
      <c r="O1622" t="str">
        <f t="shared" si="77"/>
        <v>BEHOLD</v>
      </c>
      <c r="P1622" s="1" t="s">
        <v>6564</v>
      </c>
    </row>
    <row r="1623" spans="1:16" ht="15" customHeight="1" x14ac:dyDescent="0.2">
      <c r="A1623" s="1" t="s">
        <v>4743</v>
      </c>
      <c r="B1623" s="1" t="s">
        <v>4744</v>
      </c>
      <c r="C1623" s="1" t="s">
        <v>9</v>
      </c>
      <c r="D1623" s="1" t="s">
        <v>3</v>
      </c>
      <c r="E1623" s="5">
        <v>41932</v>
      </c>
      <c r="F1623" s="5">
        <v>46155</v>
      </c>
      <c r="G1623" s="2">
        <v>28.372319999999998</v>
      </c>
      <c r="H1623" s="1" t="s">
        <v>10</v>
      </c>
      <c r="I1623" s="2">
        <v>1849.7316060000001</v>
      </c>
      <c r="J1623" s="1" t="s">
        <v>11</v>
      </c>
      <c r="K1623" s="1" t="s">
        <v>4745</v>
      </c>
      <c r="L1623" s="2">
        <v>21050.29</v>
      </c>
      <c r="M1623">
        <f t="shared" si="75"/>
        <v>597245.56397280004</v>
      </c>
      <c r="N1623">
        <f t="shared" si="76"/>
        <v>52853.589732106193</v>
      </c>
      <c r="O1623" t="str">
        <f t="shared" si="77"/>
        <v>FJERN</v>
      </c>
      <c r="P1623" s="1" t="s">
        <v>6565</v>
      </c>
    </row>
    <row r="1624" spans="1:16" ht="15" customHeight="1" x14ac:dyDescent="0.2">
      <c r="A1624" s="1" t="s">
        <v>4746</v>
      </c>
      <c r="B1624" s="1" t="s">
        <v>4747</v>
      </c>
      <c r="C1624" s="1" t="s">
        <v>9</v>
      </c>
      <c r="D1624" s="1" t="s">
        <v>3</v>
      </c>
      <c r="E1624" s="5">
        <v>45632</v>
      </c>
      <c r="F1624" s="5">
        <v>46155</v>
      </c>
      <c r="G1624" s="2">
        <v>82.954369999999997</v>
      </c>
      <c r="H1624" s="1" t="s">
        <v>10</v>
      </c>
      <c r="I1624" s="2">
        <v>9597.4244845199992</v>
      </c>
      <c r="J1624" s="1" t="s">
        <v>222</v>
      </c>
      <c r="K1624" s="1" t="s">
        <v>4748</v>
      </c>
      <c r="L1624" s="2">
        <v>326567.2</v>
      </c>
      <c r="M1624">
        <f t="shared" si="75"/>
        <v>27090176.338663999</v>
      </c>
      <c r="N1624">
        <f t="shared" si="76"/>
        <v>2397360.7379348669</v>
      </c>
      <c r="O1624" t="str">
        <f t="shared" si="77"/>
        <v>BEHOLD</v>
      </c>
      <c r="P1624" s="1" t="s">
        <v>6566</v>
      </c>
    </row>
    <row r="1625" spans="1:16" ht="15" customHeight="1" x14ac:dyDescent="0.2">
      <c r="A1625" s="1" t="s">
        <v>4749</v>
      </c>
      <c r="B1625" s="1" t="s">
        <v>4750</v>
      </c>
      <c r="C1625" s="1" t="s">
        <v>9</v>
      </c>
      <c r="D1625" s="1" t="s">
        <v>3</v>
      </c>
      <c r="E1625" s="5">
        <v>40009</v>
      </c>
      <c r="F1625" s="5">
        <v>46155</v>
      </c>
      <c r="G1625" s="2">
        <v>20.86739</v>
      </c>
      <c r="H1625" s="1" t="s">
        <v>10</v>
      </c>
      <c r="I1625" s="2">
        <v>230.43805750000001</v>
      </c>
      <c r="J1625" s="1" t="s">
        <v>86</v>
      </c>
      <c r="K1625" s="1" t="s">
        <v>4751</v>
      </c>
      <c r="L1625" s="2">
        <v>16805.78</v>
      </c>
      <c r="M1625">
        <f t="shared" si="75"/>
        <v>350692.76551419997</v>
      </c>
      <c r="N1625">
        <f t="shared" si="76"/>
        <v>31034.75801010619</v>
      </c>
      <c r="O1625" t="str">
        <f t="shared" si="77"/>
        <v>FJERN</v>
      </c>
      <c r="P1625" s="1" t="s">
        <v>6567</v>
      </c>
    </row>
    <row r="1626" spans="1:16" ht="15" customHeight="1" x14ac:dyDescent="0.2">
      <c r="A1626" s="1" t="s">
        <v>4752</v>
      </c>
      <c r="B1626" s="1" t="s">
        <v>4753</v>
      </c>
      <c r="C1626" s="1" t="s">
        <v>9</v>
      </c>
      <c r="D1626" s="1" t="s">
        <v>3</v>
      </c>
      <c r="E1626" s="5">
        <v>44498</v>
      </c>
      <c r="F1626" s="5">
        <v>46155</v>
      </c>
      <c r="G1626" s="2">
        <v>38.07103</v>
      </c>
      <c r="H1626" s="1" t="s">
        <v>10</v>
      </c>
      <c r="I1626" s="2">
        <v>91014.120768699999</v>
      </c>
      <c r="J1626" s="1" t="s">
        <v>548</v>
      </c>
      <c r="K1626" s="1" t="s">
        <v>4754</v>
      </c>
      <c r="L1626" s="2">
        <v>4612818</v>
      </c>
      <c r="M1626">
        <f t="shared" si="75"/>
        <v>175614732.46254</v>
      </c>
      <c r="N1626">
        <f t="shared" si="76"/>
        <v>15541126.766596459</v>
      </c>
      <c r="O1626" t="str">
        <f t="shared" si="77"/>
        <v>BEHOLD</v>
      </c>
      <c r="P1626" s="1" t="s">
        <v>6568</v>
      </c>
    </row>
    <row r="1627" spans="1:16" ht="15" customHeight="1" x14ac:dyDescent="0.2">
      <c r="A1627" s="1" t="s">
        <v>4755</v>
      </c>
      <c r="B1627" s="1" t="s">
        <v>4756</v>
      </c>
      <c r="C1627" s="1" t="s">
        <v>9</v>
      </c>
      <c r="D1627" s="1" t="s">
        <v>3</v>
      </c>
      <c r="E1627" s="5">
        <v>41572</v>
      </c>
      <c r="F1627" s="5">
        <v>45961</v>
      </c>
      <c r="G1627" s="2">
        <v>179.30160000000001</v>
      </c>
      <c r="H1627" s="1" t="s">
        <v>10</v>
      </c>
      <c r="I1627" s="2">
        <v>27.325352079999998</v>
      </c>
      <c r="J1627" s="1" t="s">
        <v>34</v>
      </c>
      <c r="K1627" s="1" t="s">
        <v>4757</v>
      </c>
      <c r="L1627" s="2">
        <v>9418.3130000000001</v>
      </c>
      <c r="M1627">
        <f t="shared" si="75"/>
        <v>1688718.5902008</v>
      </c>
      <c r="N1627">
        <f t="shared" si="76"/>
        <v>149444.12302661946</v>
      </c>
      <c r="O1627" t="str">
        <f t="shared" si="77"/>
        <v>BEHOLD</v>
      </c>
      <c r="P1627" s="1" t="s">
        <v>6569</v>
      </c>
    </row>
    <row r="1628" spans="1:16" ht="15" customHeight="1" x14ac:dyDescent="0.2">
      <c r="A1628" s="1" t="s">
        <v>4758</v>
      </c>
      <c r="B1628" s="1" t="s">
        <v>4759</v>
      </c>
      <c r="C1628" s="1" t="s">
        <v>9</v>
      </c>
      <c r="D1628" s="1" t="s">
        <v>3</v>
      </c>
      <c r="E1628" s="5">
        <v>42723</v>
      </c>
      <c r="F1628" s="5">
        <v>46154</v>
      </c>
      <c r="G1628" s="2">
        <v>2948.6959999999999</v>
      </c>
      <c r="H1628" s="1" t="s">
        <v>10</v>
      </c>
      <c r="I1628" s="2">
        <v>13.8792256</v>
      </c>
      <c r="J1628" s="1" t="s">
        <v>236</v>
      </c>
      <c r="K1628" s="1" t="s">
        <v>4760</v>
      </c>
      <c r="L1628" s="2">
        <v>264.48590000000002</v>
      </c>
      <c r="M1628">
        <f t="shared" si="75"/>
        <v>779888.51538640005</v>
      </c>
      <c r="N1628">
        <f t="shared" si="76"/>
        <v>69016.682777557522</v>
      </c>
      <c r="O1628" t="str">
        <f t="shared" si="77"/>
        <v>FJERN</v>
      </c>
      <c r="P1628" s="1" t="s">
        <v>6570</v>
      </c>
    </row>
    <row r="1629" spans="1:16" ht="15" customHeight="1" x14ac:dyDescent="0.2">
      <c r="A1629" s="1" t="s">
        <v>4761</v>
      </c>
      <c r="B1629" s="1" t="s">
        <v>4762</v>
      </c>
      <c r="C1629" s="1" t="s">
        <v>9</v>
      </c>
      <c r="D1629" s="1" t="s">
        <v>3</v>
      </c>
      <c r="E1629" s="5">
        <v>38499</v>
      </c>
      <c r="F1629" s="5">
        <v>46155</v>
      </c>
      <c r="G1629" s="2">
        <v>199810.6</v>
      </c>
      <c r="H1629" s="1" t="s">
        <v>10</v>
      </c>
      <c r="I1629" s="2">
        <v>78.829696049999995</v>
      </c>
      <c r="J1629" s="1" t="s">
        <v>23</v>
      </c>
      <c r="K1629" s="1" t="s">
        <v>4763</v>
      </c>
      <c r="L1629" s="2">
        <v>1540.366</v>
      </c>
      <c r="M1629">
        <f t="shared" si="75"/>
        <v>307781454.6796</v>
      </c>
      <c r="N1629">
        <f t="shared" si="76"/>
        <v>27237296.874300882</v>
      </c>
      <c r="O1629" t="str">
        <f t="shared" si="77"/>
        <v>BEHOLD</v>
      </c>
      <c r="P1629" s="1" t="s">
        <v>6571</v>
      </c>
    </row>
    <row r="1630" spans="1:16" ht="15" customHeight="1" x14ac:dyDescent="0.2">
      <c r="A1630" s="1" t="s">
        <v>4764</v>
      </c>
      <c r="B1630" s="1" t="s">
        <v>4765</v>
      </c>
      <c r="C1630" s="1" t="s">
        <v>9</v>
      </c>
      <c r="D1630" s="1" t="s">
        <v>3</v>
      </c>
      <c r="E1630" s="5">
        <v>45709</v>
      </c>
      <c r="F1630" s="5">
        <v>46155</v>
      </c>
      <c r="G1630" s="2">
        <v>62.4557</v>
      </c>
      <c r="H1630" s="1" t="s">
        <v>10</v>
      </c>
      <c r="I1630" s="2">
        <v>613</v>
      </c>
      <c r="J1630" s="1" t="s">
        <v>38</v>
      </c>
      <c r="K1630" s="1" t="s">
        <v>4766</v>
      </c>
      <c r="L1630" s="2">
        <v>15840.03</v>
      </c>
      <c r="M1630">
        <f t="shared" si="75"/>
        <v>989300.16167100007</v>
      </c>
      <c r="N1630">
        <f t="shared" si="76"/>
        <v>87548.686873539817</v>
      </c>
      <c r="O1630" t="str">
        <f t="shared" si="77"/>
        <v>FJERN</v>
      </c>
      <c r="P1630" s="1" t="s">
        <v>6572</v>
      </c>
    </row>
    <row r="1631" spans="1:16" ht="15" customHeight="1" x14ac:dyDescent="0.2">
      <c r="A1631" s="1" t="s">
        <v>4767</v>
      </c>
      <c r="B1631" s="1" t="s">
        <v>4768</v>
      </c>
      <c r="C1631" s="1" t="s">
        <v>9</v>
      </c>
      <c r="D1631" s="1" t="s">
        <v>3</v>
      </c>
      <c r="E1631" s="5">
        <v>43892</v>
      </c>
      <c r="F1631" s="5">
        <v>46155</v>
      </c>
      <c r="G1631" s="2">
        <v>3024.6030000000001</v>
      </c>
      <c r="H1631" s="1" t="s">
        <v>10</v>
      </c>
      <c r="I1631" s="2">
        <v>44.529839639999999</v>
      </c>
      <c r="J1631" s="1" t="s">
        <v>34</v>
      </c>
      <c r="K1631" s="1" t="s">
        <v>4769</v>
      </c>
      <c r="L1631" s="2">
        <v>41399.919999999998</v>
      </c>
      <c r="M1631">
        <f t="shared" si="75"/>
        <v>125218322.23176</v>
      </c>
      <c r="N1631">
        <f t="shared" si="76"/>
        <v>11081267.454138052</v>
      </c>
      <c r="O1631" t="str">
        <f t="shared" si="77"/>
        <v>BEHOLD</v>
      </c>
      <c r="P1631" s="1" t="s">
        <v>6573</v>
      </c>
    </row>
    <row r="1632" spans="1:16" ht="15" customHeight="1" x14ac:dyDescent="0.2">
      <c r="A1632" s="1" t="s">
        <v>4770</v>
      </c>
      <c r="B1632" s="1" t="s">
        <v>4771</v>
      </c>
      <c r="C1632" s="1" t="s">
        <v>9</v>
      </c>
      <c r="D1632" s="1" t="s">
        <v>3</v>
      </c>
      <c r="E1632" s="5">
        <v>42894</v>
      </c>
      <c r="F1632" s="5">
        <v>46155</v>
      </c>
      <c r="G1632" s="2">
        <v>25.642900000000001</v>
      </c>
      <c r="H1632" s="1" t="s">
        <v>10</v>
      </c>
      <c r="I1632" s="2">
        <v>32.562523863999999</v>
      </c>
      <c r="J1632" s="1" t="s">
        <v>167</v>
      </c>
      <c r="K1632" s="1" t="s">
        <v>4772</v>
      </c>
      <c r="L1632" s="2">
        <v>19436.04</v>
      </c>
      <c r="M1632">
        <f t="shared" si="75"/>
        <v>498396.43011600006</v>
      </c>
      <c r="N1632">
        <f t="shared" si="76"/>
        <v>44105.878771327436</v>
      </c>
      <c r="O1632" t="str">
        <f t="shared" si="77"/>
        <v>FJERN</v>
      </c>
      <c r="P1632" s="1"/>
    </row>
    <row r="1633" spans="1:16" ht="15" customHeight="1" x14ac:dyDescent="0.2">
      <c r="A1633" s="1" t="s">
        <v>4773</v>
      </c>
      <c r="B1633" s="1" t="s">
        <v>4774</v>
      </c>
      <c r="C1633" s="1" t="s">
        <v>9</v>
      </c>
      <c r="D1633" s="1" t="s">
        <v>3</v>
      </c>
      <c r="E1633" s="5">
        <v>42163</v>
      </c>
      <c r="F1633" s="5">
        <v>46155</v>
      </c>
      <c r="G1633" s="2">
        <v>125.063</v>
      </c>
      <c r="H1633" s="1" t="s">
        <v>10</v>
      </c>
      <c r="I1633" s="2">
        <v>23.964872199999999</v>
      </c>
      <c r="J1633" s="1" t="s">
        <v>34</v>
      </c>
      <c r="K1633" s="1" t="s">
        <v>4775</v>
      </c>
      <c r="L1633" s="2">
        <v>5578.8620000000001</v>
      </c>
      <c r="M1633">
        <f t="shared" si="75"/>
        <v>697709.218306</v>
      </c>
      <c r="N1633">
        <f t="shared" si="76"/>
        <v>61744.178611150441</v>
      </c>
      <c r="O1633" t="str">
        <f t="shared" si="77"/>
        <v>FJERN</v>
      </c>
      <c r="P1633" s="1" t="s">
        <v>6574</v>
      </c>
    </row>
    <row r="1634" spans="1:16" ht="15" customHeight="1" x14ac:dyDescent="0.2">
      <c r="A1634" s="1" t="s">
        <v>4776</v>
      </c>
      <c r="B1634" s="1" t="s">
        <v>4777</v>
      </c>
      <c r="C1634" s="1" t="s">
        <v>9</v>
      </c>
      <c r="D1634" s="1" t="s">
        <v>3</v>
      </c>
      <c r="E1634" s="5">
        <v>45625</v>
      </c>
      <c r="F1634" s="5">
        <v>46155</v>
      </c>
      <c r="G1634" s="2">
        <v>10.766</v>
      </c>
      <c r="H1634" s="1" t="s">
        <v>10</v>
      </c>
      <c r="I1634" s="2"/>
      <c r="J1634" s="1" t="s">
        <v>197</v>
      </c>
      <c r="K1634" s="1" t="s">
        <v>4778</v>
      </c>
      <c r="L1634" s="2">
        <v>76453.8</v>
      </c>
      <c r="M1634">
        <f t="shared" si="75"/>
        <v>823101.61080000002</v>
      </c>
      <c r="N1634">
        <f t="shared" si="76"/>
        <v>72840.85051327433</v>
      </c>
      <c r="O1634" t="str">
        <f t="shared" si="77"/>
        <v>FJERN</v>
      </c>
      <c r="P1634" s="1" t="s">
        <v>6575</v>
      </c>
    </row>
    <row r="1635" spans="1:16" ht="15" customHeight="1" x14ac:dyDescent="0.2">
      <c r="A1635" s="1" t="s">
        <v>4779</v>
      </c>
      <c r="B1635" s="1" t="s">
        <v>4780</v>
      </c>
      <c r="C1635" s="1" t="s">
        <v>9</v>
      </c>
      <c r="D1635" s="1" t="s">
        <v>3</v>
      </c>
      <c r="E1635" s="5">
        <v>42922</v>
      </c>
      <c r="F1635" s="5">
        <v>45646</v>
      </c>
      <c r="G1635" s="2">
        <v>601.1096</v>
      </c>
      <c r="H1635" s="1" t="s">
        <v>10</v>
      </c>
      <c r="I1635" s="2">
        <v>232.42251129300001</v>
      </c>
      <c r="J1635" s="1" t="s">
        <v>76</v>
      </c>
      <c r="K1635" s="1" t="s">
        <v>4781</v>
      </c>
      <c r="L1635" s="2">
        <v>7716.1260000000002</v>
      </c>
      <c r="M1635">
        <f t="shared" si="75"/>
        <v>4638237.4134096</v>
      </c>
      <c r="N1635">
        <f t="shared" si="76"/>
        <v>410463.48791235394</v>
      </c>
      <c r="O1635" t="str">
        <f t="shared" si="77"/>
        <v>BEHOLD</v>
      </c>
      <c r="P1635" s="1" t="s">
        <v>6576</v>
      </c>
    </row>
    <row r="1636" spans="1:16" ht="15" customHeight="1" x14ac:dyDescent="0.2">
      <c r="A1636" s="1" t="s">
        <v>4782</v>
      </c>
      <c r="B1636" s="1" t="s">
        <v>4783</v>
      </c>
      <c r="C1636" s="1" t="s">
        <v>9</v>
      </c>
      <c r="D1636" s="1" t="s">
        <v>255</v>
      </c>
      <c r="E1636" s="5">
        <v>46098</v>
      </c>
      <c r="F1636" s="5">
        <v>46155</v>
      </c>
      <c r="G1636" s="2">
        <v>76.211010000000002</v>
      </c>
      <c r="H1636" s="1" t="s">
        <v>10</v>
      </c>
      <c r="I1636" s="2"/>
      <c r="J1636" s="1" t="s">
        <v>76</v>
      </c>
      <c r="K1636" s="1" t="s">
        <v>4784</v>
      </c>
      <c r="L1636" s="2">
        <v>29736.33</v>
      </c>
      <c r="M1636">
        <f t="shared" si="75"/>
        <v>2266235.7429933003</v>
      </c>
      <c r="N1636">
        <f t="shared" si="76"/>
        <v>200551.8356631239</v>
      </c>
      <c r="O1636" t="str">
        <f t="shared" si="77"/>
        <v>FJERN</v>
      </c>
      <c r="P1636" s="1" t="s">
        <v>6577</v>
      </c>
    </row>
    <row r="1637" spans="1:16" ht="15" customHeight="1" x14ac:dyDescent="0.2">
      <c r="A1637" s="1" t="s">
        <v>4785</v>
      </c>
      <c r="B1637" s="1" t="s">
        <v>4786</v>
      </c>
      <c r="C1637" s="1" t="s">
        <v>9</v>
      </c>
      <c r="D1637" s="1" t="s">
        <v>3</v>
      </c>
      <c r="E1637" s="5">
        <v>46149</v>
      </c>
      <c r="F1637" s="5">
        <v>46155</v>
      </c>
      <c r="G1637" s="2">
        <v>255.27500000000001</v>
      </c>
      <c r="H1637" s="1" t="s">
        <v>10</v>
      </c>
      <c r="I1637" s="2"/>
      <c r="J1637" s="1" t="s">
        <v>115</v>
      </c>
      <c r="K1637" s="1" t="s">
        <v>4787</v>
      </c>
      <c r="L1637" s="2">
        <v>4115786</v>
      </c>
      <c r="M1637">
        <f t="shared" si="75"/>
        <v>1050657271.15</v>
      </c>
      <c r="N1637">
        <f t="shared" si="76"/>
        <v>92978519.570796445</v>
      </c>
      <c r="O1637" t="str">
        <f t="shared" si="77"/>
        <v>FJERN</v>
      </c>
      <c r="P1637" s="1"/>
    </row>
    <row r="1638" spans="1:16" ht="15" customHeight="1" x14ac:dyDescent="0.2">
      <c r="A1638" s="1" t="s">
        <v>4788</v>
      </c>
      <c r="B1638" s="1" t="s">
        <v>4789</v>
      </c>
      <c r="C1638" s="1" t="s">
        <v>9</v>
      </c>
      <c r="D1638" s="1" t="s">
        <v>3</v>
      </c>
      <c r="E1638" s="5">
        <v>45461</v>
      </c>
      <c r="F1638" s="5">
        <v>46155</v>
      </c>
      <c r="G1638" s="2">
        <v>25.031659999999999</v>
      </c>
      <c r="H1638" s="1" t="s">
        <v>10</v>
      </c>
      <c r="I1638" s="2">
        <v>4195.2992190000004</v>
      </c>
      <c r="J1638" s="1" t="s">
        <v>61</v>
      </c>
      <c r="K1638" s="1" t="s">
        <v>4790</v>
      </c>
      <c r="L1638" s="2">
        <v>92885.34</v>
      </c>
      <c r="M1638">
        <f t="shared" si="75"/>
        <v>2325074.2498643999</v>
      </c>
      <c r="N1638">
        <f t="shared" si="76"/>
        <v>205758.7831738407</v>
      </c>
      <c r="O1638" t="str">
        <f t="shared" si="77"/>
        <v>BEHOLD</v>
      </c>
      <c r="P1638" s="1" t="s">
        <v>6578</v>
      </c>
    </row>
    <row r="1639" spans="1:16" ht="15" customHeight="1" x14ac:dyDescent="0.2">
      <c r="A1639" s="1" t="s">
        <v>4791</v>
      </c>
      <c r="B1639" s="1" t="s">
        <v>4792</v>
      </c>
      <c r="C1639" s="1" t="s">
        <v>9</v>
      </c>
      <c r="D1639" s="1" t="s">
        <v>3</v>
      </c>
      <c r="E1639" s="5">
        <v>39395</v>
      </c>
      <c r="F1639" s="5">
        <v>46155</v>
      </c>
      <c r="G1639" s="2">
        <v>23.872309999999999</v>
      </c>
      <c r="H1639" s="1" t="s">
        <v>10</v>
      </c>
      <c r="I1639" s="2">
        <v>4918.0378336000003</v>
      </c>
      <c r="J1639" s="1" t="s">
        <v>61</v>
      </c>
      <c r="K1639" s="1" t="s">
        <v>4793</v>
      </c>
      <c r="L1639" s="2">
        <v>146031.79999999999</v>
      </c>
      <c r="M1639">
        <f t="shared" si="75"/>
        <v>3486116.3994579995</v>
      </c>
      <c r="N1639">
        <f t="shared" si="76"/>
        <v>308505.87605823</v>
      </c>
      <c r="O1639" t="str">
        <f t="shared" si="77"/>
        <v>BEHOLD</v>
      </c>
      <c r="P1639" s="1" t="s">
        <v>6579</v>
      </c>
    </row>
    <row r="1640" spans="1:16" ht="15" customHeight="1" x14ac:dyDescent="0.2">
      <c r="A1640" s="1" t="s">
        <v>4794</v>
      </c>
      <c r="B1640" s="1" t="s">
        <v>4795</v>
      </c>
      <c r="C1640" s="1" t="s">
        <v>9</v>
      </c>
      <c r="D1640" s="1" t="s">
        <v>3</v>
      </c>
      <c r="E1640" s="5">
        <v>42844</v>
      </c>
      <c r="F1640" s="5">
        <v>46155</v>
      </c>
      <c r="G1640" s="2">
        <v>81.399209999999997</v>
      </c>
      <c r="H1640" s="1" t="s">
        <v>10</v>
      </c>
      <c r="I1640" s="2">
        <v>139.77010079999999</v>
      </c>
      <c r="J1640" s="1" t="s">
        <v>366</v>
      </c>
      <c r="K1640" s="1" t="s">
        <v>4796</v>
      </c>
      <c r="L1640" s="2">
        <v>3233.6239999999998</v>
      </c>
      <c r="M1640">
        <f t="shared" si="75"/>
        <v>263214.43903703999</v>
      </c>
      <c r="N1640">
        <f t="shared" si="76"/>
        <v>23293.31318911858</v>
      </c>
      <c r="O1640" t="str">
        <f t="shared" si="77"/>
        <v>FJERN</v>
      </c>
      <c r="P1640" s="1" t="s">
        <v>6580</v>
      </c>
    </row>
    <row r="1641" spans="1:16" ht="15" customHeight="1" x14ac:dyDescent="0.2">
      <c r="A1641" s="1" t="s">
        <v>4797</v>
      </c>
      <c r="B1641" s="1" t="s">
        <v>4798</v>
      </c>
      <c r="C1641" s="1" t="s">
        <v>9</v>
      </c>
      <c r="D1641" s="1" t="s">
        <v>3</v>
      </c>
      <c r="E1641" s="5">
        <v>45218</v>
      </c>
      <c r="F1641" s="5">
        <v>46155</v>
      </c>
      <c r="G1641" s="2">
        <v>74.512829999999994</v>
      </c>
      <c r="H1641" s="1" t="s">
        <v>10</v>
      </c>
      <c r="I1641" s="2">
        <v>12214.717650959999</v>
      </c>
      <c r="J1641" s="1" t="s">
        <v>222</v>
      </c>
      <c r="K1641" s="1" t="s">
        <v>4799</v>
      </c>
      <c r="L1641" s="2">
        <v>233648.7</v>
      </c>
      <c r="M1641">
        <f t="shared" si="75"/>
        <v>17409825.862820998</v>
      </c>
      <c r="N1641">
        <f t="shared" si="76"/>
        <v>1540692.5542319466</v>
      </c>
      <c r="O1641" t="str">
        <f t="shared" si="77"/>
        <v>BEHOLD</v>
      </c>
      <c r="P1641" s="1" t="s">
        <v>6581</v>
      </c>
    </row>
    <row r="1642" spans="1:16" ht="15" customHeight="1" x14ac:dyDescent="0.2">
      <c r="A1642" s="1" t="s">
        <v>4800</v>
      </c>
      <c r="B1642" s="1" t="s">
        <v>4801</v>
      </c>
      <c r="C1642" s="1" t="s">
        <v>9</v>
      </c>
      <c r="D1642" s="1" t="s">
        <v>3</v>
      </c>
      <c r="E1642" s="5">
        <v>42002</v>
      </c>
      <c r="F1642" s="5">
        <v>46155</v>
      </c>
      <c r="G1642" s="2">
        <v>40.769930000000002</v>
      </c>
      <c r="H1642" s="1" t="s">
        <v>10</v>
      </c>
      <c r="I1642" s="2">
        <v>164.52771227349899</v>
      </c>
      <c r="J1642" s="1" t="s">
        <v>76</v>
      </c>
      <c r="K1642" s="1" t="s">
        <v>4802</v>
      </c>
      <c r="L1642" s="2">
        <v>8342.8729999999996</v>
      </c>
      <c r="M1642">
        <f t="shared" si="75"/>
        <v>340138.34820889001</v>
      </c>
      <c r="N1642">
        <f t="shared" si="76"/>
        <v>30100.738779547788</v>
      </c>
      <c r="O1642" t="str">
        <f t="shared" si="77"/>
        <v>FJERN</v>
      </c>
      <c r="P1642" s="1" t="s">
        <v>6582</v>
      </c>
    </row>
    <row r="1643" spans="1:16" ht="15" customHeight="1" x14ac:dyDescent="0.2">
      <c r="A1643" s="1" t="s">
        <v>4803</v>
      </c>
      <c r="B1643" s="1" t="s">
        <v>4804</v>
      </c>
      <c r="C1643" s="1" t="s">
        <v>9</v>
      </c>
      <c r="D1643" s="1" t="s">
        <v>3</v>
      </c>
      <c r="E1643" s="5">
        <v>37049</v>
      </c>
      <c r="F1643" s="5">
        <v>46155</v>
      </c>
      <c r="G1643" s="2">
        <v>48.713639999999998</v>
      </c>
      <c r="H1643" s="1" t="s">
        <v>10</v>
      </c>
      <c r="I1643" s="2">
        <v>18089.706188</v>
      </c>
      <c r="J1643" s="1" t="s">
        <v>23</v>
      </c>
      <c r="K1643" s="1" t="s">
        <v>4805</v>
      </c>
      <c r="L1643" s="2">
        <v>56256.76</v>
      </c>
      <c r="M1643">
        <f t="shared" si="75"/>
        <v>2740471.5542064002</v>
      </c>
      <c r="N1643">
        <f t="shared" si="76"/>
        <v>242519.60656693805</v>
      </c>
      <c r="O1643" t="str">
        <f t="shared" si="77"/>
        <v>BEHOLD</v>
      </c>
      <c r="P1643" s="1" t="s">
        <v>6583</v>
      </c>
    </row>
    <row r="1644" spans="1:16" ht="15" customHeight="1" x14ac:dyDescent="0.2">
      <c r="A1644" s="1" t="s">
        <v>4806</v>
      </c>
      <c r="B1644" s="1" t="s">
        <v>4807</v>
      </c>
      <c r="C1644" s="1" t="s">
        <v>9</v>
      </c>
      <c r="D1644" s="1" t="s">
        <v>3</v>
      </c>
      <c r="E1644" s="5">
        <v>44455</v>
      </c>
      <c r="F1644" s="5">
        <v>46155</v>
      </c>
      <c r="G1644" s="2">
        <v>18.139119999999998</v>
      </c>
      <c r="H1644" s="1" t="s">
        <v>10</v>
      </c>
      <c r="I1644" s="2">
        <v>523.22082383999998</v>
      </c>
      <c r="J1644" s="1" t="s">
        <v>184</v>
      </c>
      <c r="K1644" s="1" t="s">
        <v>4808</v>
      </c>
      <c r="L1644" s="2">
        <v>89178.34</v>
      </c>
      <c r="M1644">
        <f t="shared" si="75"/>
        <v>1617616.6106607998</v>
      </c>
      <c r="N1644">
        <f t="shared" si="76"/>
        <v>143151.91244785837</v>
      </c>
      <c r="O1644" t="str">
        <f t="shared" si="77"/>
        <v>BEHOLD</v>
      </c>
      <c r="P1644" s="1" t="s">
        <v>6584</v>
      </c>
    </row>
    <row r="1645" spans="1:16" ht="15" customHeight="1" x14ac:dyDescent="0.2">
      <c r="A1645" s="1" t="s">
        <v>4809</v>
      </c>
      <c r="B1645" s="1" t="s">
        <v>4810</v>
      </c>
      <c r="C1645" s="1" t="s">
        <v>9</v>
      </c>
      <c r="D1645" s="1" t="s">
        <v>3</v>
      </c>
      <c r="E1645" s="5">
        <v>45583</v>
      </c>
      <c r="F1645" s="5">
        <v>46155</v>
      </c>
      <c r="G1645" s="2">
        <v>37.17154</v>
      </c>
      <c r="H1645" s="1" t="s">
        <v>10</v>
      </c>
      <c r="I1645" s="2">
        <v>8156</v>
      </c>
      <c r="J1645" s="1" t="s">
        <v>61</v>
      </c>
      <c r="K1645" s="1" t="s">
        <v>4811</v>
      </c>
      <c r="L1645" s="2">
        <v>440791</v>
      </c>
      <c r="M1645">
        <f t="shared" si="75"/>
        <v>16384880.288140001</v>
      </c>
      <c r="N1645">
        <f t="shared" si="76"/>
        <v>1449989.4060300884</v>
      </c>
      <c r="O1645" t="str">
        <f t="shared" si="77"/>
        <v>BEHOLD</v>
      </c>
      <c r="P1645" s="1" t="s">
        <v>6585</v>
      </c>
    </row>
    <row r="1646" spans="1:16" ht="15" customHeight="1" x14ac:dyDescent="0.2">
      <c r="A1646" s="1" t="s">
        <v>4812</v>
      </c>
      <c r="B1646" s="1" t="s">
        <v>4813</v>
      </c>
      <c r="C1646" s="1" t="s">
        <v>9</v>
      </c>
      <c r="D1646" s="1" t="s">
        <v>3</v>
      </c>
      <c r="E1646" s="5">
        <v>44389</v>
      </c>
      <c r="F1646" s="5">
        <v>46155</v>
      </c>
      <c r="G1646" s="2">
        <v>157.3099</v>
      </c>
      <c r="H1646" s="1" t="s">
        <v>10</v>
      </c>
      <c r="I1646" s="2">
        <v>49.754591040000001</v>
      </c>
      <c r="J1646" s="1" t="s">
        <v>236</v>
      </c>
      <c r="K1646" s="1" t="s">
        <v>4814</v>
      </c>
      <c r="L1646" s="2">
        <v>10894.86</v>
      </c>
      <c r="M1646">
        <f t="shared" si="75"/>
        <v>1713869.337114</v>
      </c>
      <c r="N1646">
        <f t="shared" si="76"/>
        <v>151669.85284194688</v>
      </c>
      <c r="O1646" t="str">
        <f t="shared" si="77"/>
        <v>BEHOLD</v>
      </c>
      <c r="P1646" s="1" t="s">
        <v>6586</v>
      </c>
    </row>
    <row r="1647" spans="1:16" ht="15" customHeight="1" x14ac:dyDescent="0.2">
      <c r="A1647" s="1" t="s">
        <v>4815</v>
      </c>
      <c r="B1647" s="1" t="s">
        <v>4816</v>
      </c>
      <c r="C1647" s="1" t="s">
        <v>9</v>
      </c>
      <c r="D1647" s="1" t="s">
        <v>3</v>
      </c>
      <c r="E1647" s="5">
        <v>41950</v>
      </c>
      <c r="F1647" s="5">
        <v>46155</v>
      </c>
      <c r="G1647" s="2">
        <v>10.085520000000001</v>
      </c>
      <c r="H1647" s="1" t="s">
        <v>10</v>
      </c>
      <c r="I1647" s="2">
        <v>155.10784086000001</v>
      </c>
      <c r="J1647" s="1" t="s">
        <v>366</v>
      </c>
      <c r="K1647" s="1" t="s">
        <v>4817</v>
      </c>
      <c r="L1647" s="2">
        <v>160563</v>
      </c>
      <c r="M1647">
        <f t="shared" si="75"/>
        <v>1619361.34776</v>
      </c>
      <c r="N1647">
        <f t="shared" si="76"/>
        <v>143306.31396106194</v>
      </c>
      <c r="O1647" t="str">
        <f t="shared" si="77"/>
        <v>BEHOLD</v>
      </c>
      <c r="P1647" s="1" t="s">
        <v>6587</v>
      </c>
    </row>
    <row r="1648" spans="1:16" ht="15" customHeight="1" x14ac:dyDescent="0.2">
      <c r="A1648" s="1" t="s">
        <v>4818</v>
      </c>
      <c r="B1648" s="1" t="s">
        <v>4819</v>
      </c>
      <c r="C1648" s="1" t="s">
        <v>9</v>
      </c>
      <c r="D1648" s="1" t="s">
        <v>3</v>
      </c>
      <c r="E1648" s="5">
        <v>41955</v>
      </c>
      <c r="F1648" s="5">
        <v>46155</v>
      </c>
      <c r="G1648" s="2">
        <v>7.8563470000000004</v>
      </c>
      <c r="H1648" s="1" t="s">
        <v>10</v>
      </c>
      <c r="I1648" s="2">
        <v>3487.0646865600002</v>
      </c>
      <c r="J1648" s="1" t="s">
        <v>5</v>
      </c>
      <c r="K1648" s="1" t="s">
        <v>4820</v>
      </c>
      <c r="L1648" s="2">
        <v>534258.9</v>
      </c>
      <c r="M1648">
        <f t="shared" si="75"/>
        <v>4197323.3062383002</v>
      </c>
      <c r="N1648">
        <f t="shared" si="76"/>
        <v>371444.54037507076</v>
      </c>
      <c r="O1648" t="str">
        <f t="shared" si="77"/>
        <v>BEHOLD</v>
      </c>
      <c r="P1648" s="1" t="s">
        <v>6588</v>
      </c>
    </row>
    <row r="1649" spans="1:16" ht="15" customHeight="1" x14ac:dyDescent="0.2">
      <c r="A1649" s="1" t="s">
        <v>4821</v>
      </c>
      <c r="B1649" s="1" t="s">
        <v>4822</v>
      </c>
      <c r="C1649" s="1" t="s">
        <v>9</v>
      </c>
      <c r="D1649" s="1" t="s">
        <v>3</v>
      </c>
      <c r="E1649" s="5">
        <v>45821</v>
      </c>
      <c r="F1649" s="5">
        <v>46155</v>
      </c>
      <c r="G1649" s="2">
        <v>88.336079999999995</v>
      </c>
      <c r="H1649" s="1" t="s">
        <v>10</v>
      </c>
      <c r="I1649" s="2">
        <v>5213</v>
      </c>
      <c r="J1649" s="1" t="s">
        <v>15</v>
      </c>
      <c r="K1649" s="1" t="s">
        <v>4823</v>
      </c>
      <c r="L1649" s="2">
        <v>224911.6</v>
      </c>
      <c r="M1649">
        <f t="shared" si="75"/>
        <v>19867809.090528</v>
      </c>
      <c r="N1649">
        <f t="shared" si="76"/>
        <v>1758213.1938520353</v>
      </c>
      <c r="O1649" t="str">
        <f t="shared" si="77"/>
        <v>FJERN</v>
      </c>
      <c r="P1649" s="1" t="s">
        <v>6589</v>
      </c>
    </row>
    <row r="1650" spans="1:16" ht="15" customHeight="1" x14ac:dyDescent="0.2">
      <c r="A1650" s="1" t="s">
        <v>4824</v>
      </c>
      <c r="B1650" s="1" t="s">
        <v>4825</v>
      </c>
      <c r="C1650" s="1" t="s">
        <v>9</v>
      </c>
      <c r="D1650" s="1" t="s">
        <v>3</v>
      </c>
      <c r="E1650" s="5">
        <v>41957</v>
      </c>
      <c r="F1650" s="5">
        <v>46155</v>
      </c>
      <c r="G1650" s="2">
        <v>11.63964</v>
      </c>
      <c r="H1650" s="1" t="s">
        <v>10</v>
      </c>
      <c r="I1650" s="2">
        <v>105.0244634</v>
      </c>
      <c r="J1650" s="1" t="s">
        <v>34</v>
      </c>
      <c r="K1650" s="1" t="s">
        <v>4826</v>
      </c>
      <c r="L1650" s="2">
        <v>14509.67</v>
      </c>
      <c r="M1650">
        <f t="shared" si="75"/>
        <v>168887.3353188</v>
      </c>
      <c r="N1650">
        <f t="shared" si="76"/>
        <v>14945.781886619468</v>
      </c>
      <c r="O1650" t="str">
        <f t="shared" si="77"/>
        <v>FJERN</v>
      </c>
      <c r="P1650" s="1" t="s">
        <v>6590</v>
      </c>
    </row>
    <row r="1651" spans="1:16" ht="15" customHeight="1" x14ac:dyDescent="0.2">
      <c r="A1651" s="1" t="s">
        <v>4827</v>
      </c>
      <c r="B1651" s="1" t="s">
        <v>4828</v>
      </c>
      <c r="C1651" s="1" t="s">
        <v>9</v>
      </c>
      <c r="D1651" s="1" t="s">
        <v>3</v>
      </c>
      <c r="E1651" s="5">
        <v>42536</v>
      </c>
      <c r="F1651" s="5">
        <v>45499</v>
      </c>
      <c r="G1651" s="2">
        <v>162.60830000000001</v>
      </c>
      <c r="H1651" s="1" t="s">
        <v>10</v>
      </c>
      <c r="I1651" s="2">
        <v>12.473212359</v>
      </c>
      <c r="J1651" s="1" t="s">
        <v>366</v>
      </c>
      <c r="K1651" s="1" t="s">
        <v>4829</v>
      </c>
      <c r="L1651" s="2">
        <v>7387.4539999999997</v>
      </c>
      <c r="M1651">
        <f t="shared" si="75"/>
        <v>1201261.3362682001</v>
      </c>
      <c r="N1651">
        <f t="shared" si="76"/>
        <v>106306.31294408849</v>
      </c>
      <c r="O1651" t="str">
        <f t="shared" si="77"/>
        <v>BEHOLD</v>
      </c>
      <c r="P1651" s="1" t="s">
        <v>6591</v>
      </c>
    </row>
    <row r="1652" spans="1:16" ht="15" customHeight="1" x14ac:dyDescent="0.2">
      <c r="A1652" s="1" t="s">
        <v>4830</v>
      </c>
      <c r="B1652" s="1" t="s">
        <v>4831</v>
      </c>
      <c r="C1652" s="1" t="s">
        <v>9</v>
      </c>
      <c r="D1652" s="1" t="s">
        <v>3</v>
      </c>
      <c r="E1652" s="5">
        <v>37426</v>
      </c>
      <c r="F1652" s="5">
        <v>46155</v>
      </c>
      <c r="G1652" s="2">
        <v>148.43940000000001</v>
      </c>
      <c r="H1652" s="1" t="s">
        <v>10</v>
      </c>
      <c r="I1652" s="2">
        <v>2900.6786340399199</v>
      </c>
      <c r="J1652" s="1" t="s">
        <v>122</v>
      </c>
      <c r="K1652" s="1" t="s">
        <v>4832</v>
      </c>
      <c r="L1652" s="2">
        <v>136696.4</v>
      </c>
      <c r="M1652">
        <f t="shared" si="75"/>
        <v>20291131.598159999</v>
      </c>
      <c r="N1652">
        <f t="shared" si="76"/>
        <v>1795675.3626690262</v>
      </c>
      <c r="O1652" t="str">
        <f t="shared" si="77"/>
        <v>BEHOLD</v>
      </c>
      <c r="P1652" s="1" t="s">
        <v>6592</v>
      </c>
    </row>
    <row r="1653" spans="1:16" ht="15" customHeight="1" x14ac:dyDescent="0.2">
      <c r="A1653" s="1" t="s">
        <v>4833</v>
      </c>
      <c r="B1653" s="1" t="s">
        <v>4834</v>
      </c>
      <c r="C1653" s="1" t="s">
        <v>9</v>
      </c>
      <c r="D1653" s="1" t="s">
        <v>255</v>
      </c>
      <c r="E1653" s="5">
        <v>45566</v>
      </c>
      <c r="F1653" s="5">
        <v>46155</v>
      </c>
      <c r="G1653" s="2">
        <v>4.7809749999999998</v>
      </c>
      <c r="H1653" s="1" t="s">
        <v>10</v>
      </c>
      <c r="I1653" s="2">
        <v>770.29230988500001</v>
      </c>
      <c r="J1653" s="1" t="s">
        <v>167</v>
      </c>
      <c r="K1653" s="1" t="s">
        <v>4835</v>
      </c>
      <c r="L1653" s="2">
        <v>178491.7</v>
      </c>
      <c r="M1653">
        <f t="shared" si="75"/>
        <v>853364.35540750006</v>
      </c>
      <c r="N1653">
        <f t="shared" si="76"/>
        <v>75518.969505088491</v>
      </c>
      <c r="O1653" t="str">
        <f t="shared" si="77"/>
        <v>FJERN</v>
      </c>
      <c r="P1653" s="1" t="s">
        <v>6593</v>
      </c>
    </row>
    <row r="1654" spans="1:16" ht="15" customHeight="1" x14ac:dyDescent="0.2">
      <c r="A1654" s="1" t="s">
        <v>4836</v>
      </c>
      <c r="B1654" s="1" t="s">
        <v>4837</v>
      </c>
      <c r="C1654" s="1" t="s">
        <v>9</v>
      </c>
      <c r="D1654" s="1" t="s">
        <v>3</v>
      </c>
      <c r="E1654" s="5">
        <v>45462</v>
      </c>
      <c r="F1654" s="5">
        <v>46155</v>
      </c>
      <c r="G1654" s="2">
        <v>4.0875700000000004</v>
      </c>
      <c r="H1654" s="1" t="s">
        <v>10</v>
      </c>
      <c r="I1654" s="2"/>
      <c r="J1654" s="1" t="s">
        <v>222</v>
      </c>
      <c r="K1654" s="1" t="s">
        <v>4838</v>
      </c>
      <c r="L1654" s="2">
        <v>17127.77</v>
      </c>
      <c r="M1654">
        <f t="shared" si="75"/>
        <v>70010.958818900006</v>
      </c>
      <c r="N1654">
        <f t="shared" si="76"/>
        <v>6195.660072469027</v>
      </c>
      <c r="O1654" t="str">
        <f t="shared" si="77"/>
        <v>FJERN</v>
      </c>
      <c r="P1654" s="1"/>
    </row>
    <row r="1655" spans="1:16" ht="15" customHeight="1" x14ac:dyDescent="0.2">
      <c r="A1655" s="1" t="s">
        <v>4839</v>
      </c>
      <c r="B1655" s="1" t="s">
        <v>4840</v>
      </c>
      <c r="C1655" s="1" t="s">
        <v>9</v>
      </c>
      <c r="D1655" s="1" t="s">
        <v>3</v>
      </c>
      <c r="E1655" s="5">
        <v>42860</v>
      </c>
      <c r="F1655" s="5">
        <v>46155</v>
      </c>
      <c r="G1655" s="2">
        <v>420.45190000000002</v>
      </c>
      <c r="H1655" s="1" t="s">
        <v>10</v>
      </c>
      <c r="I1655" s="2">
        <v>14.1026925</v>
      </c>
      <c r="J1655" s="1" t="s">
        <v>38</v>
      </c>
      <c r="K1655" s="1" t="s">
        <v>4841</v>
      </c>
      <c r="L1655" s="2">
        <v>3787.788</v>
      </c>
      <c r="M1655">
        <f t="shared" si="75"/>
        <v>1592582.6613972001</v>
      </c>
      <c r="N1655">
        <f t="shared" si="76"/>
        <v>140936.51870771681</v>
      </c>
      <c r="O1655" t="str">
        <f t="shared" si="77"/>
        <v>BEHOLD</v>
      </c>
      <c r="P1655" s="1" t="s">
        <v>6594</v>
      </c>
    </row>
    <row r="1656" spans="1:16" ht="15" customHeight="1" x14ac:dyDescent="0.2">
      <c r="A1656" s="1" t="s">
        <v>4842</v>
      </c>
      <c r="B1656" s="1" t="s">
        <v>4843</v>
      </c>
      <c r="C1656" s="1" t="s">
        <v>9</v>
      </c>
      <c r="D1656" s="1" t="s">
        <v>3</v>
      </c>
      <c r="E1656" s="5">
        <v>44509</v>
      </c>
      <c r="F1656" s="5">
        <v>46155</v>
      </c>
      <c r="G1656" s="2">
        <v>9.3049769999999992</v>
      </c>
      <c r="H1656" s="1" t="s">
        <v>10</v>
      </c>
      <c r="I1656" s="2">
        <v>30.115032500000002</v>
      </c>
      <c r="J1656" s="1" t="s">
        <v>236</v>
      </c>
      <c r="K1656" s="1" t="s">
        <v>4844</v>
      </c>
      <c r="L1656" s="2">
        <v>5592.7030000000004</v>
      </c>
      <c r="M1656">
        <f t="shared" si="75"/>
        <v>52039.972782830999</v>
      </c>
      <c r="N1656">
        <f t="shared" si="76"/>
        <v>4605.3073259142475</v>
      </c>
      <c r="O1656" t="str">
        <f t="shared" si="77"/>
        <v>FJERN</v>
      </c>
      <c r="P1656" s="1"/>
    </row>
    <row r="1657" spans="1:16" ht="15" customHeight="1" x14ac:dyDescent="0.2">
      <c r="A1657" s="1" t="s">
        <v>4845</v>
      </c>
      <c r="B1657" s="1" t="s">
        <v>4846</v>
      </c>
      <c r="C1657" s="1" t="s">
        <v>9</v>
      </c>
      <c r="D1657" s="1" t="s">
        <v>3</v>
      </c>
      <c r="E1657" s="5">
        <v>41969</v>
      </c>
      <c r="F1657" s="5">
        <v>46155</v>
      </c>
      <c r="G1657" s="2">
        <v>235.18389999999999</v>
      </c>
      <c r="H1657" s="1" t="s">
        <v>10</v>
      </c>
      <c r="I1657" s="2">
        <v>25859.591247600001</v>
      </c>
      <c r="J1657" s="1" t="s">
        <v>122</v>
      </c>
      <c r="K1657" s="1" t="s">
        <v>4847</v>
      </c>
      <c r="L1657" s="2">
        <v>250078.8</v>
      </c>
      <c r="M1657">
        <f t="shared" si="75"/>
        <v>58814507.491319999</v>
      </c>
      <c r="N1657">
        <f t="shared" si="76"/>
        <v>5204823.6717982292</v>
      </c>
      <c r="O1657" t="str">
        <f t="shared" si="77"/>
        <v>BEHOLD</v>
      </c>
      <c r="P1657" s="1" t="s">
        <v>6595</v>
      </c>
    </row>
    <row r="1658" spans="1:16" ht="15" customHeight="1" x14ac:dyDescent="0.2">
      <c r="A1658" s="1" t="s">
        <v>4848</v>
      </c>
      <c r="B1658" s="1" t="s">
        <v>4849</v>
      </c>
      <c r="C1658" s="1" t="s">
        <v>9</v>
      </c>
      <c r="D1658" s="1" t="s">
        <v>3</v>
      </c>
      <c r="E1658" s="5">
        <v>45695</v>
      </c>
      <c r="F1658" s="5">
        <v>46155</v>
      </c>
      <c r="G1658" s="2">
        <v>112.3603</v>
      </c>
      <c r="H1658" s="1" t="s">
        <v>10</v>
      </c>
      <c r="I1658" s="2">
        <v>21382.820562000001</v>
      </c>
      <c r="J1658" s="1" t="s">
        <v>122</v>
      </c>
      <c r="K1658" s="1" t="s">
        <v>4850</v>
      </c>
      <c r="L1658" s="2">
        <v>458787.8</v>
      </c>
      <c r="M1658">
        <f t="shared" si="75"/>
        <v>51549534.844339997</v>
      </c>
      <c r="N1658">
        <f t="shared" si="76"/>
        <v>4561905.7384371674</v>
      </c>
      <c r="O1658" t="str">
        <f t="shared" si="77"/>
        <v>FJERN</v>
      </c>
      <c r="P1658" s="1" t="s">
        <v>6596</v>
      </c>
    </row>
    <row r="1659" spans="1:16" ht="15" customHeight="1" x14ac:dyDescent="0.2">
      <c r="A1659" s="1" t="s">
        <v>4851</v>
      </c>
      <c r="B1659" s="1" t="s">
        <v>4852</v>
      </c>
      <c r="C1659" s="1" t="s">
        <v>9</v>
      </c>
      <c r="D1659" s="1" t="s">
        <v>3</v>
      </c>
      <c r="E1659" s="5">
        <v>46031</v>
      </c>
      <c r="F1659" s="5">
        <v>46155</v>
      </c>
      <c r="G1659" s="2">
        <v>13.00403</v>
      </c>
      <c r="H1659" s="1" t="s">
        <v>10</v>
      </c>
      <c r="I1659" s="2"/>
      <c r="J1659" s="1" t="s">
        <v>15</v>
      </c>
      <c r="K1659" s="1" t="s">
        <v>4853</v>
      </c>
      <c r="L1659" s="2">
        <v>576628.19999999995</v>
      </c>
      <c r="M1659">
        <f t="shared" si="75"/>
        <v>7498490.4116459992</v>
      </c>
      <c r="N1659">
        <f t="shared" si="76"/>
        <v>663583.22226955742</v>
      </c>
      <c r="O1659" t="str">
        <f t="shared" si="77"/>
        <v>FJERN</v>
      </c>
      <c r="P1659" s="1" t="s">
        <v>6597</v>
      </c>
    </row>
    <row r="1660" spans="1:16" ht="15" customHeight="1" x14ac:dyDescent="0.2">
      <c r="A1660" s="1" t="s">
        <v>4854</v>
      </c>
      <c r="B1660" s="1" t="s">
        <v>4855</v>
      </c>
      <c r="C1660" s="1" t="s">
        <v>9</v>
      </c>
      <c r="D1660" s="1" t="s">
        <v>3</v>
      </c>
      <c r="E1660" s="5">
        <v>45847</v>
      </c>
      <c r="F1660" s="5">
        <v>46155</v>
      </c>
      <c r="G1660" s="2">
        <v>14.96251</v>
      </c>
      <c r="H1660" s="1" t="s">
        <v>10</v>
      </c>
      <c r="I1660" s="2">
        <v>1456.4008094999999</v>
      </c>
      <c r="J1660" s="1" t="s">
        <v>23</v>
      </c>
      <c r="K1660" s="1" t="s">
        <v>4856</v>
      </c>
      <c r="L1660" s="2">
        <v>14479.48</v>
      </c>
      <c r="M1660">
        <f t="shared" si="75"/>
        <v>216649.36429480001</v>
      </c>
      <c r="N1660">
        <f t="shared" si="76"/>
        <v>19172.510114584071</v>
      </c>
      <c r="O1660" t="str">
        <f t="shared" si="77"/>
        <v>FJERN</v>
      </c>
      <c r="P1660" s="1" t="s">
        <v>6598</v>
      </c>
    </row>
    <row r="1661" spans="1:16" ht="15" customHeight="1" x14ac:dyDescent="0.2">
      <c r="A1661" s="1" t="s">
        <v>4857</v>
      </c>
      <c r="B1661" s="1" t="s">
        <v>4858</v>
      </c>
      <c r="C1661" s="1" t="s">
        <v>9</v>
      </c>
      <c r="D1661" s="1" t="s">
        <v>3</v>
      </c>
      <c r="E1661" s="5">
        <v>43091</v>
      </c>
      <c r="F1661" s="5">
        <v>45909</v>
      </c>
      <c r="G1661" s="2">
        <v>654.24440000000004</v>
      </c>
      <c r="H1661" s="1" t="s">
        <v>10</v>
      </c>
      <c r="I1661" s="2">
        <v>6.4543710191999999</v>
      </c>
      <c r="J1661" s="1" t="s">
        <v>23</v>
      </c>
      <c r="K1661" s="1" t="s">
        <v>4859</v>
      </c>
      <c r="L1661" s="2">
        <v>22867.25</v>
      </c>
      <c r="M1661">
        <f t="shared" si="75"/>
        <v>14960770.255900001</v>
      </c>
      <c r="N1661">
        <f t="shared" si="76"/>
        <v>1323961.9695486727</v>
      </c>
      <c r="O1661" t="str">
        <f t="shared" si="77"/>
        <v>BEHOLD</v>
      </c>
      <c r="P1661" s="1" t="s">
        <v>6599</v>
      </c>
    </row>
    <row r="1662" spans="1:16" ht="15" customHeight="1" x14ac:dyDescent="0.2">
      <c r="A1662" s="1" t="s">
        <v>4860</v>
      </c>
      <c r="B1662" s="1" t="s">
        <v>4861</v>
      </c>
      <c r="C1662" s="1" t="s">
        <v>9</v>
      </c>
      <c r="D1662" s="1" t="s">
        <v>3</v>
      </c>
      <c r="E1662" s="5">
        <v>41974</v>
      </c>
      <c r="F1662" s="5">
        <v>43228</v>
      </c>
      <c r="G1662" s="2">
        <v>2.8050160000000002</v>
      </c>
      <c r="H1662" s="1" t="s">
        <v>10</v>
      </c>
      <c r="I1662" s="2"/>
      <c r="J1662" s="1" t="s">
        <v>548</v>
      </c>
      <c r="K1662" s="1" t="s">
        <v>4862</v>
      </c>
      <c r="L1662" s="2">
        <v>115989.5</v>
      </c>
      <c r="M1662">
        <f t="shared" si="75"/>
        <v>325352.40333200002</v>
      </c>
      <c r="N1662">
        <f t="shared" si="76"/>
        <v>28792.248082477876</v>
      </c>
      <c r="O1662" t="str">
        <f t="shared" si="77"/>
        <v>FJERN</v>
      </c>
      <c r="P1662" s="1" t="s">
        <v>6600</v>
      </c>
    </row>
    <row r="1663" spans="1:16" ht="15" customHeight="1" x14ac:dyDescent="0.2">
      <c r="A1663" s="1" t="s">
        <v>4863</v>
      </c>
      <c r="B1663" s="1" t="s">
        <v>4864</v>
      </c>
      <c r="C1663" s="1" t="s">
        <v>9</v>
      </c>
      <c r="D1663" s="1" t="s">
        <v>3</v>
      </c>
      <c r="E1663" s="5">
        <v>46000</v>
      </c>
      <c r="F1663" s="5">
        <v>46155</v>
      </c>
      <c r="G1663" s="2">
        <v>64.347260000000006</v>
      </c>
      <c r="H1663" s="1" t="s">
        <v>10</v>
      </c>
      <c r="I1663" s="2">
        <v>1855.9856016000001</v>
      </c>
      <c r="J1663" s="1" t="s">
        <v>122</v>
      </c>
      <c r="K1663" s="1" t="s">
        <v>4865</v>
      </c>
      <c r="L1663" s="2">
        <v>67784.100000000006</v>
      </c>
      <c r="M1663">
        <f t="shared" si="75"/>
        <v>4361721.1065660007</v>
      </c>
      <c r="N1663">
        <f t="shared" si="76"/>
        <v>385993.01828017703</v>
      </c>
      <c r="O1663" t="str">
        <f t="shared" si="77"/>
        <v>FJERN</v>
      </c>
      <c r="P1663" s="1" t="s">
        <v>6601</v>
      </c>
    </row>
    <row r="1664" spans="1:16" ht="15" customHeight="1" x14ac:dyDescent="0.2">
      <c r="A1664" s="1" t="s">
        <v>4866</v>
      </c>
      <c r="B1664" s="1" t="s">
        <v>4867</v>
      </c>
      <c r="C1664" s="1" t="s">
        <v>9</v>
      </c>
      <c r="D1664" s="1" t="s">
        <v>3</v>
      </c>
      <c r="E1664" s="5">
        <v>44379</v>
      </c>
      <c r="F1664" s="5">
        <v>46155</v>
      </c>
      <c r="G1664" s="2">
        <v>457.92910000000001</v>
      </c>
      <c r="H1664" s="1" t="s">
        <v>10</v>
      </c>
      <c r="I1664" s="2">
        <v>4041.0108791886501</v>
      </c>
      <c r="J1664" s="1" t="s">
        <v>115</v>
      </c>
      <c r="K1664" s="1" t="s">
        <v>4868</v>
      </c>
      <c r="L1664" s="2">
        <v>113585.60000000001</v>
      </c>
      <c r="M1664">
        <f t="shared" si="75"/>
        <v>52014151.580960006</v>
      </c>
      <c r="N1664">
        <f t="shared" si="76"/>
        <v>4603022.2638017703</v>
      </c>
      <c r="O1664" t="str">
        <f t="shared" si="77"/>
        <v>BEHOLD</v>
      </c>
      <c r="P1664" s="1" t="s">
        <v>6602</v>
      </c>
    </row>
    <row r="1665" spans="1:16" ht="15" customHeight="1" x14ac:dyDescent="0.2">
      <c r="A1665" s="1" t="s">
        <v>4869</v>
      </c>
      <c r="B1665" s="1" t="s">
        <v>4870</v>
      </c>
      <c r="C1665" s="1" t="s">
        <v>9</v>
      </c>
      <c r="D1665" s="1" t="s">
        <v>3</v>
      </c>
      <c r="E1665" s="5">
        <v>42809</v>
      </c>
      <c r="F1665" s="5">
        <v>45758</v>
      </c>
      <c r="G1665" s="2">
        <v>31.15925</v>
      </c>
      <c r="H1665" s="1" t="s">
        <v>10</v>
      </c>
      <c r="I1665" s="2">
        <v>9.4565025600000006</v>
      </c>
      <c r="J1665" s="1" t="s">
        <v>64</v>
      </c>
      <c r="K1665" s="1" t="s">
        <v>4871</v>
      </c>
      <c r="L1665" s="2">
        <v>26335.61</v>
      </c>
      <c r="M1665">
        <f t="shared" si="75"/>
        <v>820597.85589250003</v>
      </c>
      <c r="N1665">
        <f t="shared" si="76"/>
        <v>72619.279282522126</v>
      </c>
      <c r="O1665" t="str">
        <f t="shared" si="77"/>
        <v>FJERN</v>
      </c>
      <c r="P1665" s="1"/>
    </row>
    <row r="1666" spans="1:16" ht="15" customHeight="1" x14ac:dyDescent="0.2">
      <c r="A1666" s="1" t="s">
        <v>4872</v>
      </c>
      <c r="B1666" s="1" t="s">
        <v>4873</v>
      </c>
      <c r="C1666" s="1" t="s">
        <v>9</v>
      </c>
      <c r="D1666" s="1" t="s">
        <v>3</v>
      </c>
      <c r="E1666" s="5">
        <v>45463</v>
      </c>
      <c r="F1666" s="5">
        <v>46155</v>
      </c>
      <c r="G1666" s="2">
        <v>19.193460000000002</v>
      </c>
      <c r="H1666" s="1" t="s">
        <v>10</v>
      </c>
      <c r="I1666" s="2">
        <v>896.31781613999999</v>
      </c>
      <c r="J1666" s="1" t="s">
        <v>366</v>
      </c>
      <c r="K1666" s="1" t="s">
        <v>4874</v>
      </c>
      <c r="L1666" s="2">
        <v>96531.62</v>
      </c>
      <c r="M1666">
        <f t="shared" si="75"/>
        <v>1852775.7872052002</v>
      </c>
      <c r="N1666">
        <f t="shared" si="76"/>
        <v>163962.45904470797</v>
      </c>
      <c r="O1666" t="str">
        <f t="shared" si="77"/>
        <v>BEHOLD</v>
      </c>
      <c r="P1666" s="1" t="s">
        <v>6603</v>
      </c>
    </row>
    <row r="1667" spans="1:16" ht="15" customHeight="1" x14ac:dyDescent="0.2">
      <c r="A1667" s="1" t="s">
        <v>4875</v>
      </c>
      <c r="B1667" s="1" t="s">
        <v>4876</v>
      </c>
      <c r="C1667" s="1" t="s">
        <v>9</v>
      </c>
      <c r="D1667" s="1" t="s">
        <v>3</v>
      </c>
      <c r="E1667" s="5">
        <v>45666</v>
      </c>
      <c r="F1667" s="5">
        <v>46155</v>
      </c>
      <c r="G1667" s="2">
        <v>13.33281</v>
      </c>
      <c r="H1667" s="1" t="s">
        <v>10</v>
      </c>
      <c r="I1667" s="2">
        <v>1513.66151121743</v>
      </c>
      <c r="J1667" s="1" t="s">
        <v>15</v>
      </c>
      <c r="K1667" s="1" t="s">
        <v>4877</v>
      </c>
      <c r="L1667" s="2">
        <v>79786.39</v>
      </c>
      <c r="M1667">
        <f t="shared" ref="M1667:M1730" si="78">IF(OR(G1667="",L1667=""),"",G1667*L1667)</f>
        <v>1063776.7784559</v>
      </c>
      <c r="N1667">
        <f t="shared" ref="N1667:N1730" si="79">IF(M1667="","",IF(H1667="DKK",M1667/7.45,IF(H1667="SEK",M1667/11.3,M1667)))</f>
        <v>94139.537916451329</v>
      </c>
      <c r="O1667" t="str">
        <f t="shared" ref="O1667:O1730" si="80">IF(AND(E1667&lt;=DATE(2024,12,31),F1667&gt;=DATE(2010,1,1),D1667="SHARE",N1667&gt;=100000),"BEHOLD","FJERN")</f>
        <v>FJERN</v>
      </c>
      <c r="P1667" s="1" t="s">
        <v>6604</v>
      </c>
    </row>
    <row r="1668" spans="1:16" ht="15" customHeight="1" x14ac:dyDescent="0.2">
      <c r="A1668" s="1" t="s">
        <v>4878</v>
      </c>
      <c r="B1668" s="1" t="s">
        <v>4879</v>
      </c>
      <c r="C1668" s="1" t="s">
        <v>9</v>
      </c>
      <c r="D1668" s="1" t="s">
        <v>3</v>
      </c>
      <c r="E1668" s="5">
        <v>45838</v>
      </c>
      <c r="F1668" s="5">
        <v>46155</v>
      </c>
      <c r="G1668" s="2">
        <v>25.676130000000001</v>
      </c>
      <c r="H1668" s="1" t="s">
        <v>10</v>
      </c>
      <c r="I1668" s="2">
        <v>568</v>
      </c>
      <c r="J1668" s="1" t="s">
        <v>11</v>
      </c>
      <c r="K1668" s="1" t="s">
        <v>4880</v>
      </c>
      <c r="L1668" s="2">
        <v>69321.59</v>
      </c>
      <c r="M1668">
        <f t="shared" si="78"/>
        <v>1779910.1566466999</v>
      </c>
      <c r="N1668">
        <f t="shared" si="79"/>
        <v>157514.1731545752</v>
      </c>
      <c r="O1668" t="str">
        <f t="shared" si="80"/>
        <v>FJERN</v>
      </c>
      <c r="P1668" s="1" t="s">
        <v>6605</v>
      </c>
    </row>
    <row r="1669" spans="1:16" ht="15" customHeight="1" x14ac:dyDescent="0.2">
      <c r="A1669" s="1" t="s">
        <v>4881</v>
      </c>
      <c r="B1669" s="1" t="s">
        <v>4882</v>
      </c>
      <c r="C1669" s="1" t="s">
        <v>9</v>
      </c>
      <c r="D1669" s="1" t="s">
        <v>3</v>
      </c>
      <c r="E1669" s="5">
        <v>41977</v>
      </c>
      <c r="F1669" s="5">
        <v>46155</v>
      </c>
      <c r="G1669" s="2">
        <v>138.19900000000001</v>
      </c>
      <c r="H1669" s="1" t="s">
        <v>10</v>
      </c>
      <c r="I1669" s="2">
        <v>15949.425646</v>
      </c>
      <c r="J1669" s="1" t="s">
        <v>61</v>
      </c>
      <c r="K1669" s="1" t="s">
        <v>4883</v>
      </c>
      <c r="L1669" s="2">
        <v>53509.63</v>
      </c>
      <c r="M1669">
        <f t="shared" si="78"/>
        <v>7394977.3563700002</v>
      </c>
      <c r="N1669">
        <f t="shared" si="79"/>
        <v>654422.77489999996</v>
      </c>
      <c r="O1669" t="str">
        <f t="shared" si="80"/>
        <v>BEHOLD</v>
      </c>
      <c r="P1669" s="1" t="s">
        <v>6606</v>
      </c>
    </row>
    <row r="1670" spans="1:16" ht="15" customHeight="1" x14ac:dyDescent="0.2">
      <c r="A1670" s="1" t="s">
        <v>4884</v>
      </c>
      <c r="B1670" s="1" t="s">
        <v>4885</v>
      </c>
      <c r="C1670" s="1" t="s">
        <v>9</v>
      </c>
      <c r="D1670" s="1" t="s">
        <v>3</v>
      </c>
      <c r="E1670" s="5">
        <v>45930</v>
      </c>
      <c r="F1670" s="5">
        <v>46155</v>
      </c>
      <c r="G1670" s="2">
        <v>0.29299809999999998</v>
      </c>
      <c r="H1670" s="1" t="s">
        <v>10</v>
      </c>
      <c r="I1670" s="2"/>
      <c r="J1670" s="1" t="s">
        <v>236</v>
      </c>
      <c r="K1670" s="1" t="s">
        <v>4886</v>
      </c>
      <c r="L1670" s="2">
        <v>184486</v>
      </c>
      <c r="M1670">
        <f t="shared" si="78"/>
        <v>54054.047476599997</v>
      </c>
      <c r="N1670">
        <f t="shared" si="79"/>
        <v>4783.5440244778756</v>
      </c>
      <c r="O1670" t="str">
        <f t="shared" si="80"/>
        <v>FJERN</v>
      </c>
      <c r="P1670" s="1" t="s">
        <v>6607</v>
      </c>
    </row>
    <row r="1671" spans="1:16" ht="15" customHeight="1" x14ac:dyDescent="0.2">
      <c r="A1671" s="1" t="s">
        <v>4887</v>
      </c>
      <c r="B1671" s="1" t="s">
        <v>4888</v>
      </c>
      <c r="C1671" s="1" t="s">
        <v>9</v>
      </c>
      <c r="D1671" s="1" t="s">
        <v>3</v>
      </c>
      <c r="E1671" s="5">
        <v>43441</v>
      </c>
      <c r="F1671" s="5">
        <v>46155</v>
      </c>
      <c r="G1671" s="2">
        <v>6924.0860000000002</v>
      </c>
      <c r="H1671" s="1" t="s">
        <v>10</v>
      </c>
      <c r="I1671" s="2">
        <v>472.58187487999999</v>
      </c>
      <c r="J1671" s="1" t="s">
        <v>34</v>
      </c>
      <c r="K1671" s="1" t="s">
        <v>4889</v>
      </c>
      <c r="L1671" s="2">
        <v>4542.2969999999996</v>
      </c>
      <c r="M1671">
        <f t="shared" si="78"/>
        <v>31451255.065541998</v>
      </c>
      <c r="N1671">
        <f t="shared" si="79"/>
        <v>2783296.908455044</v>
      </c>
      <c r="O1671" t="str">
        <f t="shared" si="80"/>
        <v>BEHOLD</v>
      </c>
      <c r="P1671" s="1" t="s">
        <v>6608</v>
      </c>
    </row>
    <row r="1672" spans="1:16" ht="15" customHeight="1" x14ac:dyDescent="0.2">
      <c r="A1672" s="1" t="s">
        <v>4890</v>
      </c>
      <c r="B1672" s="1" t="s">
        <v>4891</v>
      </c>
      <c r="C1672" s="1" t="s">
        <v>9</v>
      </c>
      <c r="D1672" s="1" t="s">
        <v>3</v>
      </c>
      <c r="E1672" s="5">
        <v>42580</v>
      </c>
      <c r="F1672" s="5">
        <v>46155</v>
      </c>
      <c r="G1672" s="2">
        <v>113.3922</v>
      </c>
      <c r="H1672" s="1" t="s">
        <v>10</v>
      </c>
      <c r="I1672" s="2">
        <v>56.130704699992002</v>
      </c>
      <c r="J1672" s="1" t="s">
        <v>64</v>
      </c>
      <c r="K1672" s="1" t="s">
        <v>4892</v>
      </c>
      <c r="L1672" s="2">
        <v>26781.07</v>
      </c>
      <c r="M1672">
        <f t="shared" si="78"/>
        <v>3036764.4456540002</v>
      </c>
      <c r="N1672">
        <f t="shared" si="79"/>
        <v>268740.21642955753</v>
      </c>
      <c r="O1672" t="str">
        <f t="shared" si="80"/>
        <v>BEHOLD</v>
      </c>
      <c r="P1672" s="1" t="s">
        <v>6609</v>
      </c>
    </row>
    <row r="1673" spans="1:16" ht="15" customHeight="1" x14ac:dyDescent="0.2">
      <c r="A1673" s="1" t="s">
        <v>4893</v>
      </c>
      <c r="B1673" s="1" t="s">
        <v>4894</v>
      </c>
      <c r="C1673" s="1" t="s">
        <v>9</v>
      </c>
      <c r="D1673" s="1" t="s">
        <v>3</v>
      </c>
      <c r="E1673" s="5">
        <v>45743</v>
      </c>
      <c r="F1673" s="5">
        <v>46155</v>
      </c>
      <c r="G1673" s="2">
        <v>86.082819999999998</v>
      </c>
      <c r="H1673" s="1" t="s">
        <v>10</v>
      </c>
      <c r="I1673" s="2">
        <v>32328.280346799998</v>
      </c>
      <c r="J1673" s="1" t="s">
        <v>64</v>
      </c>
      <c r="K1673" s="1" t="s">
        <v>4895</v>
      </c>
      <c r="L1673" s="2">
        <v>674156.1</v>
      </c>
      <c r="M1673">
        <f t="shared" si="78"/>
        <v>58033258.208201997</v>
      </c>
      <c r="N1673">
        <f t="shared" si="79"/>
        <v>5135686.5670975214</v>
      </c>
      <c r="O1673" t="str">
        <f t="shared" si="80"/>
        <v>FJERN</v>
      </c>
      <c r="P1673" s="1" t="s">
        <v>6610</v>
      </c>
    </row>
    <row r="1674" spans="1:16" ht="15" customHeight="1" x14ac:dyDescent="0.2">
      <c r="A1674" s="1" t="s">
        <v>4896</v>
      </c>
      <c r="B1674" s="1" t="s">
        <v>4897</v>
      </c>
      <c r="C1674" s="1" t="s">
        <v>9</v>
      </c>
      <c r="D1674" s="1" t="s">
        <v>3</v>
      </c>
      <c r="E1674" s="5">
        <v>41992</v>
      </c>
      <c r="F1674" s="5">
        <v>46155</v>
      </c>
      <c r="G1674" s="2">
        <v>86.959779999999995</v>
      </c>
      <c r="H1674" s="1" t="s">
        <v>10</v>
      </c>
      <c r="I1674" s="2">
        <v>1733.2994739599999</v>
      </c>
      <c r="J1674" s="1" t="s">
        <v>23</v>
      </c>
      <c r="K1674" s="1" t="s">
        <v>4898</v>
      </c>
      <c r="L1674" s="2">
        <v>282425.90000000002</v>
      </c>
      <c r="M1674">
        <f t="shared" si="78"/>
        <v>24559694.130302001</v>
      </c>
      <c r="N1674">
        <f t="shared" si="79"/>
        <v>2173424.2593187611</v>
      </c>
      <c r="O1674" t="str">
        <f t="shared" si="80"/>
        <v>BEHOLD</v>
      </c>
      <c r="P1674" s="1" t="s">
        <v>6611</v>
      </c>
    </row>
    <row r="1675" spans="1:16" ht="15" customHeight="1" x14ac:dyDescent="0.2">
      <c r="A1675" s="1" t="s">
        <v>4899</v>
      </c>
      <c r="B1675" s="1" t="s">
        <v>4900</v>
      </c>
      <c r="C1675" s="1" t="s">
        <v>9</v>
      </c>
      <c r="D1675" s="1" t="s">
        <v>3</v>
      </c>
      <c r="E1675" s="5">
        <v>42696</v>
      </c>
      <c r="F1675" s="5">
        <v>46155</v>
      </c>
      <c r="G1675" s="2">
        <v>98.707049999999995</v>
      </c>
      <c r="H1675" s="1" t="s">
        <v>10</v>
      </c>
      <c r="I1675" s="2">
        <v>23822.167394740001</v>
      </c>
      <c r="J1675" s="1" t="s">
        <v>236</v>
      </c>
      <c r="K1675" s="1" t="s">
        <v>4901</v>
      </c>
      <c r="L1675" s="2">
        <v>618068.19999999995</v>
      </c>
      <c r="M1675">
        <f t="shared" si="78"/>
        <v>61007688.720809996</v>
      </c>
      <c r="N1675">
        <f t="shared" si="79"/>
        <v>5398910.5062663713</v>
      </c>
      <c r="O1675" t="str">
        <f t="shared" si="80"/>
        <v>BEHOLD</v>
      </c>
      <c r="P1675" s="1" t="s">
        <v>6612</v>
      </c>
    </row>
    <row r="1676" spans="1:16" ht="15" customHeight="1" x14ac:dyDescent="0.2">
      <c r="A1676" s="1" t="s">
        <v>4902</v>
      </c>
      <c r="B1676" s="1" t="s">
        <v>4903</v>
      </c>
      <c r="C1676" s="1" t="s">
        <v>9</v>
      </c>
      <c r="D1676" s="1" t="s">
        <v>3</v>
      </c>
      <c r="E1676" s="5">
        <v>41691</v>
      </c>
      <c r="F1676" s="5">
        <v>46155</v>
      </c>
      <c r="G1676" s="2">
        <v>41.006740000000001</v>
      </c>
      <c r="H1676" s="1" t="s">
        <v>10</v>
      </c>
      <c r="I1676" s="2">
        <v>19084.9897704</v>
      </c>
      <c r="J1676" s="1" t="s">
        <v>11</v>
      </c>
      <c r="K1676" s="1" t="s">
        <v>4904</v>
      </c>
      <c r="L1676" s="2">
        <v>351156.3</v>
      </c>
      <c r="M1676">
        <f t="shared" si="78"/>
        <v>14399775.093462</v>
      </c>
      <c r="N1676">
        <f t="shared" si="79"/>
        <v>1274316.3799523893</v>
      </c>
      <c r="O1676" t="str">
        <f t="shared" si="80"/>
        <v>BEHOLD</v>
      </c>
      <c r="P1676" s="1" t="s">
        <v>6613</v>
      </c>
    </row>
    <row r="1677" spans="1:16" ht="15" customHeight="1" x14ac:dyDescent="0.2">
      <c r="A1677" s="1" t="s">
        <v>4905</v>
      </c>
      <c r="B1677" s="1" t="s">
        <v>4906</v>
      </c>
      <c r="C1677" s="1" t="s">
        <v>9</v>
      </c>
      <c r="D1677" s="1" t="s">
        <v>3</v>
      </c>
      <c r="E1677" s="5">
        <v>40578</v>
      </c>
      <c r="F1677" s="5">
        <v>46155</v>
      </c>
      <c r="G1677" s="2">
        <v>107.46599999999999</v>
      </c>
      <c r="H1677" s="1" t="s">
        <v>10</v>
      </c>
      <c r="I1677" s="2">
        <v>6593.899332</v>
      </c>
      <c r="J1677" s="1" t="s">
        <v>61</v>
      </c>
      <c r="K1677" s="1" t="s">
        <v>4907</v>
      </c>
      <c r="L1677" s="2">
        <v>20559.28</v>
      </c>
      <c r="M1677">
        <f t="shared" si="78"/>
        <v>2209423.5844799997</v>
      </c>
      <c r="N1677">
        <f t="shared" si="79"/>
        <v>195524.21101592918</v>
      </c>
      <c r="O1677" t="str">
        <f t="shared" si="80"/>
        <v>BEHOLD</v>
      </c>
      <c r="P1677" s="1" t="s">
        <v>6614</v>
      </c>
    </row>
    <row r="1678" spans="1:16" ht="15" customHeight="1" x14ac:dyDescent="0.2">
      <c r="A1678" s="1" t="s">
        <v>4908</v>
      </c>
      <c r="B1678" s="1" t="s">
        <v>4909</v>
      </c>
      <c r="C1678" s="1" t="s">
        <v>9</v>
      </c>
      <c r="D1678" s="1" t="s">
        <v>3</v>
      </c>
      <c r="E1678" s="5">
        <v>37476</v>
      </c>
      <c r="F1678" s="5">
        <v>44397</v>
      </c>
      <c r="G1678" s="2">
        <v>8.1470359999999999</v>
      </c>
      <c r="H1678" s="1" t="s">
        <v>10</v>
      </c>
      <c r="I1678" s="2"/>
      <c r="J1678" s="1" t="s">
        <v>61</v>
      </c>
      <c r="K1678" s="1" t="s">
        <v>4910</v>
      </c>
      <c r="L1678" s="2">
        <v>122999.7</v>
      </c>
      <c r="M1678">
        <f t="shared" si="78"/>
        <v>1002082.9838892</v>
      </c>
      <c r="N1678">
        <f t="shared" si="79"/>
        <v>88679.910078690256</v>
      </c>
      <c r="O1678" t="str">
        <f t="shared" si="80"/>
        <v>FJERN</v>
      </c>
      <c r="P1678" s="1" t="s">
        <v>6615</v>
      </c>
    </row>
    <row r="1679" spans="1:16" ht="15" customHeight="1" x14ac:dyDescent="0.2">
      <c r="A1679" s="1" t="s">
        <v>4911</v>
      </c>
      <c r="B1679" s="1" t="s">
        <v>4912</v>
      </c>
      <c r="C1679" s="1" t="s">
        <v>9</v>
      </c>
      <c r="D1679" s="1" t="s">
        <v>3</v>
      </c>
      <c r="E1679" s="5">
        <v>42535</v>
      </c>
      <c r="F1679" s="5">
        <v>46155</v>
      </c>
      <c r="G1679" s="2">
        <v>58.674689999999998</v>
      </c>
      <c r="H1679" s="1" t="s">
        <v>10</v>
      </c>
      <c r="I1679" s="2">
        <v>10585.7916465</v>
      </c>
      <c r="J1679" s="1" t="s">
        <v>15</v>
      </c>
      <c r="K1679" s="1" t="s">
        <v>4913</v>
      </c>
      <c r="L1679" s="2">
        <v>46284.59</v>
      </c>
      <c r="M1679">
        <f t="shared" si="78"/>
        <v>2715733.9700270998</v>
      </c>
      <c r="N1679">
        <f t="shared" si="79"/>
        <v>240330.43982540705</v>
      </c>
      <c r="O1679" t="str">
        <f t="shared" si="80"/>
        <v>BEHOLD</v>
      </c>
      <c r="P1679" s="1" t="s">
        <v>6616</v>
      </c>
    </row>
    <row r="1680" spans="1:16" ht="15" customHeight="1" x14ac:dyDescent="0.2">
      <c r="A1680" s="1" t="s">
        <v>4914</v>
      </c>
      <c r="B1680" s="1" t="s">
        <v>4915</v>
      </c>
      <c r="C1680" s="1" t="s">
        <v>9</v>
      </c>
      <c r="D1680" s="1" t="s">
        <v>3</v>
      </c>
      <c r="E1680" s="5">
        <v>41325</v>
      </c>
      <c r="F1680" s="5">
        <v>46155</v>
      </c>
      <c r="G1680" s="2">
        <v>14.379530000000001</v>
      </c>
      <c r="H1680" s="1" t="s">
        <v>10</v>
      </c>
      <c r="I1680" s="2">
        <v>47.428143944999903</v>
      </c>
      <c r="J1680" s="1" t="s">
        <v>23</v>
      </c>
      <c r="K1680" s="1" t="s">
        <v>4916</v>
      </c>
      <c r="L1680" s="2">
        <v>473218.3</v>
      </c>
      <c r="M1680">
        <f t="shared" si="78"/>
        <v>6804656.7413990004</v>
      </c>
      <c r="N1680">
        <f t="shared" si="79"/>
        <v>602182.01251318585</v>
      </c>
      <c r="O1680" t="str">
        <f t="shared" si="80"/>
        <v>BEHOLD</v>
      </c>
      <c r="P1680" s="1" t="s">
        <v>6617</v>
      </c>
    </row>
    <row r="1681" spans="1:16" ht="15" customHeight="1" x14ac:dyDescent="0.2">
      <c r="A1681" s="1" t="s">
        <v>4917</v>
      </c>
      <c r="B1681" s="1" t="s">
        <v>4918</v>
      </c>
      <c r="C1681" s="1" t="s">
        <v>9</v>
      </c>
      <c r="D1681" s="1" t="s">
        <v>3</v>
      </c>
      <c r="E1681" s="5">
        <v>36594</v>
      </c>
      <c r="F1681" s="5">
        <v>46155</v>
      </c>
      <c r="G1681" s="2">
        <v>66.208849999999998</v>
      </c>
      <c r="H1681" s="1" t="s">
        <v>10</v>
      </c>
      <c r="I1681" s="2">
        <v>43594.0592015</v>
      </c>
      <c r="J1681" s="1" t="s">
        <v>115</v>
      </c>
      <c r="K1681" s="1" t="s">
        <v>4919</v>
      </c>
      <c r="L1681" s="2">
        <v>450910.5</v>
      </c>
      <c r="M1681">
        <f t="shared" si="78"/>
        <v>29854265.657924999</v>
      </c>
      <c r="N1681">
        <f t="shared" si="79"/>
        <v>2641970.412205752</v>
      </c>
      <c r="O1681" t="str">
        <f t="shared" si="80"/>
        <v>BEHOLD</v>
      </c>
      <c r="P1681" s="1" t="s">
        <v>6618</v>
      </c>
    </row>
    <row r="1682" spans="1:16" ht="15" customHeight="1" x14ac:dyDescent="0.2">
      <c r="A1682" s="1" t="s">
        <v>4920</v>
      </c>
      <c r="B1682" s="1" t="s">
        <v>4921</v>
      </c>
      <c r="C1682" s="1" t="s">
        <v>9</v>
      </c>
      <c r="D1682" s="1" t="s">
        <v>3</v>
      </c>
      <c r="E1682" s="5">
        <v>34530</v>
      </c>
      <c r="F1682" s="5">
        <v>46155</v>
      </c>
      <c r="G1682" s="2">
        <v>27.081900000000001</v>
      </c>
      <c r="H1682" s="1" t="s">
        <v>10</v>
      </c>
      <c r="I1682" s="2">
        <v>20943.030865575001</v>
      </c>
      <c r="J1682" s="1" t="s">
        <v>61</v>
      </c>
      <c r="K1682" s="1" t="s">
        <v>4922</v>
      </c>
      <c r="L1682" s="2">
        <v>357344.2</v>
      </c>
      <c r="M1682">
        <f t="shared" si="78"/>
        <v>9677559.8899800014</v>
      </c>
      <c r="N1682">
        <f t="shared" si="79"/>
        <v>856421.22920176992</v>
      </c>
      <c r="O1682" t="str">
        <f t="shared" si="80"/>
        <v>BEHOLD</v>
      </c>
      <c r="P1682" s="1" t="s">
        <v>6619</v>
      </c>
    </row>
    <row r="1683" spans="1:16" ht="15" customHeight="1" x14ac:dyDescent="0.2">
      <c r="A1683" s="1" t="s">
        <v>4923</v>
      </c>
      <c r="B1683" s="1" t="s">
        <v>4924</v>
      </c>
      <c r="C1683" s="1" t="s">
        <v>9</v>
      </c>
      <c r="D1683" s="1" t="s">
        <v>3</v>
      </c>
      <c r="E1683" s="5">
        <v>35970</v>
      </c>
      <c r="F1683" s="5">
        <v>46155</v>
      </c>
      <c r="G1683" s="2">
        <v>5766.5119999999997</v>
      </c>
      <c r="H1683" s="1" t="s">
        <v>10</v>
      </c>
      <c r="I1683" s="2">
        <v>138.44061275000001</v>
      </c>
      <c r="J1683" s="1" t="s">
        <v>115</v>
      </c>
      <c r="K1683" s="1" t="s">
        <v>4925</v>
      </c>
      <c r="L1683" s="2">
        <v>26737.65</v>
      </c>
      <c r="M1683">
        <f t="shared" si="78"/>
        <v>154182979.57679999</v>
      </c>
      <c r="N1683">
        <f t="shared" si="79"/>
        <v>13644511.46697345</v>
      </c>
      <c r="O1683" t="str">
        <f t="shared" si="80"/>
        <v>BEHOLD</v>
      </c>
      <c r="P1683" s="1" t="s">
        <v>6620</v>
      </c>
    </row>
    <row r="1684" spans="1:16" ht="15" customHeight="1" x14ac:dyDescent="0.2">
      <c r="A1684" s="1" t="s">
        <v>4926</v>
      </c>
      <c r="B1684" s="1" t="s">
        <v>4927</v>
      </c>
      <c r="C1684" s="1" t="s">
        <v>2</v>
      </c>
      <c r="D1684" s="1" t="s">
        <v>3</v>
      </c>
      <c r="E1684" s="5">
        <v>44131</v>
      </c>
      <c r="F1684" s="5">
        <v>46155</v>
      </c>
      <c r="G1684" s="2">
        <v>797.10609999999997</v>
      </c>
      <c r="H1684" s="1" t="s">
        <v>4</v>
      </c>
      <c r="I1684" s="2">
        <v>137.69379453330001</v>
      </c>
      <c r="J1684" s="1" t="s">
        <v>86</v>
      </c>
      <c r="K1684" s="1" t="s">
        <v>4928</v>
      </c>
      <c r="L1684" s="2">
        <v>202.80430000000001</v>
      </c>
      <c r="M1684">
        <f t="shared" si="78"/>
        <v>161656.54463623001</v>
      </c>
      <c r="N1684">
        <f t="shared" si="79"/>
        <v>21698.865051842953</v>
      </c>
      <c r="O1684" t="str">
        <f t="shared" si="80"/>
        <v>FJERN</v>
      </c>
      <c r="P1684" s="1"/>
    </row>
    <row r="1685" spans="1:16" ht="15" customHeight="1" x14ac:dyDescent="0.2">
      <c r="A1685" s="1" t="s">
        <v>4929</v>
      </c>
      <c r="B1685" s="1" t="s">
        <v>4930</v>
      </c>
      <c r="C1685" s="1" t="s">
        <v>9</v>
      </c>
      <c r="D1685" s="1" t="s">
        <v>3</v>
      </c>
      <c r="E1685" s="5">
        <v>45727</v>
      </c>
      <c r="F1685" s="5">
        <v>46155</v>
      </c>
      <c r="G1685" s="2">
        <v>1936.3019999999999</v>
      </c>
      <c r="H1685" s="1" t="s">
        <v>10</v>
      </c>
      <c r="I1685" s="2">
        <v>25387.277888000001</v>
      </c>
      <c r="J1685" s="1" t="s">
        <v>76</v>
      </c>
      <c r="K1685" s="1" t="s">
        <v>4931</v>
      </c>
      <c r="L1685" s="2">
        <v>13834.6</v>
      </c>
      <c r="M1685">
        <f t="shared" si="78"/>
        <v>26787963.6492</v>
      </c>
      <c r="N1685">
        <f t="shared" si="79"/>
        <v>2370616.2521415926</v>
      </c>
      <c r="O1685" t="str">
        <f t="shared" si="80"/>
        <v>FJERN</v>
      </c>
      <c r="P1685" s="1" t="s">
        <v>6621</v>
      </c>
    </row>
    <row r="1686" spans="1:16" ht="15" customHeight="1" x14ac:dyDescent="0.2">
      <c r="A1686" s="1" t="s">
        <v>4932</v>
      </c>
      <c r="B1686" s="1" t="s">
        <v>4933</v>
      </c>
      <c r="C1686" s="1" t="s">
        <v>9</v>
      </c>
      <c r="D1686" s="1" t="s">
        <v>3</v>
      </c>
      <c r="E1686" s="5">
        <v>45833</v>
      </c>
      <c r="F1686" s="5">
        <v>46155</v>
      </c>
      <c r="G1686" s="2">
        <v>66.805430000000001</v>
      </c>
      <c r="H1686" s="1" t="s">
        <v>10</v>
      </c>
      <c r="I1686" s="2">
        <v>18346.59341528</v>
      </c>
      <c r="J1686" s="1" t="s">
        <v>167</v>
      </c>
      <c r="K1686" s="1" t="s">
        <v>4934</v>
      </c>
      <c r="L1686" s="2">
        <v>684853.9</v>
      </c>
      <c r="M1686">
        <f t="shared" si="78"/>
        <v>45751959.276677005</v>
      </c>
      <c r="N1686">
        <f t="shared" si="79"/>
        <v>4048845.9536882304</v>
      </c>
      <c r="O1686" t="str">
        <f t="shared" si="80"/>
        <v>FJERN</v>
      </c>
      <c r="P1686" s="1" t="s">
        <v>6622</v>
      </c>
    </row>
    <row r="1687" spans="1:16" ht="15" customHeight="1" x14ac:dyDescent="0.2">
      <c r="A1687" s="1" t="s">
        <v>4935</v>
      </c>
      <c r="B1687" s="1" t="s">
        <v>4936</v>
      </c>
      <c r="C1687" s="1" t="s">
        <v>9</v>
      </c>
      <c r="D1687" s="1" t="s">
        <v>3</v>
      </c>
      <c r="E1687" s="5">
        <v>38544</v>
      </c>
      <c r="F1687" s="5">
        <v>42284</v>
      </c>
      <c r="G1687" s="2">
        <v>0.98468820000000001</v>
      </c>
      <c r="H1687" s="1" t="s">
        <v>10</v>
      </c>
      <c r="I1687" s="2"/>
      <c r="J1687" s="1" t="s">
        <v>328</v>
      </c>
      <c r="K1687" s="1" t="s">
        <v>4937</v>
      </c>
      <c r="L1687" s="2">
        <v>219562.8</v>
      </c>
      <c r="M1687">
        <f t="shared" si="78"/>
        <v>216200.89831895998</v>
      </c>
      <c r="N1687">
        <f t="shared" si="79"/>
        <v>19132.822860084954</v>
      </c>
      <c r="O1687" t="str">
        <f t="shared" si="80"/>
        <v>FJERN</v>
      </c>
      <c r="P1687" s="1" t="s">
        <v>6623</v>
      </c>
    </row>
    <row r="1688" spans="1:16" ht="15" customHeight="1" x14ac:dyDescent="0.2">
      <c r="A1688" s="1" t="s">
        <v>4938</v>
      </c>
      <c r="B1688" s="1" t="s">
        <v>4939</v>
      </c>
      <c r="C1688" s="1" t="s">
        <v>9</v>
      </c>
      <c r="D1688" s="1" t="s">
        <v>3</v>
      </c>
      <c r="E1688" s="5">
        <v>42093</v>
      </c>
      <c r="F1688" s="5">
        <v>45513</v>
      </c>
      <c r="G1688" s="2">
        <v>3.4951400000000001</v>
      </c>
      <c r="H1688" s="1" t="s">
        <v>10</v>
      </c>
      <c r="I1688" s="2">
        <v>11.702518100000001</v>
      </c>
      <c r="J1688" s="1" t="s">
        <v>64</v>
      </c>
      <c r="K1688" s="1" t="s">
        <v>4940</v>
      </c>
      <c r="L1688" s="2">
        <v>39717.160000000003</v>
      </c>
      <c r="M1688">
        <f t="shared" si="78"/>
        <v>138817.03460240003</v>
      </c>
      <c r="N1688">
        <f t="shared" si="79"/>
        <v>12284.69332764602</v>
      </c>
      <c r="O1688" t="str">
        <f t="shared" si="80"/>
        <v>FJERN</v>
      </c>
      <c r="P1688" s="1" t="s">
        <v>6624</v>
      </c>
    </row>
    <row r="1689" spans="1:16" ht="15" customHeight="1" x14ac:dyDescent="0.2">
      <c r="A1689" s="1" t="s">
        <v>4941</v>
      </c>
      <c r="B1689" s="1" t="s">
        <v>4942</v>
      </c>
      <c r="C1689" s="1" t="s">
        <v>9</v>
      </c>
      <c r="D1689" s="1" t="s">
        <v>3</v>
      </c>
      <c r="E1689" s="5">
        <v>42017</v>
      </c>
      <c r="F1689" s="5">
        <v>44529</v>
      </c>
      <c r="G1689" s="2">
        <v>2.2339009999999999</v>
      </c>
      <c r="H1689" s="1" t="s">
        <v>10</v>
      </c>
      <c r="I1689" s="2"/>
      <c r="J1689" s="1" t="s">
        <v>38</v>
      </c>
      <c r="K1689" s="1" t="s">
        <v>4943</v>
      </c>
      <c r="L1689" s="2">
        <v>638575.1</v>
      </c>
      <c r="M1689">
        <f t="shared" si="78"/>
        <v>1426513.5544650999</v>
      </c>
      <c r="N1689">
        <f t="shared" si="79"/>
        <v>126240.13756328318</v>
      </c>
      <c r="O1689" t="str">
        <f t="shared" si="80"/>
        <v>BEHOLD</v>
      </c>
      <c r="P1689" s="1" t="s">
        <v>6625</v>
      </c>
    </row>
    <row r="1690" spans="1:16" ht="15" customHeight="1" x14ac:dyDescent="0.2">
      <c r="A1690" s="1" t="s">
        <v>4944</v>
      </c>
      <c r="B1690" s="1" t="s">
        <v>4945</v>
      </c>
      <c r="C1690" s="1" t="s">
        <v>9</v>
      </c>
      <c r="D1690" s="1" t="s">
        <v>3</v>
      </c>
      <c r="E1690" s="5">
        <v>46002</v>
      </c>
      <c r="F1690" s="5">
        <v>46155</v>
      </c>
      <c r="G1690" s="2">
        <v>19.23208</v>
      </c>
      <c r="H1690" s="1" t="s">
        <v>10</v>
      </c>
      <c r="I1690" s="2"/>
      <c r="J1690" s="1" t="s">
        <v>236</v>
      </c>
      <c r="K1690" s="1" t="s">
        <v>4946</v>
      </c>
      <c r="L1690" s="2">
        <v>1856646</v>
      </c>
      <c r="M1690">
        <f t="shared" si="78"/>
        <v>35707164.403679997</v>
      </c>
      <c r="N1690">
        <f t="shared" si="79"/>
        <v>3159926.0534230084</v>
      </c>
      <c r="O1690" t="str">
        <f t="shared" si="80"/>
        <v>FJERN</v>
      </c>
      <c r="P1690" s="1" t="s">
        <v>6626</v>
      </c>
    </row>
    <row r="1691" spans="1:16" ht="15" customHeight="1" x14ac:dyDescent="0.2">
      <c r="A1691" s="1" t="s">
        <v>4947</v>
      </c>
      <c r="B1691" s="1" t="s">
        <v>4948</v>
      </c>
      <c r="C1691" s="1" t="s">
        <v>9</v>
      </c>
      <c r="D1691" s="1" t="s">
        <v>3</v>
      </c>
      <c r="E1691" s="5">
        <v>42048</v>
      </c>
      <c r="F1691" s="5">
        <v>46155</v>
      </c>
      <c r="G1691" s="2">
        <v>16.45204</v>
      </c>
      <c r="H1691" s="1" t="s">
        <v>10</v>
      </c>
      <c r="I1691" s="2">
        <v>2231.6072129280001</v>
      </c>
      <c r="J1691" s="1" t="s">
        <v>38</v>
      </c>
      <c r="K1691" s="1" t="s">
        <v>4949</v>
      </c>
      <c r="L1691" s="2">
        <v>1047156</v>
      </c>
      <c r="M1691">
        <f t="shared" si="78"/>
        <v>17227852.39824</v>
      </c>
      <c r="N1691">
        <f t="shared" si="79"/>
        <v>1524588.7078088494</v>
      </c>
      <c r="O1691" t="str">
        <f t="shared" si="80"/>
        <v>BEHOLD</v>
      </c>
      <c r="P1691" s="1" t="s">
        <v>6627</v>
      </c>
    </row>
    <row r="1692" spans="1:16" ht="15" customHeight="1" x14ac:dyDescent="0.2">
      <c r="A1692" s="1" t="s">
        <v>4950</v>
      </c>
      <c r="B1692" s="1" t="s">
        <v>4951</v>
      </c>
      <c r="C1692" s="1" t="s">
        <v>9</v>
      </c>
      <c r="D1692" s="1" t="s">
        <v>3</v>
      </c>
      <c r="E1692" s="5">
        <v>42088</v>
      </c>
      <c r="F1692" s="5">
        <v>46155</v>
      </c>
      <c r="G1692" s="2">
        <v>60.038409999999999</v>
      </c>
      <c r="H1692" s="1" t="s">
        <v>10</v>
      </c>
      <c r="I1692" s="2">
        <v>9861.2699568000007</v>
      </c>
      <c r="J1692" s="1" t="s">
        <v>328</v>
      </c>
      <c r="K1692" s="1" t="s">
        <v>4952</v>
      </c>
      <c r="L1692" s="2">
        <v>301207.8</v>
      </c>
      <c r="M1692">
        <f t="shared" si="78"/>
        <v>18084037.391597997</v>
      </c>
      <c r="N1692">
        <f t="shared" si="79"/>
        <v>1600357.2912918581</v>
      </c>
      <c r="O1692" t="str">
        <f t="shared" si="80"/>
        <v>BEHOLD</v>
      </c>
      <c r="P1692" s="1" t="s">
        <v>6628</v>
      </c>
    </row>
    <row r="1693" spans="1:16" ht="15" customHeight="1" x14ac:dyDescent="0.2">
      <c r="A1693" s="1" t="s">
        <v>4953</v>
      </c>
      <c r="B1693" s="1" t="s">
        <v>4954</v>
      </c>
      <c r="C1693" s="1" t="s">
        <v>9</v>
      </c>
      <c r="D1693" s="1" t="s">
        <v>3</v>
      </c>
      <c r="E1693" s="5">
        <v>42080</v>
      </c>
      <c r="F1693" s="5">
        <v>46155</v>
      </c>
      <c r="G1693" s="2">
        <v>10.521319999999999</v>
      </c>
      <c r="H1693" s="1" t="s">
        <v>10</v>
      </c>
      <c r="I1693" s="2">
        <v>1040.4397761749999</v>
      </c>
      <c r="J1693" s="1" t="s">
        <v>366</v>
      </c>
      <c r="K1693" s="1" t="s">
        <v>4955</v>
      </c>
      <c r="L1693" s="2">
        <v>771929.4</v>
      </c>
      <c r="M1693">
        <f t="shared" si="78"/>
        <v>8121716.2348079998</v>
      </c>
      <c r="N1693">
        <f t="shared" si="79"/>
        <v>718735.94998300879</v>
      </c>
      <c r="O1693" t="str">
        <f t="shared" si="80"/>
        <v>BEHOLD</v>
      </c>
      <c r="P1693" s="1" t="s">
        <v>6629</v>
      </c>
    </row>
    <row r="1694" spans="1:16" ht="15" customHeight="1" x14ac:dyDescent="0.2">
      <c r="A1694" s="1" t="s">
        <v>4956</v>
      </c>
      <c r="B1694" s="1" t="s">
        <v>4957</v>
      </c>
      <c r="C1694" s="1" t="s">
        <v>9</v>
      </c>
      <c r="D1694" s="1" t="s">
        <v>3</v>
      </c>
      <c r="E1694" s="5">
        <v>35613</v>
      </c>
      <c r="F1694" s="5">
        <v>46155</v>
      </c>
      <c r="G1694" s="2">
        <v>158.87370000000001</v>
      </c>
      <c r="H1694" s="1" t="s">
        <v>10</v>
      </c>
      <c r="I1694" s="2">
        <v>62660.486173817197</v>
      </c>
      <c r="J1694" s="1" t="s">
        <v>222</v>
      </c>
      <c r="K1694" s="1" t="s">
        <v>4958</v>
      </c>
      <c r="L1694" s="2">
        <v>338579.1</v>
      </c>
      <c r="M1694">
        <f t="shared" si="78"/>
        <v>53791314.359669998</v>
      </c>
      <c r="N1694">
        <f t="shared" si="79"/>
        <v>4760293.3061654866</v>
      </c>
      <c r="O1694" t="str">
        <f t="shared" si="80"/>
        <v>BEHOLD</v>
      </c>
      <c r="P1694" s="1" t="s">
        <v>6630</v>
      </c>
    </row>
    <row r="1695" spans="1:16" ht="15" customHeight="1" x14ac:dyDescent="0.2">
      <c r="A1695" s="1" t="s">
        <v>4959</v>
      </c>
      <c r="B1695" s="1" t="s">
        <v>4960</v>
      </c>
      <c r="C1695" s="1" t="s">
        <v>9</v>
      </c>
      <c r="D1695" s="1" t="s">
        <v>3</v>
      </c>
      <c r="E1695" s="5">
        <v>42107</v>
      </c>
      <c r="F1695" s="5">
        <v>44439</v>
      </c>
      <c r="G1695" s="2">
        <v>5.040807</v>
      </c>
      <c r="H1695" s="1" t="s">
        <v>10</v>
      </c>
      <c r="I1695" s="2"/>
      <c r="J1695" s="1" t="s">
        <v>38</v>
      </c>
      <c r="K1695" s="1" t="s">
        <v>4961</v>
      </c>
      <c r="L1695" s="2">
        <v>37199.379999999997</v>
      </c>
      <c r="M1695">
        <f t="shared" si="78"/>
        <v>187514.89509965997</v>
      </c>
      <c r="N1695">
        <f t="shared" si="79"/>
        <v>16594.238504394685</v>
      </c>
      <c r="O1695" t="str">
        <f t="shared" si="80"/>
        <v>FJERN</v>
      </c>
      <c r="P1695" s="1"/>
    </row>
    <row r="1696" spans="1:16" ht="15" customHeight="1" x14ac:dyDescent="0.2">
      <c r="A1696" s="1" t="s">
        <v>4962</v>
      </c>
      <c r="B1696" s="1" t="s">
        <v>4963</v>
      </c>
      <c r="C1696" s="1" t="s">
        <v>9</v>
      </c>
      <c r="D1696" s="1" t="s">
        <v>3</v>
      </c>
      <c r="E1696" s="5">
        <v>45938</v>
      </c>
      <c r="F1696" s="5">
        <v>46155</v>
      </c>
      <c r="G1696" s="2">
        <v>12.711740000000001</v>
      </c>
      <c r="H1696" s="1" t="s">
        <v>3371</v>
      </c>
      <c r="I1696" s="2">
        <v>14467.450313245599</v>
      </c>
      <c r="J1696" s="1" t="s">
        <v>289</v>
      </c>
      <c r="K1696" s="1" t="s">
        <v>4964</v>
      </c>
      <c r="L1696" s="2">
        <v>1489066</v>
      </c>
      <c r="M1696">
        <f t="shared" si="78"/>
        <v>18928619.83484</v>
      </c>
      <c r="N1696">
        <f t="shared" si="79"/>
        <v>18928619.83484</v>
      </c>
      <c r="O1696" t="str">
        <f t="shared" si="80"/>
        <v>FJERN</v>
      </c>
      <c r="P1696" s="1" t="s">
        <v>6631</v>
      </c>
    </row>
    <row r="1697" spans="1:16" ht="15" customHeight="1" x14ac:dyDescent="0.2">
      <c r="A1697" s="1" t="s">
        <v>4965</v>
      </c>
      <c r="B1697" s="1" t="s">
        <v>4966</v>
      </c>
      <c r="C1697" s="1" t="s">
        <v>9</v>
      </c>
      <c r="D1697" s="1"/>
      <c r="E1697" s="5">
        <v>45848</v>
      </c>
      <c r="F1697" s="5">
        <v>45848</v>
      </c>
      <c r="G1697" s="2">
        <v>1.01E-2</v>
      </c>
      <c r="H1697" s="1" t="s">
        <v>10</v>
      </c>
      <c r="I1697" s="2"/>
      <c r="J1697" s="1"/>
      <c r="K1697" s="1"/>
      <c r="L1697" s="2">
        <v>3762248</v>
      </c>
      <c r="M1697">
        <f t="shared" si="78"/>
        <v>37998.7048</v>
      </c>
      <c r="N1697">
        <f t="shared" si="79"/>
        <v>3362.717238938053</v>
      </c>
      <c r="O1697" t="str">
        <f t="shared" si="80"/>
        <v>FJERN</v>
      </c>
      <c r="P1697" s="1"/>
    </row>
    <row r="1698" spans="1:16" ht="15" customHeight="1" x14ac:dyDescent="0.2">
      <c r="A1698" s="1" t="s">
        <v>4967</v>
      </c>
      <c r="B1698" s="1" t="s">
        <v>4968</v>
      </c>
      <c r="C1698" s="1" t="s">
        <v>9</v>
      </c>
      <c r="D1698" s="1" t="s">
        <v>3</v>
      </c>
      <c r="E1698" s="5">
        <v>44371</v>
      </c>
      <c r="F1698" s="5">
        <v>46155</v>
      </c>
      <c r="G1698" s="2">
        <v>131.76259999999999</v>
      </c>
      <c r="H1698" s="1" t="s">
        <v>10</v>
      </c>
      <c r="I1698" s="2">
        <v>92.802128640000006</v>
      </c>
      <c r="J1698" s="1" t="s">
        <v>366</v>
      </c>
      <c r="K1698" s="1" t="s">
        <v>4969</v>
      </c>
      <c r="L1698" s="2">
        <v>1548.759</v>
      </c>
      <c r="M1698">
        <f t="shared" si="78"/>
        <v>204068.5126134</v>
      </c>
      <c r="N1698">
        <f t="shared" si="79"/>
        <v>18059.160408265485</v>
      </c>
      <c r="O1698" t="str">
        <f t="shared" si="80"/>
        <v>FJERN</v>
      </c>
      <c r="P1698" s="1" t="s">
        <v>6632</v>
      </c>
    </row>
    <row r="1699" spans="1:16" ht="15" customHeight="1" x14ac:dyDescent="0.2">
      <c r="A1699" s="1" t="s">
        <v>4970</v>
      </c>
      <c r="B1699" s="1" t="s">
        <v>4971</v>
      </c>
      <c r="C1699" s="1" t="s">
        <v>9</v>
      </c>
      <c r="D1699" s="1" t="s">
        <v>3</v>
      </c>
      <c r="E1699" s="5">
        <v>42041</v>
      </c>
      <c r="F1699" s="5">
        <v>46155</v>
      </c>
      <c r="G1699" s="2">
        <v>21.948650000000001</v>
      </c>
      <c r="H1699" s="1" t="s">
        <v>10</v>
      </c>
      <c r="I1699" s="2">
        <v>1435.70891396</v>
      </c>
      <c r="J1699" s="1" t="s">
        <v>11</v>
      </c>
      <c r="K1699" s="1" t="s">
        <v>4972</v>
      </c>
      <c r="L1699" s="2">
        <v>154315.79999999999</v>
      </c>
      <c r="M1699">
        <f t="shared" si="78"/>
        <v>3387023.48367</v>
      </c>
      <c r="N1699">
        <f t="shared" si="79"/>
        <v>299736.59147522121</v>
      </c>
      <c r="O1699" t="str">
        <f t="shared" si="80"/>
        <v>BEHOLD</v>
      </c>
      <c r="P1699" s="1" t="s">
        <v>6633</v>
      </c>
    </row>
    <row r="1700" spans="1:16" ht="15" customHeight="1" x14ac:dyDescent="0.2">
      <c r="A1700" s="1" t="s">
        <v>4973</v>
      </c>
      <c r="B1700" s="1" t="s">
        <v>4974</v>
      </c>
      <c r="C1700" s="1" t="s">
        <v>9</v>
      </c>
      <c r="D1700" s="1" t="s">
        <v>3</v>
      </c>
      <c r="E1700" s="5">
        <v>42053</v>
      </c>
      <c r="F1700" s="5">
        <v>44665</v>
      </c>
      <c r="G1700" s="2">
        <v>24.718889999999998</v>
      </c>
      <c r="H1700" s="1" t="s">
        <v>10</v>
      </c>
      <c r="I1700" s="2"/>
      <c r="J1700" s="1" t="s">
        <v>176</v>
      </c>
      <c r="K1700" s="1" t="s">
        <v>4975</v>
      </c>
      <c r="L1700" s="2">
        <v>5559.5860000000002</v>
      </c>
      <c r="M1700">
        <f t="shared" si="78"/>
        <v>137426.79477954001</v>
      </c>
      <c r="N1700">
        <f t="shared" si="79"/>
        <v>12161.663254826548</v>
      </c>
      <c r="O1700" t="str">
        <f t="shared" si="80"/>
        <v>FJERN</v>
      </c>
      <c r="P1700" s="1"/>
    </row>
    <row r="1701" spans="1:16" ht="15" customHeight="1" x14ac:dyDescent="0.2">
      <c r="A1701" s="1" t="s">
        <v>4976</v>
      </c>
      <c r="B1701" s="1" t="s">
        <v>4977</v>
      </c>
      <c r="C1701" s="1" t="s">
        <v>9</v>
      </c>
      <c r="D1701" s="1" t="s">
        <v>3</v>
      </c>
      <c r="E1701" s="5">
        <v>42051</v>
      </c>
      <c r="F1701" s="5">
        <v>46155</v>
      </c>
      <c r="G1701" s="2">
        <v>5.2688899999999999</v>
      </c>
      <c r="H1701" s="1" t="s">
        <v>10</v>
      </c>
      <c r="I1701" s="2">
        <v>192.505278</v>
      </c>
      <c r="J1701" s="1" t="s">
        <v>19</v>
      </c>
      <c r="K1701" s="1" t="s">
        <v>4978</v>
      </c>
      <c r="L1701" s="2">
        <v>77549.740000000005</v>
      </c>
      <c r="M1701">
        <f t="shared" si="78"/>
        <v>408601.0495886</v>
      </c>
      <c r="N1701">
        <f t="shared" si="79"/>
        <v>36159.384919345131</v>
      </c>
      <c r="O1701" t="str">
        <f t="shared" si="80"/>
        <v>FJERN</v>
      </c>
      <c r="P1701" s="1" t="s">
        <v>6634</v>
      </c>
    </row>
    <row r="1702" spans="1:16" ht="15" customHeight="1" x14ac:dyDescent="0.2">
      <c r="A1702" s="1" t="s">
        <v>4979</v>
      </c>
      <c r="B1702" s="1" t="s">
        <v>4980</v>
      </c>
      <c r="C1702" s="1" t="s">
        <v>9</v>
      </c>
      <c r="D1702" s="1" t="s">
        <v>3</v>
      </c>
      <c r="E1702" s="5">
        <v>41409</v>
      </c>
      <c r="F1702" s="5">
        <v>42559</v>
      </c>
      <c r="G1702" s="2">
        <v>17.842359999999999</v>
      </c>
      <c r="H1702" s="1" t="s">
        <v>10</v>
      </c>
      <c r="I1702" s="2"/>
      <c r="J1702" s="1" t="s">
        <v>34</v>
      </c>
      <c r="K1702" s="1" t="s">
        <v>4981</v>
      </c>
      <c r="L1702" s="2">
        <v>11595.98</v>
      </c>
      <c r="M1702">
        <f t="shared" si="78"/>
        <v>206899.64971279999</v>
      </c>
      <c r="N1702">
        <f t="shared" si="79"/>
        <v>18309.703514407076</v>
      </c>
      <c r="O1702" t="str">
        <f t="shared" si="80"/>
        <v>FJERN</v>
      </c>
      <c r="P1702" s="1"/>
    </row>
    <row r="1703" spans="1:16" ht="15" customHeight="1" x14ac:dyDescent="0.2">
      <c r="A1703" s="1" t="s">
        <v>4982</v>
      </c>
      <c r="B1703" s="1" t="s">
        <v>4983</v>
      </c>
      <c r="C1703" s="1" t="s">
        <v>2</v>
      </c>
      <c r="D1703" s="1" t="s">
        <v>3</v>
      </c>
      <c r="E1703" s="5">
        <v>42572</v>
      </c>
      <c r="F1703" s="5">
        <v>42606</v>
      </c>
      <c r="G1703" s="2">
        <v>0.59461220000000004</v>
      </c>
      <c r="H1703" s="1" t="s">
        <v>3371</v>
      </c>
      <c r="I1703" s="2"/>
      <c r="J1703" s="1" t="s">
        <v>289</v>
      </c>
      <c r="K1703" s="1" t="s">
        <v>4984</v>
      </c>
      <c r="L1703" s="2">
        <v>0</v>
      </c>
      <c r="M1703">
        <f t="shared" si="78"/>
        <v>0</v>
      </c>
      <c r="N1703">
        <f t="shared" si="79"/>
        <v>0</v>
      </c>
      <c r="O1703" t="str">
        <f t="shared" si="80"/>
        <v>FJERN</v>
      </c>
      <c r="P1703" s="1"/>
    </row>
    <row r="1704" spans="1:16" ht="15" customHeight="1" x14ac:dyDescent="0.2">
      <c r="A1704" s="1" t="s">
        <v>4985</v>
      </c>
      <c r="B1704" s="1" t="s">
        <v>4986</v>
      </c>
      <c r="C1704" s="1" t="s">
        <v>2</v>
      </c>
      <c r="D1704" s="1" t="s">
        <v>3</v>
      </c>
      <c r="E1704" s="5">
        <v>42069</v>
      </c>
      <c r="F1704" s="5">
        <v>46155</v>
      </c>
      <c r="G1704" s="2">
        <v>125.7535</v>
      </c>
      <c r="H1704" s="1" t="s">
        <v>4</v>
      </c>
      <c r="I1704" s="2">
        <v>1240.2081942</v>
      </c>
      <c r="J1704" s="1" t="s">
        <v>64</v>
      </c>
      <c r="K1704" s="1" t="s">
        <v>4987</v>
      </c>
      <c r="L1704" s="2">
        <v>31469.72</v>
      </c>
      <c r="M1704">
        <f t="shared" si="78"/>
        <v>3957427.43402</v>
      </c>
      <c r="N1704">
        <f t="shared" si="79"/>
        <v>531198.31329127518</v>
      </c>
      <c r="O1704" t="str">
        <f t="shared" si="80"/>
        <v>BEHOLD</v>
      </c>
      <c r="P1704" s="1" t="s">
        <v>6635</v>
      </c>
    </row>
    <row r="1705" spans="1:16" ht="15" customHeight="1" x14ac:dyDescent="0.2">
      <c r="A1705" s="1" t="s">
        <v>4988</v>
      </c>
      <c r="B1705" s="1" t="s">
        <v>4989</v>
      </c>
      <c r="C1705" s="1" t="s">
        <v>9</v>
      </c>
      <c r="D1705" s="1" t="s">
        <v>3</v>
      </c>
      <c r="E1705" s="5">
        <v>45944</v>
      </c>
      <c r="F1705" s="5">
        <v>46155</v>
      </c>
      <c r="G1705" s="2">
        <v>20.890820000000001</v>
      </c>
      <c r="H1705" s="1" t="s">
        <v>10</v>
      </c>
      <c r="I1705" s="2">
        <v>419.94299999999998</v>
      </c>
      <c r="J1705" s="1" t="s">
        <v>184</v>
      </c>
      <c r="K1705" s="1" t="s">
        <v>4990</v>
      </c>
      <c r="L1705" s="2">
        <v>86028.55</v>
      </c>
      <c r="M1705">
        <f t="shared" si="78"/>
        <v>1797206.9529110002</v>
      </c>
      <c r="N1705">
        <f t="shared" si="79"/>
        <v>159044.86308946903</v>
      </c>
      <c r="O1705" t="str">
        <f t="shared" si="80"/>
        <v>FJERN</v>
      </c>
      <c r="P1705" s="1" t="s">
        <v>6636</v>
      </c>
    </row>
    <row r="1706" spans="1:16" ht="15" customHeight="1" x14ac:dyDescent="0.2">
      <c r="A1706" s="1" t="s">
        <v>4991</v>
      </c>
      <c r="B1706" s="1" t="s">
        <v>4992</v>
      </c>
      <c r="C1706" s="1" t="s">
        <v>9</v>
      </c>
      <c r="D1706" s="1" t="s">
        <v>3</v>
      </c>
      <c r="E1706" s="5">
        <v>44008</v>
      </c>
      <c r="F1706" s="5">
        <v>46155</v>
      </c>
      <c r="G1706" s="2">
        <v>2925.8029999999999</v>
      </c>
      <c r="H1706" s="1" t="s">
        <v>10</v>
      </c>
      <c r="I1706" s="2">
        <v>816.49972400900003</v>
      </c>
      <c r="J1706" s="1" t="s">
        <v>34</v>
      </c>
      <c r="K1706" s="1" t="s">
        <v>4993</v>
      </c>
      <c r="L1706" s="2">
        <v>318244.90000000002</v>
      </c>
      <c r="M1706">
        <f t="shared" si="78"/>
        <v>931121883.15470004</v>
      </c>
      <c r="N1706">
        <f t="shared" si="79"/>
        <v>82400166.650858402</v>
      </c>
      <c r="O1706" t="str">
        <f t="shared" si="80"/>
        <v>BEHOLD</v>
      </c>
      <c r="P1706" s="1"/>
    </row>
    <row r="1707" spans="1:16" ht="15" customHeight="1" x14ac:dyDescent="0.2">
      <c r="A1707" s="1" t="s">
        <v>4994</v>
      </c>
      <c r="B1707" s="1" t="s">
        <v>4995</v>
      </c>
      <c r="C1707" s="1" t="s">
        <v>9</v>
      </c>
      <c r="D1707" s="1" t="s">
        <v>3</v>
      </c>
      <c r="E1707" s="5">
        <v>42145</v>
      </c>
      <c r="F1707" s="5">
        <v>46155</v>
      </c>
      <c r="G1707" s="2">
        <v>17.670809999999999</v>
      </c>
      <c r="H1707" s="1" t="s">
        <v>10</v>
      </c>
      <c r="I1707" s="2">
        <v>364.655331420008</v>
      </c>
      <c r="J1707" s="1" t="s">
        <v>391</v>
      </c>
      <c r="K1707" s="1" t="s">
        <v>4996</v>
      </c>
      <c r="L1707" s="2">
        <v>74045.539999999994</v>
      </c>
      <c r="M1707">
        <f t="shared" si="78"/>
        <v>1308444.6686873999</v>
      </c>
      <c r="N1707">
        <f t="shared" si="79"/>
        <v>115791.56360065486</v>
      </c>
      <c r="O1707" t="str">
        <f t="shared" si="80"/>
        <v>BEHOLD</v>
      </c>
      <c r="P1707" s="1" t="s">
        <v>6637</v>
      </c>
    </row>
    <row r="1708" spans="1:16" ht="15" customHeight="1" x14ac:dyDescent="0.2">
      <c r="A1708" s="1" t="s">
        <v>4997</v>
      </c>
      <c r="B1708" s="1" t="s">
        <v>4998</v>
      </c>
      <c r="C1708" s="1" t="s">
        <v>9</v>
      </c>
      <c r="D1708" s="1" t="s">
        <v>3</v>
      </c>
      <c r="E1708" s="5">
        <v>46002</v>
      </c>
      <c r="F1708" s="5">
        <v>46155</v>
      </c>
      <c r="G1708" s="2">
        <v>83.302890000000005</v>
      </c>
      <c r="H1708" s="1" t="s">
        <v>10</v>
      </c>
      <c r="I1708" s="2"/>
      <c r="J1708" s="1" t="s">
        <v>61</v>
      </c>
      <c r="K1708" s="1" t="s">
        <v>4999</v>
      </c>
      <c r="L1708" s="2">
        <v>12669.69</v>
      </c>
      <c r="M1708">
        <f t="shared" si="78"/>
        <v>1055421.7924041001</v>
      </c>
      <c r="N1708">
        <f t="shared" si="79"/>
        <v>93400.158619831855</v>
      </c>
      <c r="O1708" t="str">
        <f t="shared" si="80"/>
        <v>FJERN</v>
      </c>
      <c r="P1708" s="1" t="s">
        <v>6638</v>
      </c>
    </row>
    <row r="1709" spans="1:16" ht="15" customHeight="1" x14ac:dyDescent="0.2">
      <c r="A1709" s="1" t="s">
        <v>5000</v>
      </c>
      <c r="B1709" s="1" t="s">
        <v>5001</v>
      </c>
      <c r="C1709" s="1" t="s">
        <v>9</v>
      </c>
      <c r="D1709" s="1" t="s">
        <v>3</v>
      </c>
      <c r="E1709" s="5">
        <v>42172</v>
      </c>
      <c r="F1709" s="5">
        <v>46155</v>
      </c>
      <c r="G1709" s="2">
        <v>5.545636</v>
      </c>
      <c r="H1709" s="1" t="s">
        <v>10</v>
      </c>
      <c r="I1709" s="2">
        <v>724.35638619999997</v>
      </c>
      <c r="J1709" s="1" t="s">
        <v>366</v>
      </c>
      <c r="K1709" s="1" t="s">
        <v>5002</v>
      </c>
      <c r="L1709" s="2">
        <v>193288.6</v>
      </c>
      <c r="M1709">
        <f t="shared" si="78"/>
        <v>1071908.2185496001</v>
      </c>
      <c r="N1709">
        <f t="shared" si="79"/>
        <v>94859.134384920355</v>
      </c>
      <c r="O1709" t="str">
        <f t="shared" si="80"/>
        <v>FJERN</v>
      </c>
      <c r="P1709" s="1" t="s">
        <v>6639</v>
      </c>
    </row>
    <row r="1710" spans="1:16" ht="15" customHeight="1" x14ac:dyDescent="0.2">
      <c r="A1710" s="1" t="s">
        <v>5003</v>
      </c>
      <c r="B1710" s="1" t="s">
        <v>5004</v>
      </c>
      <c r="C1710" s="1" t="s">
        <v>9</v>
      </c>
      <c r="D1710" s="1" t="s">
        <v>3</v>
      </c>
      <c r="E1710" s="5">
        <v>40189</v>
      </c>
      <c r="F1710" s="5">
        <v>46155</v>
      </c>
      <c r="G1710" s="2">
        <v>2.6022810000000001</v>
      </c>
      <c r="H1710" s="1" t="s">
        <v>10</v>
      </c>
      <c r="I1710" s="2">
        <v>58.565571476000002</v>
      </c>
      <c r="J1710" s="1" t="s">
        <v>197</v>
      </c>
      <c r="K1710" s="1" t="s">
        <v>5005</v>
      </c>
      <c r="L1710" s="2">
        <v>1088580</v>
      </c>
      <c r="M1710">
        <f t="shared" si="78"/>
        <v>2832791.0509800003</v>
      </c>
      <c r="N1710">
        <f t="shared" si="79"/>
        <v>250689.47353805311</v>
      </c>
      <c r="O1710" t="str">
        <f t="shared" si="80"/>
        <v>BEHOLD</v>
      </c>
      <c r="P1710" s="1" t="s">
        <v>6640</v>
      </c>
    </row>
    <row r="1711" spans="1:16" ht="15" customHeight="1" x14ac:dyDescent="0.2">
      <c r="A1711" s="1" t="s">
        <v>5006</v>
      </c>
      <c r="B1711" s="1" t="s">
        <v>5007</v>
      </c>
      <c r="C1711" s="1" t="s">
        <v>9</v>
      </c>
      <c r="D1711" s="1" t="s">
        <v>3</v>
      </c>
      <c r="E1711" s="5">
        <v>42118</v>
      </c>
      <c r="F1711" s="5">
        <v>46155</v>
      </c>
      <c r="G1711" s="2">
        <v>13.75257</v>
      </c>
      <c r="H1711" s="1" t="s">
        <v>10</v>
      </c>
      <c r="I1711" s="2">
        <v>505.73289599999998</v>
      </c>
      <c r="J1711" s="1" t="s">
        <v>38</v>
      </c>
      <c r="K1711" s="1" t="s">
        <v>5008</v>
      </c>
      <c r="L1711" s="2">
        <v>989464</v>
      </c>
      <c r="M1711">
        <f t="shared" si="78"/>
        <v>13607672.92248</v>
      </c>
      <c r="N1711">
        <f t="shared" si="79"/>
        <v>1204218.8426973452</v>
      </c>
      <c r="O1711" t="str">
        <f t="shared" si="80"/>
        <v>BEHOLD</v>
      </c>
      <c r="P1711" s="1" t="s">
        <v>6641</v>
      </c>
    </row>
    <row r="1712" spans="1:16" ht="15" customHeight="1" x14ac:dyDescent="0.2">
      <c r="A1712" s="1" t="s">
        <v>5009</v>
      </c>
      <c r="B1712" s="1" t="s">
        <v>5010</v>
      </c>
      <c r="C1712" s="1" t="s">
        <v>9</v>
      </c>
      <c r="D1712" s="1" t="s">
        <v>3</v>
      </c>
      <c r="E1712" s="5">
        <v>42180</v>
      </c>
      <c r="F1712" s="5">
        <v>46155</v>
      </c>
      <c r="G1712" s="2">
        <v>9.4170590000000001</v>
      </c>
      <c r="H1712" s="1" t="s">
        <v>10</v>
      </c>
      <c r="I1712" s="2">
        <v>10.2081870205</v>
      </c>
      <c r="J1712" s="1" t="s">
        <v>23</v>
      </c>
      <c r="K1712" s="1" t="s">
        <v>5011</v>
      </c>
      <c r="L1712" s="2">
        <v>111891.9</v>
      </c>
      <c r="M1712">
        <f t="shared" si="78"/>
        <v>1053692.6239221001</v>
      </c>
      <c r="N1712">
        <f t="shared" si="79"/>
        <v>93247.134860362828</v>
      </c>
      <c r="O1712" t="str">
        <f t="shared" si="80"/>
        <v>FJERN</v>
      </c>
      <c r="P1712" s="1" t="s">
        <v>6642</v>
      </c>
    </row>
    <row r="1713" spans="1:16" ht="15" customHeight="1" x14ac:dyDescent="0.2">
      <c r="A1713" s="1" t="s">
        <v>5012</v>
      </c>
      <c r="B1713" s="1" t="s">
        <v>5013</v>
      </c>
      <c r="C1713" s="1" t="s">
        <v>9</v>
      </c>
      <c r="D1713" s="1" t="s">
        <v>3</v>
      </c>
      <c r="E1713" s="5">
        <v>42655</v>
      </c>
      <c r="F1713" s="5">
        <v>46155</v>
      </c>
      <c r="G1713" s="2">
        <v>7.9355260000000003</v>
      </c>
      <c r="H1713" s="1" t="s">
        <v>10</v>
      </c>
      <c r="I1713" s="2">
        <v>157.924756667</v>
      </c>
      <c r="J1713" s="1" t="s">
        <v>64</v>
      </c>
      <c r="K1713" s="1" t="s">
        <v>5014</v>
      </c>
      <c r="L1713" s="2">
        <v>248316.2</v>
      </c>
      <c r="M1713">
        <f t="shared" si="78"/>
        <v>1970519.6613212002</v>
      </c>
      <c r="N1713">
        <f t="shared" si="79"/>
        <v>174382.27091338055</v>
      </c>
      <c r="O1713" t="str">
        <f t="shared" si="80"/>
        <v>BEHOLD</v>
      </c>
      <c r="P1713" s="1" t="s">
        <v>6643</v>
      </c>
    </row>
    <row r="1714" spans="1:16" ht="15" customHeight="1" x14ac:dyDescent="0.2">
      <c r="A1714" s="1" t="s">
        <v>5015</v>
      </c>
      <c r="B1714" s="1" t="s">
        <v>5016</v>
      </c>
      <c r="C1714" s="1" t="s">
        <v>2</v>
      </c>
      <c r="D1714" s="1" t="s">
        <v>3</v>
      </c>
      <c r="E1714" s="5">
        <v>35920</v>
      </c>
      <c r="F1714" s="5">
        <v>46155</v>
      </c>
      <c r="G1714" s="2">
        <v>348.98270000000002</v>
      </c>
      <c r="H1714" s="1" t="s">
        <v>4</v>
      </c>
      <c r="I1714" s="2">
        <v>28150.763121</v>
      </c>
      <c r="J1714" s="1" t="s">
        <v>5</v>
      </c>
      <c r="K1714" s="1" t="s">
        <v>5017</v>
      </c>
      <c r="L1714" s="2">
        <v>122942.6</v>
      </c>
      <c r="M1714">
        <f t="shared" si="78"/>
        <v>42904840.493020006</v>
      </c>
      <c r="N1714">
        <f t="shared" si="79"/>
        <v>5759038.9923516782</v>
      </c>
      <c r="O1714" t="str">
        <f t="shared" si="80"/>
        <v>BEHOLD</v>
      </c>
      <c r="P1714" s="1" t="s">
        <v>6644</v>
      </c>
    </row>
    <row r="1715" spans="1:16" ht="15" customHeight="1" x14ac:dyDescent="0.2">
      <c r="A1715" s="1" t="s">
        <v>5018</v>
      </c>
      <c r="B1715" s="1" t="s">
        <v>5019</v>
      </c>
      <c r="C1715" s="1" t="s">
        <v>9</v>
      </c>
      <c r="D1715" s="1" t="s">
        <v>3</v>
      </c>
      <c r="E1715" s="5">
        <v>39608</v>
      </c>
      <c r="F1715" s="5">
        <v>46155</v>
      </c>
      <c r="G1715" s="2">
        <v>69.242789999999999</v>
      </c>
      <c r="H1715" s="1" t="s">
        <v>10</v>
      </c>
      <c r="I1715" s="2">
        <v>30293.2206057</v>
      </c>
      <c r="J1715" s="1" t="s">
        <v>51</v>
      </c>
      <c r="K1715" s="1" t="s">
        <v>5020</v>
      </c>
      <c r="L1715" s="2">
        <v>605813.80000000005</v>
      </c>
      <c r="M1715">
        <f t="shared" si="78"/>
        <v>41948237.732502006</v>
      </c>
      <c r="N1715">
        <f t="shared" si="79"/>
        <v>3712233.4276550445</v>
      </c>
      <c r="O1715" t="str">
        <f t="shared" si="80"/>
        <v>BEHOLD</v>
      </c>
      <c r="P1715" s="1" t="s">
        <v>6645</v>
      </c>
    </row>
    <row r="1716" spans="1:16" ht="15" customHeight="1" x14ac:dyDescent="0.2">
      <c r="A1716" s="1" t="s">
        <v>5021</v>
      </c>
      <c r="B1716" s="1" t="s">
        <v>5022</v>
      </c>
      <c r="C1716" s="1" t="s">
        <v>2</v>
      </c>
      <c r="D1716" s="1" t="s">
        <v>3</v>
      </c>
      <c r="E1716" s="5">
        <v>38639</v>
      </c>
      <c r="F1716" s="5">
        <v>46155</v>
      </c>
      <c r="G1716" s="2">
        <v>110.9708</v>
      </c>
      <c r="H1716" s="1" t="s">
        <v>4</v>
      </c>
      <c r="I1716" s="2">
        <v>100236.21711300001</v>
      </c>
      <c r="J1716" s="1" t="s">
        <v>83</v>
      </c>
      <c r="K1716" s="1" t="s">
        <v>5023</v>
      </c>
      <c r="L1716" s="2">
        <v>659506.1</v>
      </c>
      <c r="M1716">
        <f t="shared" si="78"/>
        <v>73185919.521880001</v>
      </c>
      <c r="N1716">
        <f t="shared" si="79"/>
        <v>9823613.3586416114</v>
      </c>
      <c r="O1716" t="str">
        <f t="shared" si="80"/>
        <v>BEHOLD</v>
      </c>
      <c r="P1716" s="1" t="s">
        <v>6646</v>
      </c>
    </row>
    <row r="1717" spans="1:16" ht="15" customHeight="1" x14ac:dyDescent="0.2">
      <c r="A1717" s="1" t="s">
        <v>5024</v>
      </c>
      <c r="B1717" s="1" t="s">
        <v>5025</v>
      </c>
      <c r="C1717" s="1" t="s">
        <v>9</v>
      </c>
      <c r="D1717" s="1" t="s">
        <v>3</v>
      </c>
      <c r="E1717" s="5">
        <v>32029</v>
      </c>
      <c r="F1717" s="5">
        <v>46155</v>
      </c>
      <c r="G1717" s="2">
        <v>79.32056</v>
      </c>
      <c r="H1717" s="1" t="s">
        <v>10</v>
      </c>
      <c r="I1717" s="2">
        <v>266016.84796918498</v>
      </c>
      <c r="J1717" s="1" t="s">
        <v>15</v>
      </c>
      <c r="K1717" s="1" t="s">
        <v>5026</v>
      </c>
      <c r="L1717" s="2">
        <v>4642325</v>
      </c>
      <c r="M1717">
        <f t="shared" si="78"/>
        <v>368231818.70200002</v>
      </c>
      <c r="N1717">
        <f t="shared" si="79"/>
        <v>32586886.610796459</v>
      </c>
      <c r="O1717" t="str">
        <f t="shared" si="80"/>
        <v>BEHOLD</v>
      </c>
      <c r="P1717" s="1" t="s">
        <v>6647</v>
      </c>
    </row>
    <row r="1718" spans="1:16" ht="15" customHeight="1" x14ac:dyDescent="0.2">
      <c r="A1718" s="1" t="s">
        <v>5027</v>
      </c>
      <c r="B1718" s="1" t="s">
        <v>5028</v>
      </c>
      <c r="C1718" s="1" t="s">
        <v>9</v>
      </c>
      <c r="D1718" s="1" t="s">
        <v>3</v>
      </c>
      <c r="E1718" s="5">
        <v>41719</v>
      </c>
      <c r="F1718" s="5">
        <v>43861</v>
      </c>
      <c r="G1718" s="2">
        <v>62.985970000000002</v>
      </c>
      <c r="H1718" s="1" t="s">
        <v>10</v>
      </c>
      <c r="I1718" s="2"/>
      <c r="J1718" s="1" t="s">
        <v>61</v>
      </c>
      <c r="K1718" s="1" t="s">
        <v>5029</v>
      </c>
      <c r="L1718" s="2">
        <v>474135.4</v>
      </c>
      <c r="M1718">
        <f t="shared" si="78"/>
        <v>29863878.080338001</v>
      </c>
      <c r="N1718">
        <f t="shared" si="79"/>
        <v>2642821.0690564602</v>
      </c>
      <c r="O1718" t="str">
        <f t="shared" si="80"/>
        <v>BEHOLD</v>
      </c>
      <c r="P1718" s="1" t="s">
        <v>6648</v>
      </c>
    </row>
    <row r="1719" spans="1:16" ht="15" customHeight="1" x14ac:dyDescent="0.2">
      <c r="A1719" s="1" t="s">
        <v>5030</v>
      </c>
      <c r="B1719" s="1" t="s">
        <v>5031</v>
      </c>
      <c r="C1719" s="1" t="s">
        <v>9</v>
      </c>
      <c r="D1719" s="1" t="s">
        <v>3</v>
      </c>
      <c r="E1719" s="5">
        <v>38070</v>
      </c>
      <c r="F1719" s="5">
        <v>43663</v>
      </c>
      <c r="G1719" s="2">
        <v>253.48150000000001</v>
      </c>
      <c r="H1719" s="1" t="s">
        <v>10</v>
      </c>
      <c r="I1719" s="2"/>
      <c r="J1719" s="1" t="s">
        <v>222</v>
      </c>
      <c r="K1719" s="1" t="s">
        <v>5032</v>
      </c>
      <c r="L1719" s="2">
        <v>221671.5</v>
      </c>
      <c r="M1719">
        <f t="shared" si="78"/>
        <v>56189624.327250004</v>
      </c>
      <c r="N1719">
        <f t="shared" si="79"/>
        <v>4972533.1263053101</v>
      </c>
      <c r="O1719" t="str">
        <f t="shared" si="80"/>
        <v>BEHOLD</v>
      </c>
      <c r="P1719" s="1" t="s">
        <v>6649</v>
      </c>
    </row>
    <row r="1720" spans="1:16" ht="15" customHeight="1" x14ac:dyDescent="0.2">
      <c r="A1720" s="1" t="s">
        <v>5033</v>
      </c>
      <c r="B1720" s="1" t="s">
        <v>5034</v>
      </c>
      <c r="C1720" s="1" t="s">
        <v>9</v>
      </c>
      <c r="D1720" s="1" t="s">
        <v>3</v>
      </c>
      <c r="E1720" s="5">
        <v>42720</v>
      </c>
      <c r="F1720" s="5">
        <v>46155</v>
      </c>
      <c r="G1720" s="2">
        <v>1.625372</v>
      </c>
      <c r="H1720" s="1" t="s">
        <v>10</v>
      </c>
      <c r="I1720" s="2">
        <v>34.981316612999997</v>
      </c>
      <c r="J1720" s="1" t="s">
        <v>236</v>
      </c>
      <c r="K1720" s="1" t="s">
        <v>5035</v>
      </c>
      <c r="L1720" s="2">
        <v>123182.8</v>
      </c>
      <c r="M1720">
        <f t="shared" si="78"/>
        <v>200217.87400160002</v>
      </c>
      <c r="N1720">
        <f t="shared" si="79"/>
        <v>17718.395929345133</v>
      </c>
      <c r="O1720" t="str">
        <f t="shared" si="80"/>
        <v>FJERN</v>
      </c>
      <c r="P1720" s="1" t="s">
        <v>6650</v>
      </c>
    </row>
    <row r="1721" spans="1:16" ht="15" customHeight="1" x14ac:dyDescent="0.2">
      <c r="A1721" s="1" t="s">
        <v>5036</v>
      </c>
      <c r="B1721" s="1" t="s">
        <v>5037</v>
      </c>
      <c r="C1721" s="1" t="s">
        <v>9</v>
      </c>
      <c r="D1721" s="1" t="s">
        <v>3</v>
      </c>
      <c r="E1721" s="5">
        <v>42333</v>
      </c>
      <c r="F1721" s="5">
        <v>46155</v>
      </c>
      <c r="G1721" s="2">
        <v>5.6554719999999996</v>
      </c>
      <c r="H1721" s="1" t="s">
        <v>10</v>
      </c>
      <c r="I1721" s="2">
        <v>86.484254452000002</v>
      </c>
      <c r="J1721" s="1" t="s">
        <v>366</v>
      </c>
      <c r="K1721" s="1" t="s">
        <v>5038</v>
      </c>
      <c r="L1721" s="2">
        <v>206438.2</v>
      </c>
      <c r="M1721">
        <f t="shared" si="78"/>
        <v>1167505.4598304001</v>
      </c>
      <c r="N1721">
        <f t="shared" si="79"/>
        <v>103319.06724162832</v>
      </c>
      <c r="O1721" t="str">
        <f t="shared" si="80"/>
        <v>BEHOLD</v>
      </c>
      <c r="P1721" s="1" t="s">
        <v>6651</v>
      </c>
    </row>
    <row r="1722" spans="1:16" ht="15" customHeight="1" x14ac:dyDescent="0.2">
      <c r="A1722" s="1" t="s">
        <v>5039</v>
      </c>
      <c r="B1722" s="1" t="s">
        <v>5040</v>
      </c>
      <c r="C1722" s="1" t="s">
        <v>9</v>
      </c>
      <c r="D1722" s="1" t="s">
        <v>2895</v>
      </c>
      <c r="E1722" s="5">
        <v>42236</v>
      </c>
      <c r="F1722" s="5">
        <v>42412</v>
      </c>
      <c r="G1722" s="2">
        <v>394.73610000000002</v>
      </c>
      <c r="H1722" s="1" t="s">
        <v>10</v>
      </c>
      <c r="I1722" s="2"/>
      <c r="J1722" s="1" t="s">
        <v>11</v>
      </c>
      <c r="K1722" s="1" t="s">
        <v>5041</v>
      </c>
      <c r="L1722" s="2">
        <v>34.20834</v>
      </c>
      <c r="M1722">
        <f t="shared" si="78"/>
        <v>13503.266719074001</v>
      </c>
      <c r="N1722">
        <f t="shared" si="79"/>
        <v>1194.9793556702655</v>
      </c>
      <c r="O1722" t="str">
        <f t="shared" si="80"/>
        <v>FJERN</v>
      </c>
      <c r="P1722" s="1"/>
    </row>
    <row r="1723" spans="1:16" ht="15" customHeight="1" x14ac:dyDescent="0.2">
      <c r="A1723" s="1" t="s">
        <v>5042</v>
      </c>
      <c r="B1723" s="1" t="s">
        <v>5043</v>
      </c>
      <c r="C1723" s="1" t="s">
        <v>9</v>
      </c>
      <c r="D1723" s="1" t="s">
        <v>3</v>
      </c>
      <c r="E1723" s="5">
        <v>39009</v>
      </c>
      <c r="F1723" s="5">
        <v>42286</v>
      </c>
      <c r="G1723" s="2">
        <v>22.380490000000002</v>
      </c>
      <c r="H1723" s="1" t="s">
        <v>10</v>
      </c>
      <c r="I1723" s="2"/>
      <c r="J1723" s="1" t="s">
        <v>61</v>
      </c>
      <c r="K1723" s="1" t="s">
        <v>5044</v>
      </c>
      <c r="L1723" s="2">
        <v>22193.09</v>
      </c>
      <c r="M1723">
        <f t="shared" si="78"/>
        <v>496692.22881410003</v>
      </c>
      <c r="N1723">
        <f t="shared" si="79"/>
        <v>43955.064496823012</v>
      </c>
      <c r="O1723" t="str">
        <f t="shared" si="80"/>
        <v>FJERN</v>
      </c>
      <c r="P1723" s="1" t="s">
        <v>6652</v>
      </c>
    </row>
    <row r="1724" spans="1:16" ht="15" customHeight="1" x14ac:dyDescent="0.2">
      <c r="A1724" s="1" t="s">
        <v>5045</v>
      </c>
      <c r="B1724" s="1" t="s">
        <v>5046</v>
      </c>
      <c r="C1724" s="1" t="s">
        <v>2</v>
      </c>
      <c r="D1724" s="1" t="s">
        <v>3</v>
      </c>
      <c r="E1724" s="5">
        <v>33010</v>
      </c>
      <c r="F1724" s="5">
        <v>46155</v>
      </c>
      <c r="G1724" s="2">
        <v>212.76570000000001</v>
      </c>
      <c r="H1724" s="1" t="s">
        <v>4</v>
      </c>
      <c r="I1724" s="2">
        <v>12887.945798000001</v>
      </c>
      <c r="J1724" s="1" t="s">
        <v>11</v>
      </c>
      <c r="K1724" s="1" t="s">
        <v>5047</v>
      </c>
      <c r="L1724" s="2">
        <v>29077.88</v>
      </c>
      <c r="M1724">
        <f t="shared" si="78"/>
        <v>6186775.4927160004</v>
      </c>
      <c r="N1724">
        <f t="shared" si="79"/>
        <v>830439.66345181211</v>
      </c>
      <c r="O1724" t="str">
        <f t="shared" si="80"/>
        <v>BEHOLD</v>
      </c>
      <c r="P1724" s="1" t="s">
        <v>6653</v>
      </c>
    </row>
    <row r="1725" spans="1:16" ht="15" customHeight="1" x14ac:dyDescent="0.2">
      <c r="A1725" s="1" t="s">
        <v>5048</v>
      </c>
      <c r="B1725" s="1" t="s">
        <v>5049</v>
      </c>
      <c r="C1725" s="1" t="s">
        <v>9</v>
      </c>
      <c r="D1725" s="1" t="s">
        <v>3</v>
      </c>
      <c r="E1725" s="5">
        <v>39189</v>
      </c>
      <c r="F1725" s="5">
        <v>46155</v>
      </c>
      <c r="G1725" s="2">
        <v>31.65917</v>
      </c>
      <c r="H1725" s="1" t="s">
        <v>10</v>
      </c>
      <c r="I1725" s="2">
        <v>93.124836000000002</v>
      </c>
      <c r="J1725" s="1" t="s">
        <v>289</v>
      </c>
      <c r="K1725" s="1" t="s">
        <v>5050</v>
      </c>
      <c r="L1725" s="2">
        <v>6321.3509999999997</v>
      </c>
      <c r="M1725">
        <f t="shared" si="78"/>
        <v>200128.72593866999</v>
      </c>
      <c r="N1725">
        <f t="shared" si="79"/>
        <v>17710.506720236281</v>
      </c>
      <c r="O1725" t="str">
        <f t="shared" si="80"/>
        <v>FJERN</v>
      </c>
      <c r="P1725" s="1"/>
    </row>
    <row r="1726" spans="1:16" ht="15" customHeight="1" x14ac:dyDescent="0.2">
      <c r="A1726" s="1" t="s">
        <v>5051</v>
      </c>
      <c r="B1726" s="1" t="s">
        <v>5052</v>
      </c>
      <c r="C1726" s="1" t="s">
        <v>9</v>
      </c>
      <c r="D1726" s="1" t="s">
        <v>3</v>
      </c>
      <c r="E1726" s="5">
        <v>42320</v>
      </c>
      <c r="F1726" s="5">
        <v>46155</v>
      </c>
      <c r="G1726" s="2">
        <v>19.934460000000001</v>
      </c>
      <c r="H1726" s="1" t="s">
        <v>10</v>
      </c>
      <c r="I1726" s="2">
        <v>338.80577039999997</v>
      </c>
      <c r="J1726" s="1" t="s">
        <v>38</v>
      </c>
      <c r="K1726" s="1" t="s">
        <v>5053</v>
      </c>
      <c r="L1726" s="2">
        <v>17593.12</v>
      </c>
      <c r="M1726">
        <f t="shared" si="78"/>
        <v>350709.3469152</v>
      </c>
      <c r="N1726">
        <f t="shared" si="79"/>
        <v>31036.225390725664</v>
      </c>
      <c r="O1726" t="str">
        <f t="shared" si="80"/>
        <v>FJERN</v>
      </c>
      <c r="P1726" s="1" t="s">
        <v>6654</v>
      </c>
    </row>
    <row r="1727" spans="1:16" ht="15" customHeight="1" x14ac:dyDescent="0.2">
      <c r="A1727" s="1" t="s">
        <v>5054</v>
      </c>
      <c r="B1727" s="1" t="s">
        <v>5055</v>
      </c>
      <c r="C1727" s="1" t="s">
        <v>9</v>
      </c>
      <c r="D1727" s="1" t="s">
        <v>3</v>
      </c>
      <c r="E1727" s="5">
        <v>34912</v>
      </c>
      <c r="F1727" s="5">
        <v>46155</v>
      </c>
      <c r="G1727" s="2">
        <v>83.441100000000006</v>
      </c>
      <c r="H1727" s="1" t="s">
        <v>10</v>
      </c>
      <c r="I1727" s="2">
        <v>1341.6955355</v>
      </c>
      <c r="J1727" s="1" t="s">
        <v>236</v>
      </c>
      <c r="K1727" s="1" t="s">
        <v>5056</v>
      </c>
      <c r="L1727" s="2">
        <v>22194.74</v>
      </c>
      <c r="M1727">
        <f t="shared" si="78"/>
        <v>1851953.5198140002</v>
      </c>
      <c r="N1727">
        <f t="shared" si="79"/>
        <v>163889.69201893808</v>
      </c>
      <c r="O1727" t="str">
        <f t="shared" si="80"/>
        <v>BEHOLD</v>
      </c>
      <c r="P1727" s="1" t="s">
        <v>6655</v>
      </c>
    </row>
    <row r="1728" spans="1:16" ht="15" customHeight="1" x14ac:dyDescent="0.2">
      <c r="A1728" s="1" t="s">
        <v>5057</v>
      </c>
      <c r="B1728" s="1" t="s">
        <v>5058</v>
      </c>
      <c r="C1728" s="1" t="s">
        <v>9</v>
      </c>
      <c r="D1728" s="1" t="s">
        <v>3</v>
      </c>
      <c r="E1728" s="5">
        <v>34647</v>
      </c>
      <c r="F1728" s="5">
        <v>46155</v>
      </c>
      <c r="G1728" s="2">
        <v>174.42830000000001</v>
      </c>
      <c r="H1728" s="1" t="s">
        <v>10</v>
      </c>
      <c r="I1728" s="2">
        <v>398657.61516483699</v>
      </c>
      <c r="J1728" s="1" t="s">
        <v>86</v>
      </c>
      <c r="K1728" s="1" t="s">
        <v>5059</v>
      </c>
      <c r="L1728" s="2">
        <v>2648594</v>
      </c>
      <c r="M1728">
        <f t="shared" si="78"/>
        <v>461989748.81020004</v>
      </c>
      <c r="N1728">
        <f t="shared" si="79"/>
        <v>40884048.567274339</v>
      </c>
      <c r="O1728" t="str">
        <f t="shared" si="80"/>
        <v>BEHOLD</v>
      </c>
      <c r="P1728" s="1" t="s">
        <v>6656</v>
      </c>
    </row>
    <row r="1729" spans="1:16" ht="15" customHeight="1" x14ac:dyDescent="0.2">
      <c r="A1729" s="1" t="s">
        <v>5060</v>
      </c>
      <c r="B1729" s="1" t="s">
        <v>5061</v>
      </c>
      <c r="C1729" s="1" t="s">
        <v>9</v>
      </c>
      <c r="D1729" s="1" t="s">
        <v>3</v>
      </c>
      <c r="E1729" s="5">
        <v>41424</v>
      </c>
      <c r="F1729" s="5">
        <v>46155</v>
      </c>
      <c r="G1729" s="2">
        <v>14.564780000000001</v>
      </c>
      <c r="H1729" s="1" t="s">
        <v>10</v>
      </c>
      <c r="I1729" s="2">
        <v>19.13498272</v>
      </c>
      <c r="J1729" s="1" t="s">
        <v>64</v>
      </c>
      <c r="K1729" s="1" t="s">
        <v>5062</v>
      </c>
      <c r="L1729" s="2">
        <v>13174.28</v>
      </c>
      <c r="M1729">
        <f t="shared" si="78"/>
        <v>191880.48985840002</v>
      </c>
      <c r="N1729">
        <f t="shared" si="79"/>
        <v>16980.574323752215</v>
      </c>
      <c r="O1729" t="str">
        <f t="shared" si="80"/>
        <v>FJERN</v>
      </c>
      <c r="P1729" s="1" t="s">
        <v>6657</v>
      </c>
    </row>
    <row r="1730" spans="1:16" ht="15" customHeight="1" x14ac:dyDescent="0.2">
      <c r="A1730" s="1" t="s">
        <v>5063</v>
      </c>
      <c r="B1730" s="1" t="s">
        <v>5064</v>
      </c>
      <c r="C1730" s="1" t="s">
        <v>9</v>
      </c>
      <c r="D1730" s="1" t="s">
        <v>3</v>
      </c>
      <c r="E1730" s="5">
        <v>42521</v>
      </c>
      <c r="F1730" s="5">
        <v>46155</v>
      </c>
      <c r="G1730" s="2">
        <v>12.31888</v>
      </c>
      <c r="H1730" s="1" t="s">
        <v>10</v>
      </c>
      <c r="I1730" s="2">
        <v>299.91360750000001</v>
      </c>
      <c r="J1730" s="1" t="s">
        <v>236</v>
      </c>
      <c r="K1730" s="1" t="s">
        <v>5065</v>
      </c>
      <c r="L1730" s="2">
        <v>24595.95</v>
      </c>
      <c r="M1730">
        <f t="shared" si="78"/>
        <v>302994.55653599999</v>
      </c>
      <c r="N1730">
        <f t="shared" si="79"/>
        <v>26813.67756955752</v>
      </c>
      <c r="O1730" t="str">
        <f t="shared" si="80"/>
        <v>FJERN</v>
      </c>
      <c r="P1730" s="1" t="s">
        <v>6658</v>
      </c>
    </row>
    <row r="1731" spans="1:16" ht="15" customHeight="1" x14ac:dyDescent="0.2">
      <c r="A1731" s="1" t="s">
        <v>5066</v>
      </c>
      <c r="B1731" s="1" t="s">
        <v>5067</v>
      </c>
      <c r="C1731" s="1" t="s">
        <v>9</v>
      </c>
      <c r="D1731" s="1" t="s">
        <v>3</v>
      </c>
      <c r="E1731" s="5">
        <v>42354</v>
      </c>
      <c r="F1731" s="5">
        <v>45887</v>
      </c>
      <c r="G1731" s="2">
        <v>2.3267799999999998</v>
      </c>
      <c r="H1731" s="1" t="s">
        <v>10</v>
      </c>
      <c r="I1731" s="2">
        <v>160.95143156399999</v>
      </c>
      <c r="J1731" s="1" t="s">
        <v>366</v>
      </c>
      <c r="K1731" s="1" t="s">
        <v>5068</v>
      </c>
      <c r="L1731" s="2">
        <v>197904.1</v>
      </c>
      <c r="M1731">
        <f t="shared" ref="M1731:M1794" si="81">IF(OR(G1731="",L1731=""),"",G1731*L1731)</f>
        <v>460479.301798</v>
      </c>
      <c r="N1731">
        <f t="shared" ref="N1731:N1794" si="82">IF(M1731="","",IF(H1731="DKK",M1731/7.45,IF(H1731="SEK",M1731/11.3,M1731)))</f>
        <v>40750.380690088496</v>
      </c>
      <c r="O1731" t="str">
        <f t="shared" ref="O1731:O1794" si="83">IF(AND(E1731&lt;=DATE(2024,12,31),F1731&gt;=DATE(2010,1,1),D1731="SHARE",N1731&gt;=100000),"BEHOLD","FJERN")</f>
        <v>FJERN</v>
      </c>
      <c r="P1731" s="1" t="s">
        <v>6659</v>
      </c>
    </row>
    <row r="1732" spans="1:16" ht="15" customHeight="1" x14ac:dyDescent="0.2">
      <c r="A1732" s="1" t="s">
        <v>5069</v>
      </c>
      <c r="B1732" s="1" t="s">
        <v>5070</v>
      </c>
      <c r="C1732" s="1" t="s">
        <v>9</v>
      </c>
      <c r="D1732" s="1" t="s">
        <v>3</v>
      </c>
      <c r="E1732" s="5">
        <v>42635</v>
      </c>
      <c r="F1732" s="5">
        <v>46122</v>
      </c>
      <c r="G1732" s="2">
        <v>8.1993479999999994E-2</v>
      </c>
      <c r="H1732" s="6" t="s">
        <v>3371</v>
      </c>
      <c r="I1732" s="2">
        <v>2.2048662754016499</v>
      </c>
      <c r="J1732" s="1" t="s">
        <v>236</v>
      </c>
      <c r="K1732" s="1" t="s">
        <v>5071</v>
      </c>
      <c r="L1732" s="2">
        <v>599808.19999999995</v>
      </c>
      <c r="M1732">
        <f t="shared" si="81"/>
        <v>49180.36165053599</v>
      </c>
      <c r="N1732">
        <f t="shared" si="82"/>
        <v>49180.36165053599</v>
      </c>
      <c r="O1732" t="str">
        <f t="shared" si="83"/>
        <v>FJERN</v>
      </c>
      <c r="P1732" s="1" t="s">
        <v>6660</v>
      </c>
    </row>
    <row r="1733" spans="1:16" ht="15" customHeight="1" x14ac:dyDescent="0.2">
      <c r="A1733" s="1" t="s">
        <v>5072</v>
      </c>
      <c r="B1733" s="1" t="s">
        <v>5073</v>
      </c>
      <c r="C1733" s="1" t="s">
        <v>9</v>
      </c>
      <c r="D1733" s="1" t="s">
        <v>2895</v>
      </c>
      <c r="E1733" s="5">
        <v>42829</v>
      </c>
      <c r="F1733" s="5">
        <v>43490</v>
      </c>
      <c r="G1733" s="2">
        <v>80.834779999999995</v>
      </c>
      <c r="H1733" s="1" t="s">
        <v>10</v>
      </c>
      <c r="I1733" s="2"/>
      <c r="J1733" s="1" t="s">
        <v>61</v>
      </c>
      <c r="K1733" s="1" t="s">
        <v>5074</v>
      </c>
      <c r="L1733" s="2">
        <v>784.4443</v>
      </c>
      <c r="M1733">
        <f t="shared" si="81"/>
        <v>63410.382412753999</v>
      </c>
      <c r="N1733">
        <f t="shared" si="82"/>
        <v>5611.5382666153982</v>
      </c>
      <c r="O1733" t="str">
        <f t="shared" si="83"/>
        <v>FJERN</v>
      </c>
      <c r="P1733" s="1"/>
    </row>
    <row r="1734" spans="1:16" ht="15" customHeight="1" x14ac:dyDescent="0.2">
      <c r="A1734" s="1" t="s">
        <v>5075</v>
      </c>
      <c r="B1734" s="1" t="s">
        <v>5076</v>
      </c>
      <c r="C1734" s="1" t="s">
        <v>9</v>
      </c>
      <c r="D1734" s="1" t="s">
        <v>3</v>
      </c>
      <c r="E1734" s="5">
        <v>42878</v>
      </c>
      <c r="F1734" s="5">
        <v>46155</v>
      </c>
      <c r="G1734" s="2">
        <v>152.23949999999999</v>
      </c>
      <c r="H1734" s="1" t="s">
        <v>10</v>
      </c>
      <c r="I1734" s="2">
        <v>33287.216736535003</v>
      </c>
      <c r="J1734" s="1" t="s">
        <v>64</v>
      </c>
      <c r="K1734" s="1" t="s">
        <v>5077</v>
      </c>
      <c r="L1734" s="2">
        <v>78981.05</v>
      </c>
      <c r="M1734">
        <f t="shared" si="81"/>
        <v>12024035.561474999</v>
      </c>
      <c r="N1734">
        <f t="shared" si="82"/>
        <v>1064073.9434933627</v>
      </c>
      <c r="O1734" t="str">
        <f t="shared" si="83"/>
        <v>BEHOLD</v>
      </c>
      <c r="P1734" s="1" t="s">
        <v>6661</v>
      </c>
    </row>
    <row r="1735" spans="1:16" ht="15" customHeight="1" x14ac:dyDescent="0.2">
      <c r="A1735" s="1" t="s">
        <v>5078</v>
      </c>
      <c r="B1735" s="1" t="s">
        <v>5079</v>
      </c>
      <c r="C1735" s="1" t="s">
        <v>9</v>
      </c>
      <c r="D1735" s="1" t="s">
        <v>3</v>
      </c>
      <c r="E1735" s="5">
        <v>42502</v>
      </c>
      <c r="F1735" s="5">
        <v>43266</v>
      </c>
      <c r="G1735" s="2">
        <v>90.701070000000001</v>
      </c>
      <c r="H1735" s="1" t="s">
        <v>10</v>
      </c>
      <c r="I1735" s="2"/>
      <c r="J1735" s="1" t="s">
        <v>366</v>
      </c>
      <c r="K1735" s="1" t="s">
        <v>5080</v>
      </c>
      <c r="L1735" s="2">
        <v>31947.759999999998</v>
      </c>
      <c r="M1735">
        <f t="shared" si="81"/>
        <v>2897696.0161031997</v>
      </c>
      <c r="N1735">
        <f t="shared" si="82"/>
        <v>256433.27576134508</v>
      </c>
      <c r="O1735" t="str">
        <f t="shared" si="83"/>
        <v>BEHOLD</v>
      </c>
      <c r="P1735" s="1" t="s">
        <v>6662</v>
      </c>
    </row>
    <row r="1736" spans="1:16" ht="15" customHeight="1" x14ac:dyDescent="0.2">
      <c r="A1736" s="1" t="s">
        <v>5081</v>
      </c>
      <c r="B1736" s="1" t="s">
        <v>5082</v>
      </c>
      <c r="C1736" s="1" t="s">
        <v>9</v>
      </c>
      <c r="D1736" s="1" t="s">
        <v>3</v>
      </c>
      <c r="E1736" s="5">
        <v>33070</v>
      </c>
      <c r="F1736" s="5">
        <v>46155</v>
      </c>
      <c r="G1736" s="2">
        <v>92.051169999999999</v>
      </c>
      <c r="H1736" s="1" t="s">
        <v>10</v>
      </c>
      <c r="I1736" s="2">
        <v>5258.5850399999999</v>
      </c>
      <c r="J1736" s="1" t="s">
        <v>76</v>
      </c>
      <c r="K1736" s="1" t="s">
        <v>5083</v>
      </c>
      <c r="L1736" s="2">
        <v>47493.87</v>
      </c>
      <c r="M1736">
        <f t="shared" si="81"/>
        <v>4371866.3013279</v>
      </c>
      <c r="N1736">
        <f t="shared" si="82"/>
        <v>386890.82312636281</v>
      </c>
      <c r="O1736" t="str">
        <f t="shared" si="83"/>
        <v>BEHOLD</v>
      </c>
      <c r="P1736" s="1" t="s">
        <v>6663</v>
      </c>
    </row>
    <row r="1737" spans="1:16" ht="15" customHeight="1" x14ac:dyDescent="0.2">
      <c r="A1737" s="1" t="s">
        <v>5084</v>
      </c>
      <c r="B1737" s="1" t="s">
        <v>5085</v>
      </c>
      <c r="C1737" s="1" t="s">
        <v>9</v>
      </c>
      <c r="D1737" s="1" t="s">
        <v>2895</v>
      </c>
      <c r="E1737" s="5">
        <v>42179</v>
      </c>
      <c r="F1737" s="5">
        <v>46155</v>
      </c>
      <c r="G1737" s="2">
        <v>103.14700000000001</v>
      </c>
      <c r="H1737" s="1" t="s">
        <v>10</v>
      </c>
      <c r="I1737" s="2">
        <v>10705.917364999999</v>
      </c>
      <c r="J1737" s="1" t="s">
        <v>23</v>
      </c>
      <c r="K1737" s="1" t="s">
        <v>5086</v>
      </c>
      <c r="L1737" s="2">
        <v>2686.8919999999998</v>
      </c>
      <c r="M1737">
        <f t="shared" si="81"/>
        <v>277144.849124</v>
      </c>
      <c r="N1737">
        <f t="shared" si="82"/>
        <v>24526.092842831858</v>
      </c>
      <c r="O1737" t="str">
        <f t="shared" si="83"/>
        <v>FJERN</v>
      </c>
      <c r="P1737" s="1"/>
    </row>
    <row r="1738" spans="1:16" ht="15" customHeight="1" x14ac:dyDescent="0.2">
      <c r="A1738" s="1" t="s">
        <v>5087</v>
      </c>
      <c r="B1738" s="1" t="s">
        <v>5088</v>
      </c>
      <c r="C1738" s="1" t="s">
        <v>9</v>
      </c>
      <c r="D1738" s="1" t="s">
        <v>3</v>
      </c>
      <c r="E1738" s="5">
        <v>42158</v>
      </c>
      <c r="F1738" s="5">
        <v>46155</v>
      </c>
      <c r="G1738" s="2">
        <v>13.1279</v>
      </c>
      <c r="H1738" s="1" t="s">
        <v>10</v>
      </c>
      <c r="I1738" s="2">
        <v>420.06223640000002</v>
      </c>
      <c r="J1738" s="1" t="s">
        <v>64</v>
      </c>
      <c r="K1738" s="1" t="s">
        <v>5089</v>
      </c>
      <c r="L1738" s="2">
        <v>19399.27</v>
      </c>
      <c r="M1738">
        <f t="shared" si="81"/>
        <v>254671.67663300002</v>
      </c>
      <c r="N1738">
        <f t="shared" si="82"/>
        <v>22537.316516194693</v>
      </c>
      <c r="O1738" t="str">
        <f t="shared" si="83"/>
        <v>FJERN</v>
      </c>
      <c r="P1738" s="1" t="s">
        <v>6664</v>
      </c>
    </row>
    <row r="1739" spans="1:16" ht="15" customHeight="1" x14ac:dyDescent="0.2">
      <c r="A1739" s="1" t="s">
        <v>5090</v>
      </c>
      <c r="B1739" s="1" t="s">
        <v>5091</v>
      </c>
      <c r="C1739" s="1" t="s">
        <v>9</v>
      </c>
      <c r="D1739" s="1" t="s">
        <v>3</v>
      </c>
      <c r="E1739" s="5">
        <v>42157</v>
      </c>
      <c r="F1739" s="5">
        <v>46155</v>
      </c>
      <c r="G1739" s="2">
        <v>4.3591790000000001</v>
      </c>
      <c r="H1739" s="1" t="s">
        <v>10</v>
      </c>
      <c r="I1739" s="2">
        <v>142.893011835002</v>
      </c>
      <c r="J1739" s="1" t="s">
        <v>34</v>
      </c>
      <c r="K1739" s="1" t="s">
        <v>5092</v>
      </c>
      <c r="L1739" s="2">
        <v>209900.6</v>
      </c>
      <c r="M1739">
        <f t="shared" si="81"/>
        <v>914994.2876074001</v>
      </c>
      <c r="N1739">
        <f t="shared" si="82"/>
        <v>80972.945805964599</v>
      </c>
      <c r="O1739" t="str">
        <f t="shared" si="83"/>
        <v>FJERN</v>
      </c>
      <c r="P1739" s="1" t="s">
        <v>6665</v>
      </c>
    </row>
    <row r="1740" spans="1:16" ht="15" customHeight="1" x14ac:dyDescent="0.2">
      <c r="A1740" s="1" t="s">
        <v>5093</v>
      </c>
      <c r="B1740" s="1" t="s">
        <v>5094</v>
      </c>
      <c r="C1740" s="1" t="s">
        <v>9</v>
      </c>
      <c r="D1740" s="1" t="s">
        <v>3</v>
      </c>
      <c r="E1740" s="5">
        <v>42186</v>
      </c>
      <c r="F1740" s="5">
        <v>46155</v>
      </c>
      <c r="G1740" s="2">
        <v>3.090382</v>
      </c>
      <c r="H1740" s="1" t="s">
        <v>10</v>
      </c>
      <c r="I1740" s="2">
        <v>63.826220337400002</v>
      </c>
      <c r="J1740" s="1" t="s">
        <v>34</v>
      </c>
      <c r="K1740" s="1" t="s">
        <v>5095</v>
      </c>
      <c r="L1740" s="2">
        <v>904730.4</v>
      </c>
      <c r="M1740">
        <f t="shared" si="81"/>
        <v>2795962.5430128002</v>
      </c>
      <c r="N1740">
        <f t="shared" si="82"/>
        <v>247430.31354095574</v>
      </c>
      <c r="O1740" t="str">
        <f t="shared" si="83"/>
        <v>BEHOLD</v>
      </c>
      <c r="P1740" s="1" t="s">
        <v>6666</v>
      </c>
    </row>
    <row r="1741" spans="1:16" ht="15" customHeight="1" x14ac:dyDescent="0.2">
      <c r="A1741" s="1" t="s">
        <v>5096</v>
      </c>
      <c r="B1741" s="1" t="s">
        <v>5097</v>
      </c>
      <c r="C1741" s="1" t="s">
        <v>9</v>
      </c>
      <c r="D1741" s="1" t="s">
        <v>3</v>
      </c>
      <c r="E1741" s="5">
        <v>42180</v>
      </c>
      <c r="F1741" s="5">
        <v>46155</v>
      </c>
      <c r="G1741" s="2">
        <v>4.8682879999999997</v>
      </c>
      <c r="H1741" s="1" t="s">
        <v>10</v>
      </c>
      <c r="I1741" s="2">
        <v>211.63838831999999</v>
      </c>
      <c r="J1741" s="1" t="s">
        <v>23</v>
      </c>
      <c r="K1741" s="1" t="s">
        <v>5098</v>
      </c>
      <c r="L1741" s="2">
        <v>2043189</v>
      </c>
      <c r="M1741">
        <f t="shared" si="81"/>
        <v>9946832.4904319998</v>
      </c>
      <c r="N1741">
        <f t="shared" si="82"/>
        <v>880250.66287008848</v>
      </c>
      <c r="O1741" t="str">
        <f t="shared" si="83"/>
        <v>BEHOLD</v>
      </c>
      <c r="P1741" s="1" t="s">
        <v>6667</v>
      </c>
    </row>
    <row r="1742" spans="1:16" ht="15" customHeight="1" x14ac:dyDescent="0.2">
      <c r="A1742" s="1" t="s">
        <v>5099</v>
      </c>
      <c r="B1742" s="1" t="s">
        <v>5100</v>
      </c>
      <c r="C1742" s="1" t="s">
        <v>9</v>
      </c>
      <c r="D1742" s="1" t="s">
        <v>3</v>
      </c>
      <c r="E1742" s="5">
        <v>40521</v>
      </c>
      <c r="F1742" s="5">
        <v>43116</v>
      </c>
      <c r="G1742" s="2">
        <v>6.2866999999999997</v>
      </c>
      <c r="H1742" s="1" t="s">
        <v>10</v>
      </c>
      <c r="I1742" s="2"/>
      <c r="J1742" s="1" t="s">
        <v>289</v>
      </c>
      <c r="K1742" s="1" t="s">
        <v>5101</v>
      </c>
      <c r="L1742" s="2">
        <v>15601.49</v>
      </c>
      <c r="M1742">
        <f t="shared" si="81"/>
        <v>98081.887182999999</v>
      </c>
      <c r="N1742">
        <f t="shared" si="82"/>
        <v>8679.8130250442464</v>
      </c>
      <c r="O1742" t="str">
        <f t="shared" si="83"/>
        <v>FJERN</v>
      </c>
      <c r="P1742" s="1"/>
    </row>
    <row r="1743" spans="1:16" ht="15" customHeight="1" x14ac:dyDescent="0.2">
      <c r="A1743" s="1" t="s">
        <v>5102</v>
      </c>
      <c r="B1743" s="1" t="s">
        <v>5103</v>
      </c>
      <c r="C1743" s="1" t="s">
        <v>2</v>
      </c>
      <c r="D1743" s="1" t="s">
        <v>3</v>
      </c>
      <c r="E1743" s="5">
        <v>32238</v>
      </c>
      <c r="F1743" s="5">
        <v>42485</v>
      </c>
      <c r="G1743" s="2">
        <v>26455.82</v>
      </c>
      <c r="H1743" s="1" t="s">
        <v>4</v>
      </c>
      <c r="I1743" s="2"/>
      <c r="J1743" s="1" t="s">
        <v>201</v>
      </c>
      <c r="K1743" s="1" t="s">
        <v>5104</v>
      </c>
      <c r="L1743" s="2">
        <v>14700.27</v>
      </c>
      <c r="M1743">
        <f t="shared" si="81"/>
        <v>388907697.07139999</v>
      </c>
      <c r="N1743">
        <f t="shared" si="82"/>
        <v>52202375.445825502</v>
      </c>
      <c r="O1743" t="str">
        <f t="shared" si="83"/>
        <v>BEHOLD</v>
      </c>
      <c r="P1743" s="1" t="s">
        <v>6668</v>
      </c>
    </row>
    <row r="1744" spans="1:16" ht="15" customHeight="1" x14ac:dyDescent="0.2">
      <c r="A1744" s="1" t="s">
        <v>5105</v>
      </c>
      <c r="B1744" s="1" t="s">
        <v>5106</v>
      </c>
      <c r="C1744" s="1" t="s">
        <v>2</v>
      </c>
      <c r="D1744" s="1" t="s">
        <v>3</v>
      </c>
      <c r="E1744" s="5">
        <v>32231</v>
      </c>
      <c r="F1744" s="5">
        <v>46155</v>
      </c>
      <c r="G1744" s="2">
        <v>189.8999</v>
      </c>
      <c r="H1744" s="1" t="s">
        <v>4</v>
      </c>
      <c r="I1744" s="2">
        <v>5166.6575646000001</v>
      </c>
      <c r="J1744" s="1" t="s">
        <v>11</v>
      </c>
      <c r="K1744" s="1" t="s">
        <v>5107</v>
      </c>
      <c r="L1744" s="2">
        <v>87092.18</v>
      </c>
      <c r="M1744">
        <f t="shared" si="81"/>
        <v>16538796.272782</v>
      </c>
      <c r="N1744">
        <f t="shared" si="82"/>
        <v>2219972.6540646977</v>
      </c>
      <c r="O1744" t="str">
        <f t="shared" si="83"/>
        <v>BEHOLD</v>
      </c>
      <c r="P1744" s="1" t="s">
        <v>6669</v>
      </c>
    </row>
    <row r="1745" spans="1:16" ht="15" customHeight="1" x14ac:dyDescent="0.2">
      <c r="A1745" s="1" t="s">
        <v>5108</v>
      </c>
      <c r="B1745" s="1" t="s">
        <v>5109</v>
      </c>
      <c r="C1745" s="1" t="s">
        <v>9</v>
      </c>
      <c r="D1745" s="1" t="s">
        <v>3</v>
      </c>
      <c r="E1745" s="5">
        <v>42333</v>
      </c>
      <c r="F1745" s="5">
        <v>46155</v>
      </c>
      <c r="G1745" s="2">
        <v>75.711370000000002</v>
      </c>
      <c r="H1745" s="1" t="s">
        <v>10</v>
      </c>
      <c r="I1745" s="2">
        <v>14971.769671980001</v>
      </c>
      <c r="J1745" s="1" t="s">
        <v>548</v>
      </c>
      <c r="K1745" s="1" t="s">
        <v>5110</v>
      </c>
      <c r="L1745" s="2">
        <v>898498.3</v>
      </c>
      <c r="M1745">
        <f t="shared" si="81"/>
        <v>68026537.235670999</v>
      </c>
      <c r="N1745">
        <f t="shared" si="82"/>
        <v>6020047.542979734</v>
      </c>
      <c r="O1745" t="str">
        <f t="shared" si="83"/>
        <v>BEHOLD</v>
      </c>
      <c r="P1745" s="1" t="s">
        <v>6670</v>
      </c>
    </row>
    <row r="1746" spans="1:16" ht="15" customHeight="1" x14ac:dyDescent="0.2">
      <c r="A1746" s="1" t="s">
        <v>5111</v>
      </c>
      <c r="B1746" s="1" t="s">
        <v>5112</v>
      </c>
      <c r="C1746" s="1" t="s">
        <v>9</v>
      </c>
      <c r="D1746" s="1" t="s">
        <v>3</v>
      </c>
      <c r="E1746" s="5">
        <v>42340</v>
      </c>
      <c r="F1746" s="5">
        <v>46155</v>
      </c>
      <c r="G1746" s="2">
        <v>54.865259999999999</v>
      </c>
      <c r="H1746" s="1" t="s">
        <v>10</v>
      </c>
      <c r="I1746" s="2">
        <v>20931.886289999999</v>
      </c>
      <c r="J1746" s="1" t="s">
        <v>167</v>
      </c>
      <c r="K1746" s="1" t="s">
        <v>5113</v>
      </c>
      <c r="L1746" s="2">
        <v>1083917</v>
      </c>
      <c r="M1746">
        <f t="shared" si="81"/>
        <v>59469388.023419999</v>
      </c>
      <c r="N1746">
        <f t="shared" si="82"/>
        <v>5262777.7011876106</v>
      </c>
      <c r="O1746" t="str">
        <f t="shared" si="83"/>
        <v>BEHOLD</v>
      </c>
      <c r="P1746" s="1" t="s">
        <v>6671</v>
      </c>
    </row>
    <row r="1747" spans="1:16" ht="15" customHeight="1" x14ac:dyDescent="0.2">
      <c r="A1747" s="1" t="s">
        <v>5114</v>
      </c>
      <c r="B1747" s="1" t="s">
        <v>5115</v>
      </c>
      <c r="C1747" s="1" t="s">
        <v>9</v>
      </c>
      <c r="D1747" s="1" t="s">
        <v>3</v>
      </c>
      <c r="E1747" s="1"/>
      <c r="F1747" s="1"/>
      <c r="G1747" s="2"/>
      <c r="H1747" s="1"/>
      <c r="I1747" s="2"/>
      <c r="J1747" s="1" t="s">
        <v>76</v>
      </c>
      <c r="K1747" s="1" t="s">
        <v>5116</v>
      </c>
      <c r="L1747" s="2"/>
      <c r="M1747" t="str">
        <f t="shared" si="81"/>
        <v/>
      </c>
      <c r="N1747" t="str">
        <f t="shared" si="82"/>
        <v/>
      </c>
      <c r="O1747" t="str">
        <f t="shared" si="83"/>
        <v>FJERN</v>
      </c>
      <c r="P1747" s="1"/>
    </row>
    <row r="1748" spans="1:16" ht="15" customHeight="1" x14ac:dyDescent="0.2">
      <c r="A1748" s="1" t="s">
        <v>5117</v>
      </c>
      <c r="B1748" s="1" t="s">
        <v>5118</v>
      </c>
      <c r="C1748" s="1" t="s">
        <v>9</v>
      </c>
      <c r="D1748" s="1" t="s">
        <v>3</v>
      </c>
      <c r="E1748" s="5">
        <v>42543</v>
      </c>
      <c r="F1748" s="5">
        <v>45117</v>
      </c>
      <c r="G1748" s="2">
        <v>2.564241</v>
      </c>
      <c r="H1748" s="1" t="s">
        <v>10</v>
      </c>
      <c r="I1748" s="2"/>
      <c r="J1748" s="1" t="s">
        <v>197</v>
      </c>
      <c r="K1748" s="1" t="s">
        <v>5119</v>
      </c>
      <c r="L1748" s="2">
        <v>49160.99</v>
      </c>
      <c r="M1748">
        <f t="shared" si="81"/>
        <v>126060.62615858999</v>
      </c>
      <c r="N1748">
        <f t="shared" si="82"/>
        <v>11155.80762465398</v>
      </c>
      <c r="O1748" t="str">
        <f t="shared" si="83"/>
        <v>FJERN</v>
      </c>
      <c r="P1748" s="1"/>
    </row>
    <row r="1749" spans="1:16" ht="15" customHeight="1" x14ac:dyDescent="0.2">
      <c r="A1749" s="1" t="s">
        <v>5120</v>
      </c>
      <c r="B1749" s="1" t="s">
        <v>5121</v>
      </c>
      <c r="C1749" s="1" t="s">
        <v>9</v>
      </c>
      <c r="D1749" s="1" t="s">
        <v>255</v>
      </c>
      <c r="E1749" s="5">
        <v>38146</v>
      </c>
      <c r="F1749" s="5">
        <v>45607</v>
      </c>
      <c r="G1749" s="2">
        <v>68.652529999999999</v>
      </c>
      <c r="H1749" s="1" t="s">
        <v>10</v>
      </c>
      <c r="I1749" s="2">
        <v>20055.969933119999</v>
      </c>
      <c r="J1749" s="1" t="s">
        <v>167</v>
      </c>
      <c r="K1749" s="1" t="s">
        <v>5122</v>
      </c>
      <c r="L1749" s="2">
        <v>903615.2</v>
      </c>
      <c r="M1749">
        <f t="shared" si="81"/>
        <v>62035469.626455992</v>
      </c>
      <c r="N1749">
        <f t="shared" si="82"/>
        <v>5489864.568712919</v>
      </c>
      <c r="O1749" t="str">
        <f t="shared" si="83"/>
        <v>FJERN</v>
      </c>
      <c r="P1749" s="1" t="s">
        <v>6672</v>
      </c>
    </row>
    <row r="1750" spans="1:16" ht="15" customHeight="1" x14ac:dyDescent="0.2">
      <c r="A1750" s="1" t="s">
        <v>5123</v>
      </c>
      <c r="B1750" s="1" t="s">
        <v>5124</v>
      </c>
      <c r="C1750" s="1" t="s">
        <v>9</v>
      </c>
      <c r="D1750" s="1" t="s">
        <v>3</v>
      </c>
      <c r="E1750" s="5">
        <v>42188</v>
      </c>
      <c r="F1750" s="5">
        <v>46154</v>
      </c>
      <c r="G1750" s="2">
        <v>155.047</v>
      </c>
      <c r="H1750" s="1" t="s">
        <v>10</v>
      </c>
      <c r="I1750" s="2">
        <v>482.92468000000002</v>
      </c>
      <c r="J1750" s="1" t="s">
        <v>61</v>
      </c>
      <c r="K1750" s="1" t="s">
        <v>5125</v>
      </c>
      <c r="L1750" s="2">
        <v>928.77719999999999</v>
      </c>
      <c r="M1750">
        <f t="shared" si="81"/>
        <v>144004.11852839999</v>
      </c>
      <c r="N1750">
        <f t="shared" si="82"/>
        <v>12743.727303398229</v>
      </c>
      <c r="O1750" t="str">
        <f t="shared" si="83"/>
        <v>FJERN</v>
      </c>
      <c r="P1750" s="1" t="s">
        <v>6673</v>
      </c>
    </row>
    <row r="1751" spans="1:16" ht="15" customHeight="1" x14ac:dyDescent="0.2">
      <c r="A1751" s="1" t="s">
        <v>5126</v>
      </c>
      <c r="B1751" s="1" t="s">
        <v>5127</v>
      </c>
      <c r="C1751" s="1" t="s">
        <v>2</v>
      </c>
      <c r="D1751" s="1" t="s">
        <v>3</v>
      </c>
      <c r="E1751" s="5">
        <v>42530</v>
      </c>
      <c r="F1751" s="5">
        <v>46155</v>
      </c>
      <c r="G1751" s="2">
        <v>292.06619999999998</v>
      </c>
      <c r="H1751" s="1" t="s">
        <v>4</v>
      </c>
      <c r="I1751" s="2">
        <v>161631.58761424999</v>
      </c>
      <c r="J1751" s="1" t="s">
        <v>30</v>
      </c>
      <c r="K1751" s="1" t="s">
        <v>5128</v>
      </c>
      <c r="L1751" s="2">
        <v>1065706</v>
      </c>
      <c r="M1751">
        <f t="shared" si="81"/>
        <v>311256701.73719996</v>
      </c>
      <c r="N1751">
        <f t="shared" si="82"/>
        <v>41779423.051973149</v>
      </c>
      <c r="O1751" t="str">
        <f t="shared" si="83"/>
        <v>BEHOLD</v>
      </c>
      <c r="P1751" s="1" t="s">
        <v>6674</v>
      </c>
    </row>
    <row r="1752" spans="1:16" ht="15" customHeight="1" x14ac:dyDescent="0.2">
      <c r="A1752" s="1" t="s">
        <v>5129</v>
      </c>
      <c r="B1752" s="1" t="s">
        <v>5130</v>
      </c>
      <c r="C1752" s="1" t="s">
        <v>9</v>
      </c>
      <c r="D1752" s="1" t="s">
        <v>3</v>
      </c>
      <c r="E1752" s="5">
        <v>42655</v>
      </c>
      <c r="F1752" s="5">
        <v>46155</v>
      </c>
      <c r="G1752" s="2">
        <v>128.11009999999999</v>
      </c>
      <c r="H1752" s="1" t="s">
        <v>10</v>
      </c>
      <c r="I1752" s="2">
        <v>454.96</v>
      </c>
      <c r="J1752" s="1" t="s">
        <v>61</v>
      </c>
      <c r="K1752" s="1" t="s">
        <v>5131</v>
      </c>
      <c r="L1752" s="2">
        <v>1436.569</v>
      </c>
      <c r="M1752">
        <f t="shared" si="81"/>
        <v>184038.99824689998</v>
      </c>
      <c r="N1752">
        <f t="shared" si="82"/>
        <v>16286.637012999998</v>
      </c>
      <c r="O1752" t="str">
        <f t="shared" si="83"/>
        <v>FJERN</v>
      </c>
      <c r="P1752" s="1" t="s">
        <v>6675</v>
      </c>
    </row>
    <row r="1753" spans="1:16" ht="15" customHeight="1" x14ac:dyDescent="0.2">
      <c r="A1753" s="1" t="s">
        <v>5132</v>
      </c>
      <c r="B1753" s="1" t="s">
        <v>604</v>
      </c>
      <c r="C1753" s="1" t="s">
        <v>9</v>
      </c>
      <c r="D1753" s="1" t="s">
        <v>3</v>
      </c>
      <c r="E1753" s="5">
        <v>42185</v>
      </c>
      <c r="F1753" s="5">
        <v>43432</v>
      </c>
      <c r="G1753" s="2">
        <v>48.231180000000002</v>
      </c>
      <c r="H1753" s="1" t="s">
        <v>10</v>
      </c>
      <c r="I1753" s="2"/>
      <c r="J1753" s="1" t="s">
        <v>64</v>
      </c>
      <c r="K1753" s="1" t="s">
        <v>5133</v>
      </c>
      <c r="L1753" s="2">
        <v>375295.8</v>
      </c>
      <c r="M1753">
        <f t="shared" si="81"/>
        <v>18100959.283043999</v>
      </c>
      <c r="N1753">
        <f t="shared" si="82"/>
        <v>1601854.8038092034</v>
      </c>
      <c r="O1753" t="str">
        <f t="shared" si="83"/>
        <v>BEHOLD</v>
      </c>
      <c r="P1753" s="1" t="s">
        <v>6676</v>
      </c>
    </row>
    <row r="1754" spans="1:16" ht="15" customHeight="1" x14ac:dyDescent="0.2">
      <c r="A1754" s="1" t="s">
        <v>5134</v>
      </c>
      <c r="B1754" s="1" t="s">
        <v>5135</v>
      </c>
      <c r="C1754" s="1" t="s">
        <v>9</v>
      </c>
      <c r="D1754" s="1" t="s">
        <v>3</v>
      </c>
      <c r="E1754" s="5">
        <v>42726</v>
      </c>
      <c r="F1754" s="5">
        <v>46155</v>
      </c>
      <c r="G1754" s="2">
        <v>51.50309</v>
      </c>
      <c r="H1754" s="1" t="s">
        <v>10</v>
      </c>
      <c r="I1754" s="2">
        <v>191.470688</v>
      </c>
      <c r="J1754" s="1" t="s">
        <v>30</v>
      </c>
      <c r="K1754" s="1" t="s">
        <v>5136</v>
      </c>
      <c r="L1754" s="2">
        <v>11260.22</v>
      </c>
      <c r="M1754">
        <f t="shared" si="81"/>
        <v>579936.12407979998</v>
      </c>
      <c r="N1754">
        <f t="shared" si="82"/>
        <v>51321.78089201769</v>
      </c>
      <c r="O1754" t="str">
        <f t="shared" si="83"/>
        <v>FJERN</v>
      </c>
      <c r="P1754" s="1"/>
    </row>
    <row r="1755" spans="1:16" ht="15" customHeight="1" x14ac:dyDescent="0.2">
      <c r="A1755" s="1" t="s">
        <v>5137</v>
      </c>
      <c r="B1755" s="1" t="s">
        <v>5138</v>
      </c>
      <c r="C1755" s="1" t="s">
        <v>9</v>
      </c>
      <c r="D1755" s="1" t="s">
        <v>3</v>
      </c>
      <c r="E1755" s="5">
        <v>42279</v>
      </c>
      <c r="F1755" s="5">
        <v>46155</v>
      </c>
      <c r="G1755" s="2">
        <v>16.231079999999999</v>
      </c>
      <c r="H1755" s="1" t="s">
        <v>10</v>
      </c>
      <c r="I1755" s="2">
        <v>108.8351478</v>
      </c>
      <c r="J1755" s="1" t="s">
        <v>11</v>
      </c>
      <c r="K1755" s="1" t="s">
        <v>5139</v>
      </c>
      <c r="L1755" s="2">
        <v>10305.6</v>
      </c>
      <c r="M1755">
        <f t="shared" si="81"/>
        <v>167271.018048</v>
      </c>
      <c r="N1755">
        <f t="shared" si="82"/>
        <v>14802.744959999998</v>
      </c>
      <c r="O1755" t="str">
        <f t="shared" si="83"/>
        <v>FJERN</v>
      </c>
      <c r="P1755" s="1" t="s">
        <v>6677</v>
      </c>
    </row>
    <row r="1756" spans="1:16" ht="15" customHeight="1" x14ac:dyDescent="0.2">
      <c r="A1756" s="1" t="s">
        <v>5140</v>
      </c>
      <c r="B1756" s="1" t="s">
        <v>5141</v>
      </c>
      <c r="C1756" s="1" t="s">
        <v>9</v>
      </c>
      <c r="D1756" s="1" t="s">
        <v>3</v>
      </c>
      <c r="E1756" s="5">
        <v>36159</v>
      </c>
      <c r="F1756" s="5">
        <v>44203</v>
      </c>
      <c r="G1756" s="2">
        <v>197.89089999999999</v>
      </c>
      <c r="H1756" s="1" t="s">
        <v>10</v>
      </c>
      <c r="I1756" s="2"/>
      <c r="J1756" s="1" t="s">
        <v>76</v>
      </c>
      <c r="K1756" s="1" t="s">
        <v>5142</v>
      </c>
      <c r="L1756" s="2">
        <v>10516.56</v>
      </c>
      <c r="M1756">
        <f t="shared" si="81"/>
        <v>2081131.5233039998</v>
      </c>
      <c r="N1756">
        <f t="shared" si="82"/>
        <v>184170.93126584069</v>
      </c>
      <c r="O1756" t="str">
        <f t="shared" si="83"/>
        <v>BEHOLD</v>
      </c>
      <c r="P1756" s="1" t="s">
        <v>6678</v>
      </c>
    </row>
    <row r="1757" spans="1:16" ht="15" customHeight="1" x14ac:dyDescent="0.2">
      <c r="A1757" s="1" t="s">
        <v>5143</v>
      </c>
      <c r="B1757" s="1" t="s">
        <v>5144</v>
      </c>
      <c r="C1757" s="1" t="s">
        <v>9</v>
      </c>
      <c r="D1757" s="1" t="s">
        <v>3</v>
      </c>
      <c r="E1757" s="5">
        <v>42537</v>
      </c>
      <c r="F1757" s="5">
        <v>46155</v>
      </c>
      <c r="G1757" s="2">
        <v>13.684939999999999</v>
      </c>
      <c r="H1757" s="1" t="s">
        <v>10</v>
      </c>
      <c r="I1757" s="2">
        <v>2860.6289366400001</v>
      </c>
      <c r="J1757" s="1" t="s">
        <v>23</v>
      </c>
      <c r="K1757" s="1" t="s">
        <v>5145</v>
      </c>
      <c r="L1757" s="2">
        <v>352208.9</v>
      </c>
      <c r="M1757">
        <f t="shared" si="81"/>
        <v>4819957.6639660001</v>
      </c>
      <c r="N1757">
        <f t="shared" si="82"/>
        <v>426544.92601469025</v>
      </c>
      <c r="O1757" t="str">
        <f t="shared" si="83"/>
        <v>BEHOLD</v>
      </c>
      <c r="P1757" s="1" t="s">
        <v>6679</v>
      </c>
    </row>
    <row r="1758" spans="1:16" ht="15" customHeight="1" x14ac:dyDescent="0.2">
      <c r="A1758" s="1" t="s">
        <v>5146</v>
      </c>
      <c r="B1758" s="1" t="s">
        <v>5147</v>
      </c>
      <c r="C1758" s="1" t="s">
        <v>9</v>
      </c>
      <c r="D1758" s="1" t="s">
        <v>3</v>
      </c>
      <c r="E1758" s="5">
        <v>43075</v>
      </c>
      <c r="F1758" s="5">
        <v>46155</v>
      </c>
      <c r="G1758" s="2">
        <v>22.298729999999999</v>
      </c>
      <c r="H1758" s="1" t="s">
        <v>10</v>
      </c>
      <c r="I1758" s="2">
        <v>128.42347525</v>
      </c>
      <c r="J1758" s="1" t="s">
        <v>289</v>
      </c>
      <c r="K1758" s="1" t="s">
        <v>5148</v>
      </c>
      <c r="L1758" s="2">
        <v>6413.3720000000003</v>
      </c>
      <c r="M1758">
        <f t="shared" si="81"/>
        <v>143010.05061755999</v>
      </c>
      <c r="N1758">
        <f t="shared" si="82"/>
        <v>12655.756691819468</v>
      </c>
      <c r="O1758" t="str">
        <f t="shared" si="83"/>
        <v>FJERN</v>
      </c>
      <c r="P1758" s="1" t="s">
        <v>6680</v>
      </c>
    </row>
    <row r="1759" spans="1:16" ht="15" customHeight="1" x14ac:dyDescent="0.2">
      <c r="A1759" s="1" t="s">
        <v>5149</v>
      </c>
      <c r="B1759" s="1" t="s">
        <v>5150</v>
      </c>
      <c r="C1759" s="1" t="s">
        <v>9</v>
      </c>
      <c r="D1759" s="1" t="s">
        <v>3</v>
      </c>
      <c r="E1759" s="5">
        <v>42920</v>
      </c>
      <c r="F1759" s="5">
        <v>46155</v>
      </c>
      <c r="G1759" s="2">
        <v>2.311115</v>
      </c>
      <c r="H1759" s="1" t="s">
        <v>10</v>
      </c>
      <c r="I1759" s="2">
        <v>263.35538658000002</v>
      </c>
      <c r="J1759" s="1" t="s">
        <v>23</v>
      </c>
      <c r="K1759" s="1" t="s">
        <v>5151</v>
      </c>
      <c r="L1759" s="2">
        <v>257759.9</v>
      </c>
      <c r="M1759">
        <f t="shared" si="81"/>
        <v>595712.77128850005</v>
      </c>
      <c r="N1759">
        <f t="shared" si="82"/>
        <v>52717.944361814159</v>
      </c>
      <c r="O1759" t="str">
        <f t="shared" si="83"/>
        <v>FJERN</v>
      </c>
      <c r="P1759" s="1" t="s">
        <v>6681</v>
      </c>
    </row>
    <row r="1760" spans="1:16" ht="15" customHeight="1" x14ac:dyDescent="0.2">
      <c r="A1760" s="1" t="s">
        <v>5152</v>
      </c>
      <c r="B1760" s="1" t="s">
        <v>5153</v>
      </c>
      <c r="C1760" s="1" t="s">
        <v>9</v>
      </c>
      <c r="D1760" s="1" t="s">
        <v>3</v>
      </c>
      <c r="E1760" s="5">
        <v>41946</v>
      </c>
      <c r="F1760" s="5">
        <v>46155</v>
      </c>
      <c r="G1760" s="2">
        <v>3.7950599999999999</v>
      </c>
      <c r="H1760" s="1" t="s">
        <v>10</v>
      </c>
      <c r="I1760" s="2">
        <v>11.799375764800001</v>
      </c>
      <c r="J1760" s="1" t="s">
        <v>366</v>
      </c>
      <c r="K1760" s="1" t="s">
        <v>5154</v>
      </c>
      <c r="L1760" s="2">
        <v>351487.8</v>
      </c>
      <c r="M1760">
        <f t="shared" si="81"/>
        <v>1333917.290268</v>
      </c>
      <c r="N1760">
        <f t="shared" si="82"/>
        <v>118045.77789982301</v>
      </c>
      <c r="O1760" t="str">
        <f t="shared" si="83"/>
        <v>BEHOLD</v>
      </c>
      <c r="P1760" s="1" t="s">
        <v>6682</v>
      </c>
    </row>
    <row r="1761" spans="1:16" ht="15" customHeight="1" x14ac:dyDescent="0.2">
      <c r="A1761" s="1" t="s">
        <v>5155</v>
      </c>
      <c r="B1761" s="1" t="s">
        <v>5156</v>
      </c>
      <c r="C1761" s="1" t="s">
        <v>9</v>
      </c>
      <c r="D1761" s="1" t="s">
        <v>3</v>
      </c>
      <c r="E1761" s="5">
        <v>35866</v>
      </c>
      <c r="F1761" s="5">
        <v>46155</v>
      </c>
      <c r="G1761" s="2">
        <v>10.42141</v>
      </c>
      <c r="H1761" s="1" t="s">
        <v>10</v>
      </c>
      <c r="I1761" s="2">
        <v>6179.8800937300002</v>
      </c>
      <c r="J1761" s="1" t="s">
        <v>61</v>
      </c>
      <c r="K1761" s="1" t="s">
        <v>5157</v>
      </c>
      <c r="L1761" s="2">
        <v>17487.13</v>
      </c>
      <c r="M1761">
        <f t="shared" si="81"/>
        <v>182240.5514533</v>
      </c>
      <c r="N1761">
        <f t="shared" si="82"/>
        <v>16127.482429495574</v>
      </c>
      <c r="O1761" t="str">
        <f t="shared" si="83"/>
        <v>FJERN</v>
      </c>
      <c r="P1761" s="1" t="s">
        <v>6683</v>
      </c>
    </row>
    <row r="1762" spans="1:16" ht="15" customHeight="1" x14ac:dyDescent="0.2">
      <c r="A1762" s="1" t="s">
        <v>5158</v>
      </c>
      <c r="B1762" s="1" t="s">
        <v>5159</v>
      </c>
      <c r="C1762" s="1" t="s">
        <v>9</v>
      </c>
      <c r="D1762" s="1" t="s">
        <v>3</v>
      </c>
      <c r="E1762" s="5">
        <v>39505</v>
      </c>
      <c r="F1762" s="5">
        <v>46155</v>
      </c>
      <c r="G1762" s="2">
        <v>555.19929999999999</v>
      </c>
      <c r="H1762" s="1" t="s">
        <v>10</v>
      </c>
      <c r="I1762" s="2"/>
      <c r="J1762" s="1" t="s">
        <v>328</v>
      </c>
      <c r="K1762" s="1" t="s">
        <v>5160</v>
      </c>
      <c r="L1762" s="2">
        <v>20079580</v>
      </c>
      <c r="M1762">
        <f t="shared" si="81"/>
        <v>11148168760.294001</v>
      </c>
      <c r="N1762">
        <f t="shared" si="82"/>
        <v>986563607.10566366</v>
      </c>
      <c r="O1762" t="str">
        <f t="shared" si="83"/>
        <v>BEHOLD</v>
      </c>
      <c r="P1762" s="1" t="s">
        <v>6684</v>
      </c>
    </row>
    <row r="1763" spans="1:16" ht="15" customHeight="1" x14ac:dyDescent="0.2">
      <c r="A1763" s="1" t="s">
        <v>5161</v>
      </c>
      <c r="B1763" s="1" t="s">
        <v>5162</v>
      </c>
      <c r="C1763" s="1" t="s">
        <v>9</v>
      </c>
      <c r="D1763" s="1" t="s">
        <v>3</v>
      </c>
      <c r="E1763" s="5">
        <v>41911</v>
      </c>
      <c r="F1763" s="5">
        <v>43504</v>
      </c>
      <c r="G1763" s="2">
        <v>54.19397</v>
      </c>
      <c r="H1763" s="1" t="s">
        <v>10</v>
      </c>
      <c r="I1763" s="2"/>
      <c r="J1763" s="1" t="s">
        <v>328</v>
      </c>
      <c r="K1763" s="1" t="s">
        <v>5163</v>
      </c>
      <c r="L1763" s="2">
        <v>33095.839999999997</v>
      </c>
      <c r="M1763">
        <f t="shared" si="81"/>
        <v>1793594.9600847999</v>
      </c>
      <c r="N1763">
        <f t="shared" si="82"/>
        <v>158725.21770661944</v>
      </c>
      <c r="O1763" t="str">
        <f t="shared" si="83"/>
        <v>BEHOLD</v>
      </c>
      <c r="P1763" s="1" t="s">
        <v>6685</v>
      </c>
    </row>
    <row r="1764" spans="1:16" ht="15" customHeight="1" x14ac:dyDescent="0.2">
      <c r="A1764" s="1" t="s">
        <v>5164</v>
      </c>
      <c r="B1764" s="1" t="s">
        <v>5165</v>
      </c>
      <c r="C1764" s="1" t="s">
        <v>9</v>
      </c>
      <c r="D1764" s="1" t="s">
        <v>3</v>
      </c>
      <c r="E1764" s="5">
        <v>43020</v>
      </c>
      <c r="F1764" s="5">
        <v>46155</v>
      </c>
      <c r="G1764" s="2">
        <v>39.041679999999999</v>
      </c>
      <c r="H1764" s="1" t="s">
        <v>10</v>
      </c>
      <c r="I1764" s="2">
        <v>18.798405599999999</v>
      </c>
      <c r="J1764" s="1" t="s">
        <v>236</v>
      </c>
      <c r="K1764" s="1" t="s">
        <v>5166</v>
      </c>
      <c r="L1764" s="2">
        <v>6701.2860000000001</v>
      </c>
      <c r="M1764">
        <f t="shared" si="81"/>
        <v>261629.46360048</v>
      </c>
      <c r="N1764">
        <f t="shared" si="82"/>
        <v>23153.049876148671</v>
      </c>
      <c r="O1764" t="str">
        <f t="shared" si="83"/>
        <v>FJERN</v>
      </c>
      <c r="P1764" s="1" t="s">
        <v>6686</v>
      </c>
    </row>
    <row r="1765" spans="1:16" ht="15" customHeight="1" x14ac:dyDescent="0.2">
      <c r="A1765" s="1" t="s">
        <v>5167</v>
      </c>
      <c r="B1765" s="1" t="s">
        <v>5168</v>
      </c>
      <c r="C1765" s="1" t="s">
        <v>9</v>
      </c>
      <c r="D1765" s="1" t="s">
        <v>3</v>
      </c>
      <c r="E1765" s="5">
        <v>39435</v>
      </c>
      <c r="F1765" s="5">
        <v>46155</v>
      </c>
      <c r="G1765" s="2">
        <v>22.398620000000001</v>
      </c>
      <c r="H1765" s="1" t="s">
        <v>10</v>
      </c>
      <c r="I1765" s="2">
        <v>5862.2924999999996</v>
      </c>
      <c r="J1765" s="1" t="s">
        <v>391</v>
      </c>
      <c r="K1765" s="1" t="s">
        <v>5169</v>
      </c>
      <c r="L1765" s="2">
        <v>104692.4</v>
      </c>
      <c r="M1765">
        <f t="shared" si="81"/>
        <v>2344965.284488</v>
      </c>
      <c r="N1765">
        <f t="shared" si="82"/>
        <v>207519.05172460174</v>
      </c>
      <c r="O1765" t="str">
        <f t="shared" si="83"/>
        <v>BEHOLD</v>
      </c>
      <c r="P1765" s="1" t="s">
        <v>6687</v>
      </c>
    </row>
    <row r="1766" spans="1:16" ht="15" customHeight="1" x14ac:dyDescent="0.2">
      <c r="A1766" s="1" t="s">
        <v>5170</v>
      </c>
      <c r="B1766" s="1" t="s">
        <v>5171</v>
      </c>
      <c r="C1766" s="1" t="s">
        <v>9</v>
      </c>
      <c r="D1766" s="1" t="s">
        <v>3</v>
      </c>
      <c r="E1766" s="5">
        <v>42341</v>
      </c>
      <c r="F1766" s="5">
        <v>46155</v>
      </c>
      <c r="G1766" s="2">
        <v>248.93860000000001</v>
      </c>
      <c r="H1766" s="1" t="s">
        <v>10</v>
      </c>
      <c r="I1766" s="2">
        <v>36738.353344000003</v>
      </c>
      <c r="J1766" s="1" t="s">
        <v>366</v>
      </c>
      <c r="K1766" s="1" t="s">
        <v>5172</v>
      </c>
      <c r="L1766" s="2">
        <v>73459.710000000006</v>
      </c>
      <c r="M1766">
        <f t="shared" si="81"/>
        <v>18286957.363806002</v>
      </c>
      <c r="N1766">
        <f t="shared" si="82"/>
        <v>1618314.8109562832</v>
      </c>
      <c r="O1766" t="str">
        <f t="shared" si="83"/>
        <v>BEHOLD</v>
      </c>
      <c r="P1766" s="1" t="s">
        <v>6688</v>
      </c>
    </row>
    <row r="1767" spans="1:16" ht="15" customHeight="1" x14ac:dyDescent="0.2">
      <c r="A1767" s="1" t="s">
        <v>5173</v>
      </c>
      <c r="B1767" s="1" t="s">
        <v>5174</v>
      </c>
      <c r="C1767" s="1" t="s">
        <v>9</v>
      </c>
      <c r="D1767" s="1" t="s">
        <v>3</v>
      </c>
      <c r="E1767" s="5">
        <v>42338</v>
      </c>
      <c r="F1767" s="5">
        <v>44887</v>
      </c>
      <c r="G1767" s="2">
        <v>15.291410000000001</v>
      </c>
      <c r="H1767" s="1" t="s">
        <v>10</v>
      </c>
      <c r="I1767" s="2"/>
      <c r="J1767" s="1" t="s">
        <v>23</v>
      </c>
      <c r="K1767" s="1" t="s">
        <v>5175</v>
      </c>
      <c r="L1767" s="2">
        <v>17656.38</v>
      </c>
      <c r="M1767">
        <f t="shared" si="81"/>
        <v>269990.94569580001</v>
      </c>
      <c r="N1767">
        <f t="shared" si="82"/>
        <v>23893.004043876106</v>
      </c>
      <c r="O1767" t="str">
        <f t="shared" si="83"/>
        <v>FJERN</v>
      </c>
      <c r="P1767" s="1"/>
    </row>
    <row r="1768" spans="1:16" ht="15" customHeight="1" x14ac:dyDescent="0.2">
      <c r="A1768" s="1" t="s">
        <v>5176</v>
      </c>
      <c r="B1768" s="1" t="s">
        <v>5177</v>
      </c>
      <c r="C1768" s="1" t="s">
        <v>9</v>
      </c>
      <c r="D1768" s="1" t="s">
        <v>3</v>
      </c>
      <c r="E1768" s="5">
        <v>43444</v>
      </c>
      <c r="F1768" s="5">
        <v>45125</v>
      </c>
      <c r="G1768" s="2">
        <v>11.767609999999999</v>
      </c>
      <c r="H1768" s="1" t="s">
        <v>10</v>
      </c>
      <c r="I1768" s="2"/>
      <c r="J1768" s="1" t="s">
        <v>23</v>
      </c>
      <c r="K1768" s="1" t="s">
        <v>5178</v>
      </c>
      <c r="L1768" s="2">
        <v>1156913</v>
      </c>
      <c r="M1768">
        <f t="shared" si="81"/>
        <v>13614100.98793</v>
      </c>
      <c r="N1768">
        <f t="shared" si="82"/>
        <v>1204787.6980469027</v>
      </c>
      <c r="O1768" t="str">
        <f t="shared" si="83"/>
        <v>BEHOLD</v>
      </c>
      <c r="P1768" s="1" t="s">
        <v>6689</v>
      </c>
    </row>
    <row r="1769" spans="1:16" ht="15" customHeight="1" x14ac:dyDescent="0.2">
      <c r="A1769" s="1" t="s">
        <v>5179</v>
      </c>
      <c r="B1769" s="1" t="s">
        <v>5180</v>
      </c>
      <c r="C1769" s="1" t="s">
        <v>9</v>
      </c>
      <c r="D1769" s="1" t="s">
        <v>3</v>
      </c>
      <c r="E1769" s="5">
        <v>43168</v>
      </c>
      <c r="F1769" s="5">
        <v>46155</v>
      </c>
      <c r="G1769" s="2">
        <v>153.27180000000001</v>
      </c>
      <c r="H1769" s="1" t="s">
        <v>10</v>
      </c>
      <c r="I1769" s="2">
        <v>12062.54431275</v>
      </c>
      <c r="J1769" s="1" t="s">
        <v>61</v>
      </c>
      <c r="K1769" s="1" t="s">
        <v>5181</v>
      </c>
      <c r="L1769" s="2">
        <v>166941.29999999999</v>
      </c>
      <c r="M1769">
        <f t="shared" si="81"/>
        <v>25587393.545340002</v>
      </c>
      <c r="N1769">
        <f t="shared" si="82"/>
        <v>2264371.1102070794</v>
      </c>
      <c r="O1769" t="str">
        <f t="shared" si="83"/>
        <v>BEHOLD</v>
      </c>
      <c r="P1769" s="1" t="s">
        <v>6690</v>
      </c>
    </row>
    <row r="1770" spans="1:16" ht="15" customHeight="1" x14ac:dyDescent="0.2">
      <c r="A1770" s="1" t="s">
        <v>5182</v>
      </c>
      <c r="B1770" s="1" t="s">
        <v>5183</v>
      </c>
      <c r="C1770" s="1" t="s">
        <v>9</v>
      </c>
      <c r="D1770" s="1" t="s">
        <v>3</v>
      </c>
      <c r="E1770" s="5">
        <v>42348</v>
      </c>
      <c r="F1770" s="5">
        <v>46155</v>
      </c>
      <c r="G1770" s="2">
        <v>15.491339999999999</v>
      </c>
      <c r="H1770" s="1" t="s">
        <v>10</v>
      </c>
      <c r="I1770" s="2">
        <v>3181.2392009</v>
      </c>
      <c r="J1770" s="1" t="s">
        <v>366</v>
      </c>
      <c r="K1770" s="1" t="s">
        <v>5184</v>
      </c>
      <c r="L1770" s="2">
        <v>220518.1</v>
      </c>
      <c r="M1770">
        <f t="shared" si="81"/>
        <v>3416120.863254</v>
      </c>
      <c r="N1770">
        <f t="shared" si="82"/>
        <v>302311.58081893803</v>
      </c>
      <c r="O1770" t="str">
        <f t="shared" si="83"/>
        <v>BEHOLD</v>
      </c>
      <c r="P1770" s="1" t="s">
        <v>6691</v>
      </c>
    </row>
    <row r="1771" spans="1:16" ht="15" customHeight="1" x14ac:dyDescent="0.2">
      <c r="A1771" s="1" t="s">
        <v>5185</v>
      </c>
      <c r="B1771" s="1" t="s">
        <v>5186</v>
      </c>
      <c r="C1771" s="1" t="s">
        <v>9</v>
      </c>
      <c r="D1771" s="1" t="s">
        <v>3</v>
      </c>
      <c r="E1771" s="5">
        <v>42298</v>
      </c>
      <c r="F1771" s="5">
        <v>46155</v>
      </c>
      <c r="G1771" s="2">
        <v>4.6504989999999999</v>
      </c>
      <c r="H1771" s="1" t="s">
        <v>10</v>
      </c>
      <c r="I1771" s="2">
        <v>163.82001600000001</v>
      </c>
      <c r="J1771" s="1" t="s">
        <v>366</v>
      </c>
      <c r="K1771" s="1" t="s">
        <v>5187</v>
      </c>
      <c r="L1771" s="2">
        <v>236494.1</v>
      </c>
      <c r="M1771">
        <f t="shared" si="81"/>
        <v>1099815.5755559001</v>
      </c>
      <c r="N1771">
        <f t="shared" si="82"/>
        <v>97328.811996097342</v>
      </c>
      <c r="O1771" t="str">
        <f t="shared" si="83"/>
        <v>FJERN</v>
      </c>
      <c r="P1771" s="1" t="s">
        <v>6692</v>
      </c>
    </row>
    <row r="1772" spans="1:16" ht="15" customHeight="1" x14ac:dyDescent="0.2">
      <c r="A1772" s="1" t="s">
        <v>5188</v>
      </c>
      <c r="B1772" s="1" t="s">
        <v>5189</v>
      </c>
      <c r="C1772" s="1" t="s">
        <v>9</v>
      </c>
      <c r="D1772" s="1" t="s">
        <v>3</v>
      </c>
      <c r="E1772" s="5">
        <v>43432</v>
      </c>
      <c r="F1772" s="5">
        <v>46155</v>
      </c>
      <c r="G1772" s="2">
        <v>4.1122269999999999</v>
      </c>
      <c r="H1772" s="1" t="s">
        <v>10</v>
      </c>
      <c r="I1772" s="2">
        <v>229.82891000000001</v>
      </c>
      <c r="J1772" s="1" t="s">
        <v>366</v>
      </c>
      <c r="K1772" s="1" t="s">
        <v>5190</v>
      </c>
      <c r="L1772" s="2">
        <v>72807.820000000007</v>
      </c>
      <c r="M1772">
        <f t="shared" si="81"/>
        <v>299402.28321513999</v>
      </c>
      <c r="N1772">
        <f t="shared" si="82"/>
        <v>26495.777275676104</v>
      </c>
      <c r="O1772" t="str">
        <f t="shared" si="83"/>
        <v>FJERN</v>
      </c>
      <c r="P1772" s="1" t="s">
        <v>6693</v>
      </c>
    </row>
    <row r="1773" spans="1:16" ht="15" customHeight="1" x14ac:dyDescent="0.2">
      <c r="A1773" s="1" t="s">
        <v>5191</v>
      </c>
      <c r="B1773" s="1" t="s">
        <v>5192</v>
      </c>
      <c r="C1773" s="1" t="s">
        <v>2</v>
      </c>
      <c r="D1773" s="1" t="s">
        <v>3</v>
      </c>
      <c r="E1773" s="5">
        <v>42341</v>
      </c>
      <c r="F1773" s="5">
        <v>46155</v>
      </c>
      <c r="G1773" s="2">
        <v>157.84059999999999</v>
      </c>
      <c r="H1773" s="1" t="s">
        <v>4</v>
      </c>
      <c r="I1773" s="2">
        <v>6053.4722039999997</v>
      </c>
      <c r="J1773" s="1" t="s">
        <v>15</v>
      </c>
      <c r="K1773" s="1" t="s">
        <v>5193</v>
      </c>
      <c r="L1773" s="2">
        <v>10208.790000000001</v>
      </c>
      <c r="M1773">
        <f t="shared" si="81"/>
        <v>1611361.5388740001</v>
      </c>
      <c r="N1773">
        <f t="shared" si="82"/>
        <v>216290.13944617449</v>
      </c>
      <c r="O1773" t="str">
        <f t="shared" si="83"/>
        <v>BEHOLD</v>
      </c>
      <c r="P1773" s="1" t="s">
        <v>6694</v>
      </c>
    </row>
    <row r="1774" spans="1:16" ht="15" customHeight="1" x14ac:dyDescent="0.2">
      <c r="A1774" s="1" t="s">
        <v>5194</v>
      </c>
      <c r="B1774" s="1" t="s">
        <v>5195</v>
      </c>
      <c r="C1774" s="1" t="s">
        <v>9</v>
      </c>
      <c r="D1774" s="1" t="s">
        <v>3</v>
      </c>
      <c r="E1774" s="5">
        <v>42643</v>
      </c>
      <c r="F1774" s="5">
        <v>46155</v>
      </c>
      <c r="G1774" s="2">
        <v>22.3948</v>
      </c>
      <c r="H1774" s="1" t="s">
        <v>10</v>
      </c>
      <c r="I1774" s="2">
        <v>3661.1526506999999</v>
      </c>
      <c r="J1774" s="1" t="s">
        <v>61</v>
      </c>
      <c r="K1774" s="1" t="s">
        <v>5196</v>
      </c>
      <c r="L1774" s="2">
        <v>35686.660000000003</v>
      </c>
      <c r="M1774">
        <f t="shared" si="81"/>
        <v>799195.61336800014</v>
      </c>
      <c r="N1774">
        <f t="shared" si="82"/>
        <v>70725.275519292045</v>
      </c>
      <c r="O1774" t="str">
        <f t="shared" si="83"/>
        <v>FJERN</v>
      </c>
      <c r="P1774" s="1" t="s">
        <v>6695</v>
      </c>
    </row>
    <row r="1775" spans="1:16" ht="15" customHeight="1" x14ac:dyDescent="0.2">
      <c r="A1775" s="1" t="s">
        <v>5197</v>
      </c>
      <c r="B1775" s="1" t="s">
        <v>5198</v>
      </c>
      <c r="C1775" s="1" t="s">
        <v>9</v>
      </c>
      <c r="D1775" s="1" t="s">
        <v>3</v>
      </c>
      <c r="E1775" s="5">
        <v>42685</v>
      </c>
      <c r="F1775" s="5">
        <v>46155</v>
      </c>
      <c r="G1775" s="2">
        <v>12.55664</v>
      </c>
      <c r="H1775" s="1" t="s">
        <v>10</v>
      </c>
      <c r="I1775" s="2">
        <v>169.308287925</v>
      </c>
      <c r="J1775" s="1" t="s">
        <v>236</v>
      </c>
      <c r="K1775" s="1" t="s">
        <v>5199</v>
      </c>
      <c r="L1775" s="2">
        <v>183115.8</v>
      </c>
      <c r="M1775">
        <f t="shared" si="81"/>
        <v>2299319.1789119998</v>
      </c>
      <c r="N1775">
        <f t="shared" si="82"/>
        <v>203479.57335504421</v>
      </c>
      <c r="O1775" t="str">
        <f t="shared" si="83"/>
        <v>BEHOLD</v>
      </c>
      <c r="P1775" s="1" t="s">
        <v>6696</v>
      </c>
    </row>
    <row r="1776" spans="1:16" ht="15" customHeight="1" x14ac:dyDescent="0.2">
      <c r="A1776" s="1" t="s">
        <v>5200</v>
      </c>
      <c r="B1776" s="1" t="s">
        <v>5201</v>
      </c>
      <c r="C1776" s="1" t="s">
        <v>9</v>
      </c>
      <c r="D1776" s="1" t="s">
        <v>3</v>
      </c>
      <c r="E1776" s="5">
        <v>36600</v>
      </c>
      <c r="F1776" s="5">
        <v>46155</v>
      </c>
      <c r="G1776" s="2">
        <v>15.39551</v>
      </c>
      <c r="H1776" s="1" t="s">
        <v>10</v>
      </c>
      <c r="I1776" s="2">
        <v>52.803175868700002</v>
      </c>
      <c r="J1776" s="1" t="s">
        <v>38</v>
      </c>
      <c r="K1776" s="1" t="s">
        <v>5202</v>
      </c>
      <c r="L1776" s="2">
        <v>1044987</v>
      </c>
      <c r="M1776">
        <f t="shared" si="81"/>
        <v>16088107.80837</v>
      </c>
      <c r="N1776">
        <f t="shared" si="82"/>
        <v>1423726.3547230088</v>
      </c>
      <c r="O1776" t="str">
        <f t="shared" si="83"/>
        <v>BEHOLD</v>
      </c>
      <c r="P1776" s="1" t="s">
        <v>6697</v>
      </c>
    </row>
    <row r="1777" spans="1:16" ht="15" customHeight="1" x14ac:dyDescent="0.2">
      <c r="A1777" s="1" t="s">
        <v>5203</v>
      </c>
      <c r="B1777" s="1" t="s">
        <v>5204</v>
      </c>
      <c r="C1777" s="1" t="s">
        <v>9</v>
      </c>
      <c r="D1777" s="1" t="s">
        <v>3</v>
      </c>
      <c r="E1777" s="5">
        <v>38973</v>
      </c>
      <c r="F1777" s="5">
        <v>43592</v>
      </c>
      <c r="G1777" s="2">
        <v>21.338550000000001</v>
      </c>
      <c r="H1777" s="1" t="s">
        <v>10</v>
      </c>
      <c r="I1777" s="2"/>
      <c r="J1777" s="1" t="s">
        <v>167</v>
      </c>
      <c r="K1777" s="1" t="s">
        <v>5205</v>
      </c>
      <c r="L1777" s="2">
        <v>95708.19</v>
      </c>
      <c r="M1777">
        <f t="shared" si="81"/>
        <v>2042273.9977245003</v>
      </c>
      <c r="N1777">
        <f t="shared" si="82"/>
        <v>180732.21218800885</v>
      </c>
      <c r="O1777" t="str">
        <f t="shared" si="83"/>
        <v>BEHOLD</v>
      </c>
      <c r="P1777" s="1" t="s">
        <v>6698</v>
      </c>
    </row>
    <row r="1778" spans="1:16" ht="15" customHeight="1" x14ac:dyDescent="0.2">
      <c r="A1778" s="1" t="s">
        <v>5206</v>
      </c>
      <c r="B1778" s="1" t="s">
        <v>5207</v>
      </c>
      <c r="C1778" s="1" t="s">
        <v>9</v>
      </c>
      <c r="D1778" s="1" t="s">
        <v>3</v>
      </c>
      <c r="E1778" s="5">
        <v>42825</v>
      </c>
      <c r="F1778" s="5">
        <v>46155</v>
      </c>
      <c r="G1778" s="2">
        <v>71.028970000000001</v>
      </c>
      <c r="H1778" s="1" t="s">
        <v>10</v>
      </c>
      <c r="I1778" s="2">
        <v>11600.912276999999</v>
      </c>
      <c r="J1778" s="1" t="s">
        <v>64</v>
      </c>
      <c r="K1778" s="1" t="s">
        <v>5208</v>
      </c>
      <c r="L1778" s="2">
        <v>224093.1</v>
      </c>
      <c r="M1778">
        <f t="shared" si="81"/>
        <v>15917102.077107001</v>
      </c>
      <c r="N1778">
        <f t="shared" si="82"/>
        <v>1408593.1041687611</v>
      </c>
      <c r="O1778" t="str">
        <f t="shared" si="83"/>
        <v>BEHOLD</v>
      </c>
      <c r="P1778" s="1" t="s">
        <v>6699</v>
      </c>
    </row>
    <row r="1779" spans="1:16" ht="15" customHeight="1" x14ac:dyDescent="0.2">
      <c r="A1779" s="1" t="s">
        <v>5209</v>
      </c>
      <c r="B1779" s="1" t="s">
        <v>5210</v>
      </c>
      <c r="C1779" s="1" t="s">
        <v>9</v>
      </c>
      <c r="D1779" s="1" t="s">
        <v>3</v>
      </c>
      <c r="E1779" s="5">
        <v>42837</v>
      </c>
      <c r="F1779" s="5">
        <v>46153</v>
      </c>
      <c r="G1779" s="2">
        <v>8.1969449999999995</v>
      </c>
      <c r="H1779" s="1" t="s">
        <v>10</v>
      </c>
      <c r="I1779" s="2">
        <v>52.242528900000003</v>
      </c>
      <c r="J1779" s="1" t="s">
        <v>391</v>
      </c>
      <c r="K1779" s="1" t="s">
        <v>5211</v>
      </c>
      <c r="L1779" s="2">
        <v>8257.2710000000006</v>
      </c>
      <c r="M1779">
        <f t="shared" si="81"/>
        <v>67684.396237095003</v>
      </c>
      <c r="N1779">
        <f t="shared" si="82"/>
        <v>5989.7695785039823</v>
      </c>
      <c r="O1779" t="str">
        <f t="shared" si="83"/>
        <v>FJERN</v>
      </c>
      <c r="P1779" s="1" t="s">
        <v>6700</v>
      </c>
    </row>
    <row r="1780" spans="1:16" ht="15" customHeight="1" x14ac:dyDescent="0.2">
      <c r="A1780" s="1" t="s">
        <v>5212</v>
      </c>
      <c r="B1780" s="1" t="s">
        <v>5213</v>
      </c>
      <c r="C1780" s="1" t="s">
        <v>9</v>
      </c>
      <c r="D1780" s="1" t="s">
        <v>3</v>
      </c>
      <c r="E1780" s="5">
        <v>42821</v>
      </c>
      <c r="F1780" s="5">
        <v>46155</v>
      </c>
      <c r="G1780" s="2">
        <v>23.301500000000001</v>
      </c>
      <c r="H1780" s="1" t="s">
        <v>10</v>
      </c>
      <c r="I1780" s="2">
        <v>417.44256200000001</v>
      </c>
      <c r="J1780" s="1" t="s">
        <v>236</v>
      </c>
      <c r="K1780" s="1" t="s">
        <v>5214</v>
      </c>
      <c r="L1780" s="2">
        <v>60711.05</v>
      </c>
      <c r="M1780">
        <f t="shared" si="81"/>
        <v>1414658.5315750001</v>
      </c>
      <c r="N1780">
        <f t="shared" si="82"/>
        <v>125191.02049336284</v>
      </c>
      <c r="O1780" t="str">
        <f t="shared" si="83"/>
        <v>BEHOLD</v>
      </c>
      <c r="P1780" s="1" t="s">
        <v>6701</v>
      </c>
    </row>
    <row r="1781" spans="1:16" ht="15" customHeight="1" x14ac:dyDescent="0.2">
      <c r="A1781" s="1" t="s">
        <v>5215</v>
      </c>
      <c r="B1781" s="1" t="s">
        <v>5216</v>
      </c>
      <c r="C1781" s="1" t="s">
        <v>9</v>
      </c>
      <c r="D1781" s="1" t="s">
        <v>3</v>
      </c>
      <c r="E1781" s="5">
        <v>43425</v>
      </c>
      <c r="F1781" s="5">
        <v>46155</v>
      </c>
      <c r="G1781" s="2">
        <v>1.0908340000000001</v>
      </c>
      <c r="H1781" s="1" t="s">
        <v>10</v>
      </c>
      <c r="I1781" s="2">
        <v>88.955804133000001</v>
      </c>
      <c r="J1781" s="1" t="s">
        <v>289</v>
      </c>
      <c r="K1781" s="1" t="s">
        <v>5217</v>
      </c>
      <c r="L1781" s="2">
        <v>349528.4</v>
      </c>
      <c r="M1781">
        <f t="shared" si="81"/>
        <v>381277.46268560004</v>
      </c>
      <c r="N1781">
        <f t="shared" si="82"/>
        <v>33741.368379256637</v>
      </c>
      <c r="O1781" t="str">
        <f t="shared" si="83"/>
        <v>FJERN</v>
      </c>
      <c r="P1781" s="1"/>
    </row>
    <row r="1782" spans="1:16" ht="15" customHeight="1" x14ac:dyDescent="0.2">
      <c r="A1782" s="1" t="s">
        <v>5218</v>
      </c>
      <c r="B1782" s="1" t="s">
        <v>5219</v>
      </c>
      <c r="C1782" s="1" t="s">
        <v>9</v>
      </c>
      <c r="D1782" s="1" t="s">
        <v>3</v>
      </c>
      <c r="E1782" s="5">
        <v>42810</v>
      </c>
      <c r="F1782" s="5">
        <v>46155</v>
      </c>
      <c r="G1782" s="2">
        <v>5.6003639999999999</v>
      </c>
      <c r="H1782" s="1" t="s">
        <v>10</v>
      </c>
      <c r="I1782" s="2">
        <v>202.88257572261199</v>
      </c>
      <c r="J1782" s="1" t="s">
        <v>366</v>
      </c>
      <c r="K1782" s="1" t="s">
        <v>5220</v>
      </c>
      <c r="L1782" s="2">
        <v>68567.12</v>
      </c>
      <c r="M1782">
        <f t="shared" si="81"/>
        <v>384000.83043167996</v>
      </c>
      <c r="N1782">
        <f t="shared" si="82"/>
        <v>33982.374374484949</v>
      </c>
      <c r="O1782" t="str">
        <f t="shared" si="83"/>
        <v>FJERN</v>
      </c>
      <c r="P1782" s="1" t="s">
        <v>6702</v>
      </c>
    </row>
    <row r="1783" spans="1:16" ht="15" customHeight="1" x14ac:dyDescent="0.2">
      <c r="A1783" s="1" t="s">
        <v>5221</v>
      </c>
      <c r="B1783" s="1" t="s">
        <v>5222</v>
      </c>
      <c r="C1783" s="1" t="s">
        <v>9</v>
      </c>
      <c r="D1783" s="1" t="s">
        <v>3</v>
      </c>
      <c r="E1783" s="5">
        <v>42458</v>
      </c>
      <c r="F1783" s="5">
        <v>46155</v>
      </c>
      <c r="G1783" s="2">
        <v>94.279259999999994</v>
      </c>
      <c r="H1783" s="1" t="s">
        <v>10</v>
      </c>
      <c r="I1783" s="2">
        <v>680.30670999999995</v>
      </c>
      <c r="J1783" s="1" t="s">
        <v>366</v>
      </c>
      <c r="K1783" s="1" t="s">
        <v>5223</v>
      </c>
      <c r="L1783" s="2">
        <v>15200.97</v>
      </c>
      <c r="M1783">
        <f t="shared" si="81"/>
        <v>1433136.2028821998</v>
      </c>
      <c r="N1783">
        <f t="shared" si="82"/>
        <v>126826.21264444245</v>
      </c>
      <c r="O1783" t="str">
        <f t="shared" si="83"/>
        <v>BEHOLD</v>
      </c>
      <c r="P1783" s="1" t="s">
        <v>6703</v>
      </c>
    </row>
    <row r="1784" spans="1:16" ht="15" customHeight="1" x14ac:dyDescent="0.2">
      <c r="A1784" s="1" t="s">
        <v>5224</v>
      </c>
      <c r="B1784" s="1" t="s">
        <v>5225</v>
      </c>
      <c r="C1784" s="1" t="s">
        <v>9</v>
      </c>
      <c r="D1784" s="1" t="s">
        <v>3</v>
      </c>
      <c r="E1784" s="5">
        <v>38707</v>
      </c>
      <c r="F1784" s="5">
        <v>46155</v>
      </c>
      <c r="G1784" s="2">
        <v>74.441990000000004</v>
      </c>
      <c r="H1784" s="1" t="s">
        <v>10</v>
      </c>
      <c r="I1784" s="2">
        <v>6478.3436952000002</v>
      </c>
      <c r="J1784" s="1" t="s">
        <v>236</v>
      </c>
      <c r="K1784" s="1" t="s">
        <v>5226</v>
      </c>
      <c r="L1784" s="2">
        <v>112312.4</v>
      </c>
      <c r="M1784">
        <f t="shared" si="81"/>
        <v>8360758.5576759996</v>
      </c>
      <c r="N1784">
        <f t="shared" si="82"/>
        <v>739890.13784743357</v>
      </c>
      <c r="O1784" t="str">
        <f t="shared" si="83"/>
        <v>BEHOLD</v>
      </c>
      <c r="P1784" s="1" t="s">
        <v>6704</v>
      </c>
    </row>
    <row r="1785" spans="1:16" ht="15" customHeight="1" x14ac:dyDescent="0.2">
      <c r="A1785" s="1" t="s">
        <v>5227</v>
      </c>
      <c r="B1785" s="1" t="s">
        <v>5228</v>
      </c>
      <c r="C1785" s="1" t="s">
        <v>9</v>
      </c>
      <c r="D1785" s="1" t="s">
        <v>2895</v>
      </c>
      <c r="E1785" s="5">
        <v>42198</v>
      </c>
      <c r="F1785" s="5">
        <v>45750</v>
      </c>
      <c r="G1785" s="2">
        <v>96.920169999999999</v>
      </c>
      <c r="H1785" s="1" t="s">
        <v>10</v>
      </c>
      <c r="I1785" s="2">
        <v>378.11009999999999</v>
      </c>
      <c r="J1785" s="1" t="s">
        <v>184</v>
      </c>
      <c r="K1785" s="1" t="s">
        <v>5229</v>
      </c>
      <c r="L1785" s="2">
        <v>449.29469999999998</v>
      </c>
      <c r="M1785">
        <f t="shared" si="81"/>
        <v>43545.718704098996</v>
      </c>
      <c r="N1785">
        <f t="shared" si="82"/>
        <v>3853.603425141504</v>
      </c>
      <c r="O1785" t="str">
        <f t="shared" si="83"/>
        <v>FJERN</v>
      </c>
      <c r="P1785" s="1"/>
    </row>
    <row r="1786" spans="1:16" ht="15" customHeight="1" x14ac:dyDescent="0.2">
      <c r="A1786" s="1" t="s">
        <v>5230</v>
      </c>
      <c r="B1786" s="1" t="s">
        <v>5231</v>
      </c>
      <c r="C1786" s="1" t="s">
        <v>9</v>
      </c>
      <c r="D1786" s="1" t="s">
        <v>3</v>
      </c>
      <c r="E1786" s="5">
        <v>42446</v>
      </c>
      <c r="F1786" s="5">
        <v>44826</v>
      </c>
      <c r="G1786" s="2">
        <v>45.898800000000001</v>
      </c>
      <c r="H1786" s="1" t="s">
        <v>10</v>
      </c>
      <c r="I1786" s="2"/>
      <c r="J1786" s="1" t="s">
        <v>167</v>
      </c>
      <c r="K1786" s="1" t="s">
        <v>5232</v>
      </c>
      <c r="L1786" s="2">
        <v>660005.4</v>
      </c>
      <c r="M1786">
        <f t="shared" si="81"/>
        <v>30293455.853520002</v>
      </c>
      <c r="N1786">
        <f t="shared" si="82"/>
        <v>2680836.8011964601</v>
      </c>
      <c r="O1786" t="str">
        <f t="shared" si="83"/>
        <v>BEHOLD</v>
      </c>
      <c r="P1786" s="1" t="s">
        <v>6705</v>
      </c>
    </row>
    <row r="1787" spans="1:16" ht="15" customHeight="1" x14ac:dyDescent="0.2">
      <c r="A1787" s="1" t="s">
        <v>5233</v>
      </c>
      <c r="B1787" s="1" t="s">
        <v>5234</v>
      </c>
      <c r="C1787" s="1" t="s">
        <v>9</v>
      </c>
      <c r="D1787" s="1" t="s">
        <v>3</v>
      </c>
      <c r="E1787" s="5">
        <v>42531</v>
      </c>
      <c r="F1787" s="5">
        <v>46155</v>
      </c>
      <c r="G1787" s="2">
        <v>22.25675</v>
      </c>
      <c r="H1787" s="1" t="s">
        <v>10</v>
      </c>
      <c r="I1787" s="2">
        <v>142.46438262000001</v>
      </c>
      <c r="J1787" s="1" t="s">
        <v>5</v>
      </c>
      <c r="K1787" s="1" t="s">
        <v>5235</v>
      </c>
      <c r="L1787" s="2">
        <v>24856.21</v>
      </c>
      <c r="M1787">
        <f t="shared" si="81"/>
        <v>553218.4519175</v>
      </c>
      <c r="N1787">
        <f t="shared" si="82"/>
        <v>48957.385125442474</v>
      </c>
      <c r="O1787" t="str">
        <f t="shared" si="83"/>
        <v>FJERN</v>
      </c>
      <c r="P1787" s="1"/>
    </row>
    <row r="1788" spans="1:16" ht="15" customHeight="1" x14ac:dyDescent="0.2">
      <c r="A1788" s="1" t="s">
        <v>5236</v>
      </c>
      <c r="B1788" s="1" t="s">
        <v>5237</v>
      </c>
      <c r="C1788" s="1" t="s">
        <v>9</v>
      </c>
      <c r="D1788" s="1" t="s">
        <v>3</v>
      </c>
      <c r="E1788" s="5">
        <v>36678</v>
      </c>
      <c r="F1788" s="5">
        <v>44257</v>
      </c>
      <c r="G1788" s="2">
        <v>9.8488889999999998</v>
      </c>
      <c r="H1788" s="1" t="s">
        <v>10</v>
      </c>
      <c r="I1788" s="2"/>
      <c r="J1788" s="1" t="s">
        <v>38</v>
      </c>
      <c r="K1788" s="1" t="s">
        <v>5238</v>
      </c>
      <c r="L1788" s="2">
        <v>28730.05</v>
      </c>
      <c r="M1788">
        <f t="shared" si="81"/>
        <v>282959.07341444999</v>
      </c>
      <c r="N1788">
        <f t="shared" si="82"/>
        <v>25040.625965880528</v>
      </c>
      <c r="O1788" t="str">
        <f t="shared" si="83"/>
        <v>FJERN</v>
      </c>
      <c r="P1788" s="1" t="s">
        <v>6706</v>
      </c>
    </row>
    <row r="1789" spans="1:16" ht="15" customHeight="1" x14ac:dyDescent="0.2">
      <c r="A1789" s="1" t="s">
        <v>5239</v>
      </c>
      <c r="B1789" s="1" t="s">
        <v>5240</v>
      </c>
      <c r="C1789" s="1" t="s">
        <v>9</v>
      </c>
      <c r="D1789" s="1" t="s">
        <v>3</v>
      </c>
      <c r="E1789" s="5">
        <v>35888</v>
      </c>
      <c r="F1789" s="5">
        <v>44889</v>
      </c>
      <c r="G1789" s="2">
        <v>32.478119999999997</v>
      </c>
      <c r="H1789" s="1" t="s">
        <v>10</v>
      </c>
      <c r="I1789" s="2"/>
      <c r="J1789" s="1" t="s">
        <v>176</v>
      </c>
      <c r="K1789" s="1" t="s">
        <v>5241</v>
      </c>
      <c r="L1789" s="2">
        <v>313787.09999999998</v>
      </c>
      <c r="M1789">
        <f t="shared" si="81"/>
        <v>10191215.088251999</v>
      </c>
      <c r="N1789">
        <f t="shared" si="82"/>
        <v>901877.44143822987</v>
      </c>
      <c r="O1789" t="str">
        <f t="shared" si="83"/>
        <v>BEHOLD</v>
      </c>
      <c r="P1789" s="1" t="s">
        <v>6707</v>
      </c>
    </row>
    <row r="1790" spans="1:16" ht="15" customHeight="1" x14ac:dyDescent="0.2">
      <c r="A1790" s="1" t="s">
        <v>5242</v>
      </c>
      <c r="B1790" s="1" t="s">
        <v>5243</v>
      </c>
      <c r="C1790" s="1" t="s">
        <v>9</v>
      </c>
      <c r="D1790" s="1" t="s">
        <v>3</v>
      </c>
      <c r="E1790" s="5">
        <v>42709</v>
      </c>
      <c r="F1790" s="5">
        <v>46155</v>
      </c>
      <c r="G1790" s="2">
        <v>32.381979999999999</v>
      </c>
      <c r="H1790" s="1" t="s">
        <v>10</v>
      </c>
      <c r="I1790" s="2">
        <v>1886.2452544</v>
      </c>
      <c r="J1790" s="1" t="s">
        <v>11</v>
      </c>
      <c r="K1790" s="1" t="s">
        <v>5244</v>
      </c>
      <c r="L1790" s="2">
        <v>24574.22</v>
      </c>
      <c r="M1790">
        <f t="shared" si="81"/>
        <v>795761.90055559995</v>
      </c>
      <c r="N1790">
        <f t="shared" si="82"/>
        <v>70421.407128814157</v>
      </c>
      <c r="O1790" t="str">
        <f t="shared" si="83"/>
        <v>FJERN</v>
      </c>
      <c r="P1790" s="1" t="s">
        <v>6708</v>
      </c>
    </row>
    <row r="1791" spans="1:16" ht="15" customHeight="1" x14ac:dyDescent="0.2">
      <c r="A1791" s="1" t="s">
        <v>5245</v>
      </c>
      <c r="B1791" s="1" t="s">
        <v>5246</v>
      </c>
      <c r="C1791" s="1" t="s">
        <v>9</v>
      </c>
      <c r="D1791" s="1" t="s">
        <v>3</v>
      </c>
      <c r="E1791" s="5">
        <v>42167</v>
      </c>
      <c r="F1791" s="5">
        <v>46155</v>
      </c>
      <c r="G1791" s="2">
        <v>66.81326</v>
      </c>
      <c r="H1791" s="1" t="s">
        <v>10</v>
      </c>
      <c r="I1791" s="2">
        <v>755.95180440000001</v>
      </c>
      <c r="J1791" s="1" t="s">
        <v>289</v>
      </c>
      <c r="K1791" s="1" t="s">
        <v>5247</v>
      </c>
      <c r="L1791" s="2">
        <v>28636.400000000001</v>
      </c>
      <c r="M1791">
        <f t="shared" si="81"/>
        <v>1913291.2386640001</v>
      </c>
      <c r="N1791">
        <f t="shared" si="82"/>
        <v>169317.80873132742</v>
      </c>
      <c r="O1791" t="str">
        <f t="shared" si="83"/>
        <v>BEHOLD</v>
      </c>
      <c r="P1791" s="1" t="s">
        <v>6709</v>
      </c>
    </row>
    <row r="1792" spans="1:16" ht="15" customHeight="1" x14ac:dyDescent="0.2">
      <c r="A1792" s="1" t="s">
        <v>5248</v>
      </c>
      <c r="B1792" s="1" t="s">
        <v>5249</v>
      </c>
      <c r="C1792" s="1" t="s">
        <v>9</v>
      </c>
      <c r="D1792" s="1" t="s">
        <v>3</v>
      </c>
      <c r="E1792" s="5">
        <v>42173</v>
      </c>
      <c r="F1792" s="5">
        <v>44608</v>
      </c>
      <c r="G1792" s="2">
        <v>57.357849999999999</v>
      </c>
      <c r="H1792" s="1" t="s">
        <v>10</v>
      </c>
      <c r="I1792" s="2"/>
      <c r="J1792" s="1" t="s">
        <v>11</v>
      </c>
      <c r="K1792" s="1" t="s">
        <v>5250</v>
      </c>
      <c r="L1792" s="2">
        <v>339822.7</v>
      </c>
      <c r="M1792">
        <f t="shared" si="81"/>
        <v>19491499.453195002</v>
      </c>
      <c r="N1792">
        <f t="shared" si="82"/>
        <v>1724911.4560349558</v>
      </c>
      <c r="O1792" t="str">
        <f t="shared" si="83"/>
        <v>BEHOLD</v>
      </c>
      <c r="P1792" s="1" t="s">
        <v>6710</v>
      </c>
    </row>
    <row r="1793" spans="1:16" ht="15" customHeight="1" x14ac:dyDescent="0.2">
      <c r="A1793" s="1" t="s">
        <v>5251</v>
      </c>
      <c r="B1793" s="1" t="s">
        <v>5252</v>
      </c>
      <c r="C1793" s="1" t="s">
        <v>9</v>
      </c>
      <c r="D1793" s="1" t="s">
        <v>3</v>
      </c>
      <c r="E1793" s="5">
        <v>42339</v>
      </c>
      <c r="F1793" s="5">
        <v>46155</v>
      </c>
      <c r="G1793" s="2">
        <v>27.369980000000002</v>
      </c>
      <c r="H1793" s="1" t="s">
        <v>10</v>
      </c>
      <c r="I1793" s="2">
        <v>152.69538448399999</v>
      </c>
      <c r="J1793" s="1" t="s">
        <v>34</v>
      </c>
      <c r="K1793" s="1" t="s">
        <v>5253</v>
      </c>
      <c r="L1793" s="2">
        <v>1503170</v>
      </c>
      <c r="M1793">
        <f t="shared" si="81"/>
        <v>41141732.836600006</v>
      </c>
      <c r="N1793">
        <f t="shared" si="82"/>
        <v>3640861.3129734518</v>
      </c>
      <c r="O1793" t="str">
        <f t="shared" si="83"/>
        <v>BEHOLD</v>
      </c>
      <c r="P1793" s="1" t="s">
        <v>6711</v>
      </c>
    </row>
    <row r="1794" spans="1:16" ht="15" customHeight="1" x14ac:dyDescent="0.2">
      <c r="A1794" s="1" t="s">
        <v>5254</v>
      </c>
      <c r="B1794" s="1" t="s">
        <v>5255</v>
      </c>
      <c r="C1794" s="1" t="s">
        <v>9</v>
      </c>
      <c r="D1794" s="1" t="s">
        <v>3</v>
      </c>
      <c r="E1794" s="5">
        <v>42307</v>
      </c>
      <c r="F1794" s="5">
        <v>46155</v>
      </c>
      <c r="G1794" s="2">
        <v>9.4673700000000007</v>
      </c>
      <c r="H1794" s="1" t="s">
        <v>10</v>
      </c>
      <c r="I1794" s="2">
        <v>68.928459600000096</v>
      </c>
      <c r="J1794" s="1" t="s">
        <v>64</v>
      </c>
      <c r="K1794" s="1" t="s">
        <v>5256</v>
      </c>
      <c r="L1794" s="2">
        <v>109665.3</v>
      </c>
      <c r="M1794">
        <f t="shared" si="81"/>
        <v>1038241.9712610001</v>
      </c>
      <c r="N1794">
        <f t="shared" si="82"/>
        <v>91879.820465575234</v>
      </c>
      <c r="O1794" t="str">
        <f t="shared" si="83"/>
        <v>FJERN</v>
      </c>
      <c r="P1794" s="1" t="s">
        <v>6712</v>
      </c>
    </row>
    <row r="1795" spans="1:16" ht="15" customHeight="1" x14ac:dyDescent="0.2">
      <c r="A1795" s="1" t="s">
        <v>5257</v>
      </c>
      <c r="B1795" s="1" t="s">
        <v>5258</v>
      </c>
      <c r="C1795" s="1" t="s">
        <v>9</v>
      </c>
      <c r="D1795" s="1" t="s">
        <v>3</v>
      </c>
      <c r="E1795" s="5">
        <v>42543</v>
      </c>
      <c r="F1795" s="5">
        <v>46155</v>
      </c>
      <c r="G1795" s="2">
        <v>4.5936820000000003</v>
      </c>
      <c r="H1795" s="1" t="s">
        <v>10</v>
      </c>
      <c r="I1795" s="2">
        <v>2170.3370039699998</v>
      </c>
      <c r="J1795" s="1" t="s">
        <v>366</v>
      </c>
      <c r="K1795" s="1" t="s">
        <v>5259</v>
      </c>
      <c r="L1795" s="2">
        <v>529854.4</v>
      </c>
      <c r="M1795">
        <f t="shared" ref="M1795:M1844" si="84">IF(OR(G1795="",L1795=""),"",G1795*L1795)</f>
        <v>2433982.6199008003</v>
      </c>
      <c r="N1795">
        <f t="shared" ref="N1795:N1844" si="85">IF(M1795="","",IF(H1795="DKK",M1795/7.45,IF(H1795="SEK",M1795/11.3,M1795)))</f>
        <v>215396.69202661948</v>
      </c>
      <c r="O1795" t="str">
        <f t="shared" ref="O1795:O1844" si="86">IF(AND(E1795&lt;=DATE(2024,12,31),F1795&gt;=DATE(2010,1,1),D1795="SHARE",N1795&gt;=100000),"BEHOLD","FJERN")</f>
        <v>BEHOLD</v>
      </c>
      <c r="P1795" s="1" t="s">
        <v>6713</v>
      </c>
    </row>
    <row r="1796" spans="1:16" ht="15" customHeight="1" x14ac:dyDescent="0.2">
      <c r="A1796" s="1" t="s">
        <v>5260</v>
      </c>
      <c r="B1796" s="1" t="s">
        <v>5261</v>
      </c>
      <c r="C1796" s="1" t="s">
        <v>9</v>
      </c>
      <c r="D1796" s="1" t="s">
        <v>3</v>
      </c>
      <c r="E1796" s="5">
        <v>42818</v>
      </c>
      <c r="F1796" s="5">
        <v>44901</v>
      </c>
      <c r="G1796" s="2">
        <v>5.9231220000000002</v>
      </c>
      <c r="H1796" s="1" t="s">
        <v>10</v>
      </c>
      <c r="I1796" s="2"/>
      <c r="J1796" s="1" t="s">
        <v>366</v>
      </c>
      <c r="K1796" s="1" t="s">
        <v>5262</v>
      </c>
      <c r="L1796" s="2">
        <v>567577.69999999995</v>
      </c>
      <c r="M1796">
        <f t="shared" si="84"/>
        <v>3361831.9615793996</v>
      </c>
      <c r="N1796">
        <f t="shared" si="85"/>
        <v>297507.25323711499</v>
      </c>
      <c r="O1796" t="str">
        <f t="shared" si="86"/>
        <v>BEHOLD</v>
      </c>
      <c r="P1796" s="1" t="s">
        <v>6714</v>
      </c>
    </row>
    <row r="1797" spans="1:16" ht="15" customHeight="1" x14ac:dyDescent="0.2">
      <c r="A1797" s="1" t="s">
        <v>5263</v>
      </c>
      <c r="B1797" s="1" t="s">
        <v>5264</v>
      </c>
      <c r="C1797" s="1" t="s">
        <v>9</v>
      </c>
      <c r="D1797" s="1" t="s">
        <v>3</v>
      </c>
      <c r="E1797" s="5">
        <v>42171</v>
      </c>
      <c r="F1797" s="5">
        <v>46155</v>
      </c>
      <c r="G1797" s="2">
        <v>59.39499</v>
      </c>
      <c r="H1797" s="1" t="s">
        <v>10</v>
      </c>
      <c r="I1797" s="2">
        <v>4672.2945857799996</v>
      </c>
      <c r="J1797" s="1" t="s">
        <v>289</v>
      </c>
      <c r="K1797" s="1" t="s">
        <v>5265</v>
      </c>
      <c r="L1797" s="2">
        <v>213647.6</v>
      </c>
      <c r="M1797">
        <f t="shared" si="84"/>
        <v>12689597.065524001</v>
      </c>
      <c r="N1797">
        <f t="shared" si="85"/>
        <v>1122973.1916392921</v>
      </c>
      <c r="O1797" t="str">
        <f t="shared" si="86"/>
        <v>BEHOLD</v>
      </c>
      <c r="P1797" s="1" t="s">
        <v>6715</v>
      </c>
    </row>
    <row r="1798" spans="1:16" ht="15" customHeight="1" x14ac:dyDescent="0.2">
      <c r="A1798" s="1" t="s">
        <v>5266</v>
      </c>
      <c r="B1798" s="1" t="s">
        <v>5267</v>
      </c>
      <c r="C1798" s="1" t="s">
        <v>2</v>
      </c>
      <c r="D1798" s="1" t="s">
        <v>3</v>
      </c>
      <c r="E1798" s="5">
        <v>42410</v>
      </c>
      <c r="F1798" s="5">
        <v>46155</v>
      </c>
      <c r="G1798" s="2">
        <v>106.53400000000001</v>
      </c>
      <c r="H1798" s="1" t="s">
        <v>4</v>
      </c>
      <c r="I1798" s="2">
        <v>7520.3384999999998</v>
      </c>
      <c r="J1798" s="1" t="s">
        <v>5</v>
      </c>
      <c r="K1798" s="1" t="s">
        <v>5268</v>
      </c>
      <c r="L1798" s="2">
        <v>148179.1</v>
      </c>
      <c r="M1798">
        <f t="shared" si="84"/>
        <v>15786112.239400001</v>
      </c>
      <c r="N1798">
        <f t="shared" si="85"/>
        <v>2118941.2401879197</v>
      </c>
      <c r="O1798" t="str">
        <f t="shared" si="86"/>
        <v>BEHOLD</v>
      </c>
      <c r="P1798" s="1" t="s">
        <v>6716</v>
      </c>
    </row>
    <row r="1799" spans="1:16" ht="15" customHeight="1" x14ac:dyDescent="0.2">
      <c r="A1799" s="1" t="s">
        <v>5269</v>
      </c>
      <c r="B1799" s="1" t="s">
        <v>5270</v>
      </c>
      <c r="C1799" s="1" t="s">
        <v>9</v>
      </c>
      <c r="D1799" s="1" t="s">
        <v>3</v>
      </c>
      <c r="E1799" s="5">
        <v>42451</v>
      </c>
      <c r="F1799" s="5">
        <v>46155</v>
      </c>
      <c r="G1799" s="2">
        <v>51.35257</v>
      </c>
      <c r="H1799" s="1" t="s">
        <v>10</v>
      </c>
      <c r="I1799" s="2">
        <v>2436.8593535999998</v>
      </c>
      <c r="J1799" s="1" t="s">
        <v>64</v>
      </c>
      <c r="K1799" s="1" t="s">
        <v>5271</v>
      </c>
      <c r="L1799" s="2">
        <v>113080.7</v>
      </c>
      <c r="M1799">
        <f t="shared" si="84"/>
        <v>5806984.5623989999</v>
      </c>
      <c r="N1799">
        <f t="shared" si="85"/>
        <v>513892.43915035395</v>
      </c>
      <c r="O1799" t="str">
        <f t="shared" si="86"/>
        <v>BEHOLD</v>
      </c>
      <c r="P1799" s="1" t="s">
        <v>6717</v>
      </c>
    </row>
    <row r="1800" spans="1:16" ht="15" customHeight="1" x14ac:dyDescent="0.2">
      <c r="A1800" s="1" t="s">
        <v>5272</v>
      </c>
      <c r="B1800" s="1" t="s">
        <v>5273</v>
      </c>
      <c r="C1800" s="1" t="s">
        <v>9</v>
      </c>
      <c r="D1800" s="1" t="s">
        <v>3</v>
      </c>
      <c r="E1800" s="5">
        <v>42451</v>
      </c>
      <c r="F1800" s="5">
        <v>46155</v>
      </c>
      <c r="G1800" s="2">
        <v>1.4546669999999999</v>
      </c>
      <c r="H1800" s="1" t="s">
        <v>10</v>
      </c>
      <c r="I1800" s="2">
        <v>244.599782844</v>
      </c>
      <c r="J1800" s="1" t="s">
        <v>64</v>
      </c>
      <c r="K1800" s="1" t="s">
        <v>5274</v>
      </c>
      <c r="L1800" s="2">
        <v>305554.09999999998</v>
      </c>
      <c r="M1800">
        <f t="shared" si="84"/>
        <v>444479.46598469996</v>
      </c>
      <c r="N1800">
        <f t="shared" si="85"/>
        <v>39334.466016345126</v>
      </c>
      <c r="O1800" t="str">
        <f t="shared" si="86"/>
        <v>FJERN</v>
      </c>
      <c r="P1800" s="1" t="s">
        <v>6718</v>
      </c>
    </row>
    <row r="1801" spans="1:16" ht="15" customHeight="1" x14ac:dyDescent="0.2">
      <c r="A1801" s="1" t="s">
        <v>5275</v>
      </c>
      <c r="B1801" s="1" t="s">
        <v>5276</v>
      </c>
      <c r="C1801" s="1" t="s">
        <v>9</v>
      </c>
      <c r="D1801" s="1" t="s">
        <v>3</v>
      </c>
      <c r="E1801" s="5">
        <v>39045</v>
      </c>
      <c r="F1801" s="5">
        <v>46155</v>
      </c>
      <c r="G1801" s="2">
        <v>107.3387</v>
      </c>
      <c r="H1801" s="1" t="s">
        <v>10</v>
      </c>
      <c r="I1801" s="2">
        <v>525.81976199999997</v>
      </c>
      <c r="J1801" s="1" t="s">
        <v>11</v>
      </c>
      <c r="K1801" s="1" t="s">
        <v>5277</v>
      </c>
      <c r="L1801" s="2">
        <v>23823.15</v>
      </c>
      <c r="M1801">
        <f t="shared" si="84"/>
        <v>2557145.9509050003</v>
      </c>
      <c r="N1801">
        <f t="shared" si="85"/>
        <v>226296.10185000001</v>
      </c>
      <c r="O1801" t="str">
        <f t="shared" si="86"/>
        <v>BEHOLD</v>
      </c>
      <c r="P1801" s="1" t="s">
        <v>6719</v>
      </c>
    </row>
    <row r="1802" spans="1:16" ht="15" customHeight="1" x14ac:dyDescent="0.2">
      <c r="A1802" s="1" t="s">
        <v>5278</v>
      </c>
      <c r="B1802" s="1" t="s">
        <v>5279</v>
      </c>
      <c r="C1802" s="1" t="s">
        <v>9</v>
      </c>
      <c r="D1802" s="1" t="s">
        <v>3</v>
      </c>
      <c r="E1802" s="5">
        <v>39962</v>
      </c>
      <c r="F1802" s="5">
        <v>46155</v>
      </c>
      <c r="G1802" s="2">
        <v>61.553289999999997</v>
      </c>
      <c r="H1802" s="1" t="s">
        <v>10</v>
      </c>
      <c r="I1802" s="2">
        <v>1072.69004</v>
      </c>
      <c r="J1802" s="1" t="s">
        <v>11</v>
      </c>
      <c r="K1802" s="1" t="s">
        <v>5280</v>
      </c>
      <c r="L1802" s="2">
        <v>56548.83</v>
      </c>
      <c r="M1802">
        <f t="shared" si="84"/>
        <v>3480766.5321506998</v>
      </c>
      <c r="N1802">
        <f t="shared" si="85"/>
        <v>308032.43647351325</v>
      </c>
      <c r="O1802" t="str">
        <f t="shared" si="86"/>
        <v>BEHOLD</v>
      </c>
      <c r="P1802" s="1" t="s">
        <v>6720</v>
      </c>
    </row>
    <row r="1803" spans="1:16" ht="15" customHeight="1" x14ac:dyDescent="0.2">
      <c r="A1803" s="1" t="s">
        <v>5281</v>
      </c>
      <c r="B1803" s="1" t="s">
        <v>5282</v>
      </c>
      <c r="C1803" s="1" t="s">
        <v>9</v>
      </c>
      <c r="D1803" s="1" t="s">
        <v>3</v>
      </c>
      <c r="E1803" s="5">
        <v>42627</v>
      </c>
      <c r="F1803" s="5">
        <v>46155</v>
      </c>
      <c r="G1803" s="2">
        <v>39.099930000000001</v>
      </c>
      <c r="H1803" s="1" t="s">
        <v>10</v>
      </c>
      <c r="I1803" s="2">
        <v>612.77565000000004</v>
      </c>
      <c r="J1803" s="1" t="s">
        <v>38</v>
      </c>
      <c r="K1803" s="1" t="s">
        <v>5283</v>
      </c>
      <c r="L1803" s="2">
        <v>23058.86</v>
      </c>
      <c r="M1803">
        <f t="shared" si="84"/>
        <v>901599.81187980005</v>
      </c>
      <c r="N1803">
        <f t="shared" si="85"/>
        <v>79787.593971663722</v>
      </c>
      <c r="O1803" t="str">
        <f t="shared" si="86"/>
        <v>FJERN</v>
      </c>
      <c r="P1803" s="1" t="s">
        <v>6721</v>
      </c>
    </row>
    <row r="1804" spans="1:16" ht="15" customHeight="1" x14ac:dyDescent="0.2">
      <c r="A1804" s="1" t="s">
        <v>5284</v>
      </c>
      <c r="B1804" s="1" t="s">
        <v>5285</v>
      </c>
      <c r="C1804" s="1" t="s">
        <v>9</v>
      </c>
      <c r="D1804" s="1" t="s">
        <v>3</v>
      </c>
      <c r="E1804" s="5">
        <v>42534</v>
      </c>
      <c r="F1804" s="5">
        <v>43537</v>
      </c>
      <c r="G1804" s="2">
        <v>1.134217</v>
      </c>
      <c r="H1804" s="1" t="s">
        <v>3371</v>
      </c>
      <c r="I1804" s="2"/>
      <c r="J1804" s="1" t="s">
        <v>289</v>
      </c>
      <c r="K1804" s="1" t="s">
        <v>5286</v>
      </c>
      <c r="L1804" s="2">
        <v>140260.29999999999</v>
      </c>
      <c r="M1804">
        <f t="shared" si="84"/>
        <v>159085.61668509999</v>
      </c>
      <c r="N1804">
        <f t="shared" si="85"/>
        <v>159085.61668509999</v>
      </c>
      <c r="O1804" t="str">
        <f t="shared" si="86"/>
        <v>BEHOLD</v>
      </c>
      <c r="P1804" s="1" t="s">
        <v>6722</v>
      </c>
    </row>
    <row r="1805" spans="1:16" ht="15" customHeight="1" x14ac:dyDescent="0.2">
      <c r="A1805" s="1" t="s">
        <v>5287</v>
      </c>
      <c r="B1805" s="1" t="s">
        <v>5288</v>
      </c>
      <c r="C1805" s="1" t="s">
        <v>9</v>
      </c>
      <c r="D1805" s="1" t="s">
        <v>3</v>
      </c>
      <c r="E1805" s="5">
        <v>42317</v>
      </c>
      <c r="F1805" s="5">
        <v>46155</v>
      </c>
      <c r="G1805" s="2">
        <v>9.272831</v>
      </c>
      <c r="H1805" s="1" t="s">
        <v>10</v>
      </c>
      <c r="I1805" s="2">
        <v>191.939804568</v>
      </c>
      <c r="J1805" s="1" t="s">
        <v>23</v>
      </c>
      <c r="K1805" s="1" t="s">
        <v>5289</v>
      </c>
      <c r="L1805" s="2">
        <v>350755.8</v>
      </c>
      <c r="M1805">
        <f t="shared" si="84"/>
        <v>3252499.2556698001</v>
      </c>
      <c r="N1805">
        <f t="shared" si="85"/>
        <v>287831.79253715044</v>
      </c>
      <c r="O1805" t="str">
        <f t="shared" si="86"/>
        <v>BEHOLD</v>
      </c>
      <c r="P1805" s="1" t="s">
        <v>6723</v>
      </c>
    </row>
    <row r="1806" spans="1:16" ht="15" customHeight="1" x14ac:dyDescent="0.2">
      <c r="A1806" s="1" t="s">
        <v>5290</v>
      </c>
      <c r="B1806" s="1" t="s">
        <v>5291</v>
      </c>
      <c r="C1806" s="1" t="s">
        <v>9</v>
      </c>
      <c r="D1806" s="1" t="s">
        <v>3</v>
      </c>
      <c r="E1806" s="5">
        <v>42411</v>
      </c>
      <c r="F1806" s="5">
        <v>46155</v>
      </c>
      <c r="G1806" s="2">
        <v>45.616990000000001</v>
      </c>
      <c r="H1806" s="1" t="s">
        <v>10</v>
      </c>
      <c r="I1806" s="2">
        <v>125.00167781396</v>
      </c>
      <c r="J1806" s="1" t="s">
        <v>236</v>
      </c>
      <c r="K1806" s="1" t="s">
        <v>5292</v>
      </c>
      <c r="L1806" s="2">
        <v>504162.7</v>
      </c>
      <c r="M1806">
        <f t="shared" si="84"/>
        <v>22998384.844273001</v>
      </c>
      <c r="N1806">
        <f t="shared" si="85"/>
        <v>2035255.2959533627</v>
      </c>
      <c r="O1806" t="str">
        <f t="shared" si="86"/>
        <v>BEHOLD</v>
      </c>
      <c r="P1806" s="1" t="s">
        <v>6724</v>
      </c>
    </row>
    <row r="1807" spans="1:16" ht="15" customHeight="1" x14ac:dyDescent="0.2">
      <c r="A1807" s="1" t="s">
        <v>5293</v>
      </c>
      <c r="B1807" s="1" t="s">
        <v>5294</v>
      </c>
      <c r="C1807" s="1" t="s">
        <v>9</v>
      </c>
      <c r="D1807" s="1" t="s">
        <v>3</v>
      </c>
      <c r="E1807" s="5">
        <v>42698</v>
      </c>
      <c r="F1807" s="5">
        <v>45112</v>
      </c>
      <c r="G1807" s="2">
        <v>62.584739999999996</v>
      </c>
      <c r="H1807" s="1" t="s">
        <v>10</v>
      </c>
      <c r="I1807" s="2"/>
      <c r="J1807" s="1" t="s">
        <v>11</v>
      </c>
      <c r="K1807" s="1" t="s">
        <v>5295</v>
      </c>
      <c r="L1807" s="2">
        <v>33678.94</v>
      </c>
      <c r="M1807">
        <f t="shared" si="84"/>
        <v>2107787.7033755998</v>
      </c>
      <c r="N1807">
        <f t="shared" si="85"/>
        <v>186529.88525447785</v>
      </c>
      <c r="O1807" t="str">
        <f t="shared" si="86"/>
        <v>BEHOLD</v>
      </c>
      <c r="P1807" s="1" t="s">
        <v>6725</v>
      </c>
    </row>
    <row r="1808" spans="1:16" ht="15" customHeight="1" x14ac:dyDescent="0.2">
      <c r="A1808" s="1" t="s">
        <v>5296</v>
      </c>
      <c r="B1808" s="1" t="s">
        <v>5297</v>
      </c>
      <c r="C1808" s="1" t="s">
        <v>9</v>
      </c>
      <c r="D1808" s="1" t="s">
        <v>3</v>
      </c>
      <c r="E1808" s="5">
        <v>42164</v>
      </c>
      <c r="F1808" s="5">
        <v>44456</v>
      </c>
      <c r="G1808" s="2">
        <v>60.676369999999999</v>
      </c>
      <c r="H1808" s="1" t="s">
        <v>10</v>
      </c>
      <c r="I1808" s="2"/>
      <c r="J1808" s="1" t="s">
        <v>197</v>
      </c>
      <c r="K1808" s="1" t="s">
        <v>5298</v>
      </c>
      <c r="L1808" s="2">
        <v>33826.769999999997</v>
      </c>
      <c r="M1808">
        <f t="shared" si="84"/>
        <v>2052485.6124248998</v>
      </c>
      <c r="N1808">
        <f t="shared" si="85"/>
        <v>181635.89490485837</v>
      </c>
      <c r="O1808" t="str">
        <f t="shared" si="86"/>
        <v>BEHOLD</v>
      </c>
      <c r="P1808" s="1" t="s">
        <v>6726</v>
      </c>
    </row>
    <row r="1809" spans="1:16" ht="15" customHeight="1" x14ac:dyDescent="0.2">
      <c r="A1809" s="1" t="s">
        <v>5299</v>
      </c>
      <c r="B1809" s="1" t="s">
        <v>5300</v>
      </c>
      <c r="C1809" s="1" t="s">
        <v>9</v>
      </c>
      <c r="D1809" s="1" t="s">
        <v>3</v>
      </c>
      <c r="E1809" s="5">
        <v>42704</v>
      </c>
      <c r="F1809" s="5">
        <v>46155</v>
      </c>
      <c r="G1809" s="2">
        <v>84.511330000000001</v>
      </c>
      <c r="H1809" s="1" t="s">
        <v>10</v>
      </c>
      <c r="I1809" s="2">
        <v>8496.5030970000007</v>
      </c>
      <c r="J1809" s="1" t="s">
        <v>76</v>
      </c>
      <c r="K1809" s="1" t="s">
        <v>5301</v>
      </c>
      <c r="L1809" s="2">
        <v>41436.58</v>
      </c>
      <c r="M1809">
        <f t="shared" si="84"/>
        <v>3501860.4864514</v>
      </c>
      <c r="N1809">
        <f t="shared" si="85"/>
        <v>309899.15809304424</v>
      </c>
      <c r="O1809" t="str">
        <f t="shared" si="86"/>
        <v>BEHOLD</v>
      </c>
      <c r="P1809" s="1" t="s">
        <v>6727</v>
      </c>
    </row>
    <row r="1810" spans="1:16" ht="15" customHeight="1" x14ac:dyDescent="0.2">
      <c r="A1810" s="1" t="s">
        <v>5302</v>
      </c>
      <c r="B1810" s="1" t="s">
        <v>5303</v>
      </c>
      <c r="C1810" s="1" t="s">
        <v>9</v>
      </c>
      <c r="D1810" s="1" t="s">
        <v>3</v>
      </c>
      <c r="E1810" s="5">
        <v>42744</v>
      </c>
      <c r="F1810" s="5">
        <v>46155</v>
      </c>
      <c r="G1810" s="2">
        <v>12.58813</v>
      </c>
      <c r="H1810" s="1" t="s">
        <v>10</v>
      </c>
      <c r="I1810" s="2">
        <v>59.893842659999997</v>
      </c>
      <c r="J1810" s="1" t="s">
        <v>64</v>
      </c>
      <c r="K1810" s="1" t="s">
        <v>5304</v>
      </c>
      <c r="L1810" s="2">
        <v>34031.129999999997</v>
      </c>
      <c r="M1810">
        <f t="shared" si="84"/>
        <v>428388.28848689992</v>
      </c>
      <c r="N1810">
        <f t="shared" si="85"/>
        <v>37910.468007690259</v>
      </c>
      <c r="O1810" t="str">
        <f t="shared" si="86"/>
        <v>FJERN</v>
      </c>
      <c r="P1810" s="1" t="s">
        <v>6728</v>
      </c>
    </row>
    <row r="1811" spans="1:16" ht="15" customHeight="1" x14ac:dyDescent="0.2">
      <c r="A1811" s="1" t="s">
        <v>5305</v>
      </c>
      <c r="B1811" s="1" t="s">
        <v>5306</v>
      </c>
      <c r="C1811" s="1" t="s">
        <v>2</v>
      </c>
      <c r="D1811" s="1" t="s">
        <v>3</v>
      </c>
      <c r="E1811" s="5">
        <v>34834</v>
      </c>
      <c r="F1811" s="5">
        <v>46155</v>
      </c>
      <c r="G1811" s="2">
        <v>172.76920000000001</v>
      </c>
      <c r="H1811" s="1" t="s">
        <v>4</v>
      </c>
      <c r="I1811" s="2">
        <v>45385.3806568</v>
      </c>
      <c r="J1811" s="1" t="s">
        <v>34</v>
      </c>
      <c r="K1811" s="1" t="s">
        <v>5307</v>
      </c>
      <c r="L1811" s="2">
        <v>448040.1</v>
      </c>
      <c r="M1811">
        <f t="shared" si="84"/>
        <v>77407529.644920006</v>
      </c>
      <c r="N1811">
        <f t="shared" si="85"/>
        <v>10390272.435559733</v>
      </c>
      <c r="O1811" t="str">
        <f t="shared" si="86"/>
        <v>BEHOLD</v>
      </c>
      <c r="P1811" s="1" t="s">
        <v>6729</v>
      </c>
    </row>
    <row r="1812" spans="1:16" ht="15" customHeight="1" x14ac:dyDescent="0.2">
      <c r="A1812" s="1" t="s">
        <v>5308</v>
      </c>
      <c r="B1812" s="1" t="s">
        <v>5309</v>
      </c>
      <c r="C1812" s="1" t="s">
        <v>9</v>
      </c>
      <c r="D1812" s="1" t="s">
        <v>3</v>
      </c>
      <c r="E1812" s="5">
        <v>42514</v>
      </c>
      <c r="F1812" s="5">
        <v>46155</v>
      </c>
      <c r="G1812" s="2">
        <v>17.800460000000001</v>
      </c>
      <c r="H1812" s="1" t="s">
        <v>10</v>
      </c>
      <c r="I1812" s="2">
        <v>111.11479868697</v>
      </c>
      <c r="J1812" s="1" t="s">
        <v>391</v>
      </c>
      <c r="K1812" s="1" t="s">
        <v>5310</v>
      </c>
      <c r="L1812" s="2">
        <v>14141.54</v>
      </c>
      <c r="M1812">
        <f t="shared" si="84"/>
        <v>251725.91710840003</v>
      </c>
      <c r="N1812">
        <f t="shared" si="85"/>
        <v>22276.629832601771</v>
      </c>
      <c r="O1812" t="str">
        <f t="shared" si="86"/>
        <v>FJERN</v>
      </c>
      <c r="P1812" s="1" t="s">
        <v>6730</v>
      </c>
    </row>
    <row r="1813" spans="1:16" ht="15" customHeight="1" x14ac:dyDescent="0.2">
      <c r="A1813" s="1" t="s">
        <v>5311</v>
      </c>
      <c r="B1813" s="1" t="s">
        <v>5312</v>
      </c>
      <c r="C1813" s="1" t="s">
        <v>2</v>
      </c>
      <c r="D1813" s="1" t="s">
        <v>3</v>
      </c>
      <c r="E1813" s="5">
        <v>43020</v>
      </c>
      <c r="F1813" s="5">
        <v>46154</v>
      </c>
      <c r="G1813" s="2">
        <v>169.74090000000001</v>
      </c>
      <c r="H1813" s="1" t="s">
        <v>4</v>
      </c>
      <c r="I1813" s="2">
        <v>3765.1400171999999</v>
      </c>
      <c r="J1813" s="1" t="s">
        <v>23</v>
      </c>
      <c r="K1813" s="1" t="s">
        <v>5313</v>
      </c>
      <c r="L1813" s="2">
        <v>37492.949999999997</v>
      </c>
      <c r="M1813">
        <f t="shared" si="84"/>
        <v>6364087.0766549995</v>
      </c>
      <c r="N1813">
        <f t="shared" si="85"/>
        <v>854239.87606107374</v>
      </c>
      <c r="O1813" t="str">
        <f t="shared" si="86"/>
        <v>BEHOLD</v>
      </c>
      <c r="P1813" s="1" t="s">
        <v>6731</v>
      </c>
    </row>
    <row r="1814" spans="1:16" ht="15" customHeight="1" x14ac:dyDescent="0.2">
      <c r="A1814" s="1" t="s">
        <v>5314</v>
      </c>
      <c r="B1814" s="1" t="s">
        <v>5315</v>
      </c>
      <c r="C1814" s="1" t="s">
        <v>9</v>
      </c>
      <c r="D1814" s="1" t="s">
        <v>3</v>
      </c>
      <c r="E1814" s="5">
        <v>39220</v>
      </c>
      <c r="F1814" s="5">
        <v>44134</v>
      </c>
      <c r="G1814" s="2">
        <v>311.84059999999999</v>
      </c>
      <c r="H1814" s="1" t="s">
        <v>10</v>
      </c>
      <c r="I1814" s="2"/>
      <c r="J1814" s="1" t="s">
        <v>5</v>
      </c>
      <c r="K1814" s="1" t="s">
        <v>5316</v>
      </c>
      <c r="L1814" s="2">
        <v>7272.683</v>
      </c>
      <c r="M1814">
        <f t="shared" si="84"/>
        <v>2267917.8303298</v>
      </c>
      <c r="N1814">
        <f t="shared" si="85"/>
        <v>200700.69294953981</v>
      </c>
      <c r="O1814" t="str">
        <f t="shared" si="86"/>
        <v>BEHOLD</v>
      </c>
      <c r="P1814" s="1" t="s">
        <v>6732</v>
      </c>
    </row>
    <row r="1815" spans="1:16" ht="15" customHeight="1" x14ac:dyDescent="0.2">
      <c r="A1815" s="1" t="s">
        <v>5317</v>
      </c>
      <c r="B1815" s="1" t="s">
        <v>5318</v>
      </c>
      <c r="C1815" s="1" t="s">
        <v>9</v>
      </c>
      <c r="D1815" s="1" t="s">
        <v>3</v>
      </c>
      <c r="E1815" s="5">
        <v>38460</v>
      </c>
      <c r="F1815" s="5">
        <v>46155</v>
      </c>
      <c r="G1815" s="2">
        <v>288.6311</v>
      </c>
      <c r="H1815" s="1" t="s">
        <v>10</v>
      </c>
      <c r="I1815" s="2">
        <v>26.741598400000001</v>
      </c>
      <c r="J1815" s="1" t="s">
        <v>11</v>
      </c>
      <c r="K1815" s="1" t="s">
        <v>5319</v>
      </c>
      <c r="L1815" s="2">
        <v>1427.6130000000001</v>
      </c>
      <c r="M1815">
        <f t="shared" si="84"/>
        <v>412053.5105643</v>
      </c>
      <c r="N1815">
        <f t="shared" si="85"/>
        <v>36464.912439318585</v>
      </c>
      <c r="O1815" t="str">
        <f t="shared" si="86"/>
        <v>FJERN</v>
      </c>
      <c r="P1815" s="1" t="s">
        <v>6733</v>
      </c>
    </row>
    <row r="1816" spans="1:16" ht="15" customHeight="1" x14ac:dyDescent="0.2">
      <c r="A1816" s="1" t="s">
        <v>5320</v>
      </c>
      <c r="B1816" s="1" t="s">
        <v>5321</v>
      </c>
      <c r="C1816" s="1" t="s">
        <v>9</v>
      </c>
      <c r="D1816" s="1" t="s">
        <v>3</v>
      </c>
      <c r="E1816" s="5">
        <v>42874</v>
      </c>
      <c r="F1816" s="5">
        <v>46155</v>
      </c>
      <c r="G1816" s="2">
        <v>95.217960000000005</v>
      </c>
      <c r="H1816" s="1" t="s">
        <v>10</v>
      </c>
      <c r="I1816" s="2">
        <v>31378.871710585601</v>
      </c>
      <c r="J1816" s="1" t="s">
        <v>23</v>
      </c>
      <c r="K1816" s="1" t="s">
        <v>5322</v>
      </c>
      <c r="L1816" s="2">
        <v>377739.5</v>
      </c>
      <c r="M1816">
        <f t="shared" si="84"/>
        <v>35967584.60142</v>
      </c>
      <c r="N1816">
        <f t="shared" si="85"/>
        <v>3182972.0886212387</v>
      </c>
      <c r="O1816" t="str">
        <f t="shared" si="86"/>
        <v>BEHOLD</v>
      </c>
      <c r="P1816" s="1" t="s">
        <v>6734</v>
      </c>
    </row>
    <row r="1817" spans="1:16" ht="15" customHeight="1" x14ac:dyDescent="0.2">
      <c r="A1817" s="1" t="s">
        <v>5323</v>
      </c>
      <c r="B1817" s="1" t="s">
        <v>5324</v>
      </c>
      <c r="C1817" s="1" t="s">
        <v>9</v>
      </c>
      <c r="D1817" s="1" t="s">
        <v>3</v>
      </c>
      <c r="E1817" s="5">
        <v>42703</v>
      </c>
      <c r="F1817" s="5">
        <v>45425</v>
      </c>
      <c r="G1817" s="2">
        <v>5.5819809999999999</v>
      </c>
      <c r="H1817" s="1" t="s">
        <v>10</v>
      </c>
      <c r="I1817" s="2">
        <v>5.3590964712</v>
      </c>
      <c r="J1817" s="1" t="s">
        <v>23</v>
      </c>
      <c r="K1817" s="1" t="s">
        <v>5325</v>
      </c>
      <c r="L1817" s="2">
        <v>631875.1</v>
      </c>
      <c r="M1817">
        <f t="shared" si="84"/>
        <v>3527114.8025730997</v>
      </c>
      <c r="N1817">
        <f t="shared" si="85"/>
        <v>312134.05332505307</v>
      </c>
      <c r="O1817" t="str">
        <f t="shared" si="86"/>
        <v>BEHOLD</v>
      </c>
      <c r="P1817" s="1" t="s">
        <v>6735</v>
      </c>
    </row>
    <row r="1818" spans="1:16" ht="15" customHeight="1" x14ac:dyDescent="0.2">
      <c r="A1818" s="1" t="s">
        <v>5326</v>
      </c>
      <c r="B1818" s="1" t="s">
        <v>5327</v>
      </c>
      <c r="C1818" s="1" t="s">
        <v>9</v>
      </c>
      <c r="D1818" s="1" t="s">
        <v>3</v>
      </c>
      <c r="E1818" s="5">
        <v>42173</v>
      </c>
      <c r="F1818" s="5">
        <v>46155</v>
      </c>
      <c r="G1818" s="2">
        <v>150.9691</v>
      </c>
      <c r="H1818" s="1" t="s">
        <v>10</v>
      </c>
      <c r="I1818" s="2">
        <v>39504.409</v>
      </c>
      <c r="J1818" s="1" t="s">
        <v>61</v>
      </c>
      <c r="K1818" s="1" t="s">
        <v>5328</v>
      </c>
      <c r="L1818" s="2">
        <v>210647.7</v>
      </c>
      <c r="M1818">
        <f t="shared" si="84"/>
        <v>31801293.686070003</v>
      </c>
      <c r="N1818">
        <f t="shared" si="85"/>
        <v>2814273.7775283186</v>
      </c>
      <c r="O1818" t="str">
        <f t="shared" si="86"/>
        <v>BEHOLD</v>
      </c>
      <c r="P1818" s="1" t="s">
        <v>6736</v>
      </c>
    </row>
    <row r="1819" spans="1:16" ht="15" customHeight="1" x14ac:dyDescent="0.2">
      <c r="A1819" s="1" t="s">
        <v>5329</v>
      </c>
      <c r="B1819" s="1" t="s">
        <v>5330</v>
      </c>
      <c r="C1819" s="1" t="s">
        <v>9</v>
      </c>
      <c r="D1819" s="1" t="s">
        <v>3</v>
      </c>
      <c r="E1819" s="5">
        <v>42170</v>
      </c>
      <c r="F1819" s="5">
        <v>43438</v>
      </c>
      <c r="G1819" s="2">
        <v>26.780159999999999</v>
      </c>
      <c r="H1819" s="1" t="s">
        <v>10</v>
      </c>
      <c r="I1819" s="2"/>
      <c r="J1819" s="1" t="s">
        <v>61</v>
      </c>
      <c r="K1819" s="1" t="s">
        <v>5331</v>
      </c>
      <c r="L1819" s="2">
        <v>1559.704</v>
      </c>
      <c r="M1819">
        <f t="shared" si="84"/>
        <v>41769.122672639998</v>
      </c>
      <c r="N1819">
        <f t="shared" si="85"/>
        <v>3696.3825374017697</v>
      </c>
      <c r="O1819" t="str">
        <f t="shared" si="86"/>
        <v>FJERN</v>
      </c>
      <c r="P1819" s="1"/>
    </row>
    <row r="1820" spans="1:16" ht="15" customHeight="1" x14ac:dyDescent="0.2">
      <c r="A1820" s="1" t="s">
        <v>5332</v>
      </c>
      <c r="B1820" s="1" t="s">
        <v>5333</v>
      </c>
      <c r="C1820" s="1" t="s">
        <v>9</v>
      </c>
      <c r="D1820" s="1" t="s">
        <v>3</v>
      </c>
      <c r="E1820" s="5">
        <v>42171</v>
      </c>
      <c r="F1820" s="5">
        <v>44715</v>
      </c>
      <c r="G1820" s="2">
        <v>16.492319999999999</v>
      </c>
      <c r="H1820" s="1" t="s">
        <v>10</v>
      </c>
      <c r="I1820" s="2"/>
      <c r="J1820" s="1" t="s">
        <v>122</v>
      </c>
      <c r="K1820" s="1" t="s">
        <v>5334</v>
      </c>
      <c r="L1820" s="2">
        <v>35535.31</v>
      </c>
      <c r="M1820">
        <f t="shared" si="84"/>
        <v>586059.70381919993</v>
      </c>
      <c r="N1820">
        <f t="shared" si="85"/>
        <v>51863.690603469018</v>
      </c>
      <c r="O1820" t="str">
        <f t="shared" si="86"/>
        <v>FJERN</v>
      </c>
      <c r="P1820" s="1" t="s">
        <v>6737</v>
      </c>
    </row>
    <row r="1821" spans="1:16" ht="15" customHeight="1" x14ac:dyDescent="0.2">
      <c r="A1821" s="1" t="s">
        <v>5335</v>
      </c>
      <c r="B1821" s="1" t="s">
        <v>5336</v>
      </c>
      <c r="C1821" s="1" t="s">
        <v>9</v>
      </c>
      <c r="D1821" s="1" t="s">
        <v>3</v>
      </c>
      <c r="E1821" s="5">
        <v>42172</v>
      </c>
      <c r="F1821" s="5">
        <v>46155</v>
      </c>
      <c r="G1821" s="2">
        <v>92.381900000000002</v>
      </c>
      <c r="H1821" s="1" t="s">
        <v>10</v>
      </c>
      <c r="I1821" s="2">
        <v>15366.98064</v>
      </c>
      <c r="J1821" s="1" t="s">
        <v>23</v>
      </c>
      <c r="K1821" s="1" t="s">
        <v>5337</v>
      </c>
      <c r="L1821" s="2">
        <v>98792.69</v>
      </c>
      <c r="M1821">
        <f t="shared" si="84"/>
        <v>9126656.4083110001</v>
      </c>
      <c r="N1821">
        <f t="shared" si="85"/>
        <v>807668.70870008843</v>
      </c>
      <c r="O1821" t="str">
        <f t="shared" si="86"/>
        <v>BEHOLD</v>
      </c>
      <c r="P1821" s="1" t="s">
        <v>6738</v>
      </c>
    </row>
    <row r="1822" spans="1:16" ht="15" customHeight="1" x14ac:dyDescent="0.2">
      <c r="A1822" s="1" t="s">
        <v>5338</v>
      </c>
      <c r="B1822" s="1" t="s">
        <v>5339</v>
      </c>
      <c r="C1822" s="1" t="s">
        <v>9</v>
      </c>
      <c r="D1822" s="1" t="s">
        <v>3</v>
      </c>
      <c r="E1822" s="5">
        <v>42172</v>
      </c>
      <c r="F1822" s="5">
        <v>43214</v>
      </c>
      <c r="G1822" s="2">
        <v>46.752079999999999</v>
      </c>
      <c r="H1822" s="1" t="s">
        <v>10</v>
      </c>
      <c r="I1822" s="2"/>
      <c r="J1822" s="1" t="s">
        <v>328</v>
      </c>
      <c r="K1822" s="1" t="s">
        <v>5340</v>
      </c>
      <c r="L1822" s="2">
        <v>404254.8</v>
      </c>
      <c r="M1822">
        <f t="shared" si="84"/>
        <v>18899752.749984</v>
      </c>
      <c r="N1822">
        <f t="shared" si="85"/>
        <v>1672544.4911490264</v>
      </c>
      <c r="O1822" t="str">
        <f t="shared" si="86"/>
        <v>BEHOLD</v>
      </c>
      <c r="P1822" s="1" t="s">
        <v>6739</v>
      </c>
    </row>
    <row r="1823" spans="1:16" ht="15" customHeight="1" x14ac:dyDescent="0.2">
      <c r="A1823" s="1" t="s">
        <v>5341</v>
      </c>
      <c r="B1823" s="1" t="s">
        <v>5342</v>
      </c>
      <c r="C1823" s="1" t="s">
        <v>9</v>
      </c>
      <c r="D1823" s="1" t="s">
        <v>3</v>
      </c>
      <c r="E1823" s="5">
        <v>38162</v>
      </c>
      <c r="F1823" s="5">
        <v>46155</v>
      </c>
      <c r="G1823" s="2">
        <v>137.8758</v>
      </c>
      <c r="H1823" s="1" t="s">
        <v>10</v>
      </c>
      <c r="I1823" s="2">
        <v>8245.508409</v>
      </c>
      <c r="J1823" s="1" t="s">
        <v>76</v>
      </c>
      <c r="K1823" s="1" t="s">
        <v>5343</v>
      </c>
      <c r="L1823" s="2">
        <v>19670.38</v>
      </c>
      <c r="M1823">
        <f t="shared" si="84"/>
        <v>2712069.3788040001</v>
      </c>
      <c r="N1823">
        <f t="shared" si="85"/>
        <v>240006.13971716815</v>
      </c>
      <c r="O1823" t="str">
        <f t="shared" si="86"/>
        <v>BEHOLD</v>
      </c>
      <c r="P1823" s="1" t="s">
        <v>6740</v>
      </c>
    </row>
    <row r="1824" spans="1:16" ht="15" customHeight="1" x14ac:dyDescent="0.2">
      <c r="A1824" s="1" t="s">
        <v>5344</v>
      </c>
      <c r="B1824" s="1" t="s">
        <v>5345</v>
      </c>
      <c r="C1824" s="1" t="s">
        <v>9</v>
      </c>
      <c r="D1824" s="1" t="s">
        <v>3</v>
      </c>
      <c r="E1824" s="5">
        <v>42293</v>
      </c>
      <c r="F1824" s="5">
        <v>46155</v>
      </c>
      <c r="G1824" s="2">
        <v>84.286140000000003</v>
      </c>
      <c r="H1824" s="1" t="s">
        <v>10</v>
      </c>
      <c r="I1824" s="2">
        <v>18359.574394250001</v>
      </c>
      <c r="J1824" s="1" t="s">
        <v>289</v>
      </c>
      <c r="K1824" s="1" t="s">
        <v>5346</v>
      </c>
      <c r="L1824" s="2">
        <v>338481.5</v>
      </c>
      <c r="M1824">
        <f t="shared" si="84"/>
        <v>28529299.096410003</v>
      </c>
      <c r="N1824">
        <f t="shared" si="85"/>
        <v>2524716.7341955751</v>
      </c>
      <c r="O1824" t="str">
        <f t="shared" si="86"/>
        <v>BEHOLD</v>
      </c>
      <c r="P1824" s="1" t="s">
        <v>6741</v>
      </c>
    </row>
    <row r="1825" spans="1:16" ht="15" customHeight="1" x14ac:dyDescent="0.2">
      <c r="A1825" s="1" t="s">
        <v>5347</v>
      </c>
      <c r="B1825" s="1" t="s">
        <v>5348</v>
      </c>
      <c r="C1825" s="1" t="s">
        <v>9</v>
      </c>
      <c r="D1825" s="1" t="s">
        <v>3</v>
      </c>
      <c r="E1825" s="5">
        <v>42340</v>
      </c>
      <c r="F1825" s="5">
        <v>43854</v>
      </c>
      <c r="G1825" s="2">
        <v>116.0197</v>
      </c>
      <c r="H1825" s="1" t="s">
        <v>10</v>
      </c>
      <c r="I1825" s="2"/>
      <c r="J1825" s="1" t="s">
        <v>289</v>
      </c>
      <c r="K1825" s="1" t="s">
        <v>5349</v>
      </c>
      <c r="L1825" s="2">
        <v>3217.21</v>
      </c>
      <c r="M1825">
        <f t="shared" si="84"/>
        <v>373259.73903699999</v>
      </c>
      <c r="N1825">
        <f t="shared" si="85"/>
        <v>33031.835313008844</v>
      </c>
      <c r="O1825" t="str">
        <f t="shared" si="86"/>
        <v>FJERN</v>
      </c>
      <c r="P1825" s="1"/>
    </row>
    <row r="1826" spans="1:16" ht="15" customHeight="1" x14ac:dyDescent="0.2">
      <c r="A1826" s="1" t="s">
        <v>5350</v>
      </c>
      <c r="B1826" s="1" t="s">
        <v>5351</v>
      </c>
      <c r="C1826" s="1" t="s">
        <v>9</v>
      </c>
      <c r="D1826" s="1" t="s">
        <v>3</v>
      </c>
      <c r="E1826" s="5">
        <v>39246</v>
      </c>
      <c r="F1826" s="5">
        <v>43145</v>
      </c>
      <c r="G1826" s="2">
        <v>73.114739999999998</v>
      </c>
      <c r="H1826" s="1" t="s">
        <v>10</v>
      </c>
      <c r="I1826" s="2"/>
      <c r="J1826" s="1" t="s">
        <v>23</v>
      </c>
      <c r="K1826" s="1" t="s">
        <v>5352</v>
      </c>
      <c r="L1826" s="2">
        <v>13837.73</v>
      </c>
      <c r="M1826">
        <f t="shared" si="84"/>
        <v>1011742.0311402</v>
      </c>
      <c r="N1826">
        <f t="shared" si="85"/>
        <v>89534.693021256637</v>
      </c>
      <c r="O1826" t="str">
        <f t="shared" si="86"/>
        <v>FJERN</v>
      </c>
      <c r="P1826" s="1" t="s">
        <v>6742</v>
      </c>
    </row>
    <row r="1827" spans="1:16" ht="15" customHeight="1" x14ac:dyDescent="0.2">
      <c r="A1827" s="1" t="s">
        <v>5353</v>
      </c>
      <c r="B1827" s="1" t="s">
        <v>5354</v>
      </c>
      <c r="C1827" s="1" t="s">
        <v>9</v>
      </c>
      <c r="D1827" s="1" t="s">
        <v>3</v>
      </c>
      <c r="E1827" s="5">
        <v>43264</v>
      </c>
      <c r="F1827" s="5">
        <v>46155</v>
      </c>
      <c r="G1827" s="2">
        <v>10.89223</v>
      </c>
      <c r="H1827" s="1" t="s">
        <v>10</v>
      </c>
      <c r="I1827" s="2">
        <v>148.43295764999999</v>
      </c>
      <c r="J1827" s="1" t="s">
        <v>184</v>
      </c>
      <c r="K1827" s="1" t="s">
        <v>5355</v>
      </c>
      <c r="L1827" s="2">
        <v>42267.25</v>
      </c>
      <c r="M1827">
        <f t="shared" si="84"/>
        <v>460384.60846749996</v>
      </c>
      <c r="N1827">
        <f t="shared" si="85"/>
        <v>40742.000749336279</v>
      </c>
      <c r="O1827" t="str">
        <f t="shared" si="86"/>
        <v>FJERN</v>
      </c>
      <c r="P1827" s="1" t="s">
        <v>6743</v>
      </c>
    </row>
    <row r="1828" spans="1:16" ht="15" customHeight="1" x14ac:dyDescent="0.2">
      <c r="A1828" s="1" t="s">
        <v>5356</v>
      </c>
      <c r="B1828" s="1" t="s">
        <v>5357</v>
      </c>
      <c r="C1828" s="1" t="s">
        <v>9</v>
      </c>
      <c r="D1828" s="1" t="s">
        <v>3</v>
      </c>
      <c r="E1828" s="5">
        <v>42338</v>
      </c>
      <c r="F1828" s="5">
        <v>46155</v>
      </c>
      <c r="G1828" s="2">
        <v>57.386569999999999</v>
      </c>
      <c r="H1828" s="1" t="s">
        <v>10</v>
      </c>
      <c r="I1828" s="2">
        <v>11962.754949599999</v>
      </c>
      <c r="J1828" s="1" t="s">
        <v>64</v>
      </c>
      <c r="K1828" s="1" t="s">
        <v>5358</v>
      </c>
      <c r="L1828" s="2">
        <v>281062.3</v>
      </c>
      <c r="M1828">
        <f t="shared" si="84"/>
        <v>16129201.353310999</v>
      </c>
      <c r="N1828">
        <f t="shared" si="85"/>
        <v>1427362.9516204423</v>
      </c>
      <c r="O1828" t="str">
        <f t="shared" si="86"/>
        <v>BEHOLD</v>
      </c>
      <c r="P1828" s="1" t="s">
        <v>6744</v>
      </c>
    </row>
    <row r="1829" spans="1:16" ht="15" customHeight="1" x14ac:dyDescent="0.2">
      <c r="A1829" s="1" t="s">
        <v>5359</v>
      </c>
      <c r="B1829" s="1" t="s">
        <v>5360</v>
      </c>
      <c r="C1829" s="1" t="s">
        <v>9</v>
      </c>
      <c r="D1829" s="1" t="s">
        <v>3</v>
      </c>
      <c r="E1829" s="5">
        <v>39066</v>
      </c>
      <c r="F1829" s="5">
        <v>42923</v>
      </c>
      <c r="G1829" s="2">
        <v>123.35509999999999</v>
      </c>
      <c r="H1829" s="1" t="s">
        <v>10</v>
      </c>
      <c r="I1829" s="2"/>
      <c r="J1829" s="1" t="s">
        <v>86</v>
      </c>
      <c r="K1829" s="1" t="s">
        <v>5361</v>
      </c>
      <c r="L1829" s="2">
        <v>1451260</v>
      </c>
      <c r="M1829">
        <f t="shared" si="84"/>
        <v>179020322.426</v>
      </c>
      <c r="N1829">
        <f t="shared" si="85"/>
        <v>15842506.409380529</v>
      </c>
      <c r="O1829" t="str">
        <f t="shared" si="86"/>
        <v>BEHOLD</v>
      </c>
      <c r="P1829" s="1" t="s">
        <v>6745</v>
      </c>
    </row>
    <row r="1830" spans="1:16" ht="15" customHeight="1" x14ac:dyDescent="0.2">
      <c r="A1830" s="1" t="s">
        <v>5362</v>
      </c>
      <c r="B1830" s="1" t="s">
        <v>5363</v>
      </c>
      <c r="C1830" s="1" t="s">
        <v>9</v>
      </c>
      <c r="D1830" s="1" t="s">
        <v>3</v>
      </c>
      <c r="E1830" s="5">
        <v>42886</v>
      </c>
      <c r="F1830" s="5">
        <v>46155</v>
      </c>
      <c r="G1830" s="2">
        <v>102.9181</v>
      </c>
      <c r="H1830" s="1" t="s">
        <v>10</v>
      </c>
      <c r="I1830" s="2">
        <v>7053.3015509999996</v>
      </c>
      <c r="J1830" s="1" t="s">
        <v>222</v>
      </c>
      <c r="K1830" s="1" t="s">
        <v>5364</v>
      </c>
      <c r="L1830" s="2">
        <v>181290.8</v>
      </c>
      <c r="M1830">
        <f t="shared" si="84"/>
        <v>18658104.683479998</v>
      </c>
      <c r="N1830">
        <f t="shared" si="85"/>
        <v>1651159.7065026546</v>
      </c>
      <c r="O1830" t="str">
        <f t="shared" si="86"/>
        <v>BEHOLD</v>
      </c>
      <c r="P1830" s="1" t="s">
        <v>6746</v>
      </c>
    </row>
    <row r="1831" spans="1:16" ht="15" customHeight="1" x14ac:dyDescent="0.2">
      <c r="A1831" s="1" t="s">
        <v>5365</v>
      </c>
      <c r="B1831" s="1" t="s">
        <v>5366</v>
      </c>
      <c r="C1831" s="1" t="s">
        <v>9</v>
      </c>
      <c r="D1831" s="1" t="s">
        <v>3</v>
      </c>
      <c r="E1831" s="5">
        <v>39374</v>
      </c>
      <c r="F1831" s="5">
        <v>46155</v>
      </c>
      <c r="G1831" s="2">
        <v>178.22640000000001</v>
      </c>
      <c r="H1831" s="1" t="s">
        <v>10</v>
      </c>
      <c r="I1831" s="2">
        <v>21027.304661999999</v>
      </c>
      <c r="J1831" s="1" t="s">
        <v>38</v>
      </c>
      <c r="K1831" s="1" t="s">
        <v>5367</v>
      </c>
      <c r="L1831" s="2">
        <v>35604.519999999997</v>
      </c>
      <c r="M1831">
        <f t="shared" si="84"/>
        <v>6345665.4233280001</v>
      </c>
      <c r="N1831">
        <f t="shared" si="85"/>
        <v>561563.31179893808</v>
      </c>
      <c r="O1831" t="str">
        <f t="shared" si="86"/>
        <v>BEHOLD</v>
      </c>
      <c r="P1831" s="1" t="s">
        <v>6747</v>
      </c>
    </row>
    <row r="1832" spans="1:16" ht="15" customHeight="1" x14ac:dyDescent="0.2">
      <c r="A1832" s="1" t="s">
        <v>5368</v>
      </c>
      <c r="B1832" s="1" t="s">
        <v>5369</v>
      </c>
      <c r="C1832" s="1" t="s">
        <v>2</v>
      </c>
      <c r="D1832" s="1" t="s">
        <v>3</v>
      </c>
      <c r="E1832" s="5">
        <v>42479</v>
      </c>
      <c r="F1832" s="5">
        <v>46155</v>
      </c>
      <c r="G1832" s="2">
        <v>103.17270000000001</v>
      </c>
      <c r="H1832" s="1" t="s">
        <v>4</v>
      </c>
      <c r="I1832" s="2">
        <v>12853.7710263641</v>
      </c>
      <c r="J1832" s="1" t="s">
        <v>201</v>
      </c>
      <c r="K1832" s="1" t="s">
        <v>5370</v>
      </c>
      <c r="L1832" s="2">
        <v>184904</v>
      </c>
      <c r="M1832">
        <f t="shared" si="84"/>
        <v>19077044.9208</v>
      </c>
      <c r="N1832">
        <f t="shared" si="85"/>
        <v>2560677.170577181</v>
      </c>
      <c r="O1832" t="str">
        <f t="shared" si="86"/>
        <v>BEHOLD</v>
      </c>
      <c r="P1832" s="1" t="s">
        <v>6748</v>
      </c>
    </row>
    <row r="1833" spans="1:16" ht="15" customHeight="1" x14ac:dyDescent="0.2">
      <c r="A1833" s="1" t="s">
        <v>5371</v>
      </c>
      <c r="B1833" s="1" t="s">
        <v>5372</v>
      </c>
      <c r="C1833" s="1" t="s">
        <v>9</v>
      </c>
      <c r="D1833" s="1" t="s">
        <v>3</v>
      </c>
      <c r="E1833" s="5">
        <v>42870</v>
      </c>
      <c r="F1833" s="5">
        <v>46155</v>
      </c>
      <c r="G1833" s="2">
        <v>27.961449999999999</v>
      </c>
      <c r="H1833" s="1" t="s">
        <v>10</v>
      </c>
      <c r="I1833" s="2">
        <v>291.42692047999998</v>
      </c>
      <c r="J1833" s="1" t="s">
        <v>34</v>
      </c>
      <c r="K1833" s="1" t="s">
        <v>5373</v>
      </c>
      <c r="L1833" s="2">
        <v>49905.26</v>
      </c>
      <c r="M1833">
        <f t="shared" si="84"/>
        <v>1395423.4322270001</v>
      </c>
      <c r="N1833">
        <f t="shared" si="85"/>
        <v>123488.7993121239</v>
      </c>
      <c r="O1833" t="str">
        <f t="shared" si="86"/>
        <v>BEHOLD</v>
      </c>
      <c r="P1833" s="1" t="s">
        <v>6749</v>
      </c>
    </row>
    <row r="1834" spans="1:16" ht="15" customHeight="1" x14ac:dyDescent="0.2">
      <c r="A1834" s="1" t="s">
        <v>5374</v>
      </c>
      <c r="B1834" s="1" t="s">
        <v>5375</v>
      </c>
      <c r="C1834" s="1" t="s">
        <v>9</v>
      </c>
      <c r="D1834" s="1" t="s">
        <v>3</v>
      </c>
      <c r="E1834" s="5">
        <v>32638</v>
      </c>
      <c r="F1834" s="5">
        <v>46155</v>
      </c>
      <c r="G1834" s="2">
        <v>125.90470000000001</v>
      </c>
      <c r="H1834" s="1" t="s">
        <v>10</v>
      </c>
      <c r="I1834" s="2">
        <v>144102.32715681801</v>
      </c>
      <c r="J1834" s="1" t="s">
        <v>76</v>
      </c>
      <c r="K1834" s="1" t="s">
        <v>5376</v>
      </c>
      <c r="L1834" s="2">
        <v>216165.2</v>
      </c>
      <c r="M1834">
        <f t="shared" si="84"/>
        <v>27216214.656440001</v>
      </c>
      <c r="N1834">
        <f t="shared" si="85"/>
        <v>2408514.5713663716</v>
      </c>
      <c r="O1834" t="str">
        <f t="shared" si="86"/>
        <v>BEHOLD</v>
      </c>
      <c r="P1834" s="1" t="s">
        <v>6750</v>
      </c>
    </row>
    <row r="1835" spans="1:16" ht="15" customHeight="1" x14ac:dyDescent="0.2">
      <c r="A1835" s="1" t="s">
        <v>5377</v>
      </c>
      <c r="B1835" s="1" t="s">
        <v>5378</v>
      </c>
      <c r="C1835" s="1" t="s">
        <v>9</v>
      </c>
      <c r="D1835" s="1" t="s">
        <v>3</v>
      </c>
      <c r="E1835" s="5">
        <v>42443</v>
      </c>
      <c r="F1835" s="5">
        <v>46154</v>
      </c>
      <c r="G1835" s="2">
        <v>13.76728</v>
      </c>
      <c r="H1835" s="1" t="s">
        <v>10</v>
      </c>
      <c r="I1835" s="2">
        <v>336.77883858000001</v>
      </c>
      <c r="J1835" s="1" t="s">
        <v>51</v>
      </c>
      <c r="K1835" s="1" t="s">
        <v>5379</v>
      </c>
      <c r="L1835" s="2">
        <v>54501.09</v>
      </c>
      <c r="M1835">
        <f t="shared" si="84"/>
        <v>750331.76633519994</v>
      </c>
      <c r="N1835">
        <f t="shared" si="85"/>
        <v>66401.041268601766</v>
      </c>
      <c r="O1835" t="str">
        <f t="shared" si="86"/>
        <v>FJERN</v>
      </c>
      <c r="P1835" s="1" t="s">
        <v>6751</v>
      </c>
    </row>
    <row r="1836" spans="1:16" ht="15" customHeight="1" x14ac:dyDescent="0.2">
      <c r="A1836" s="1" t="s">
        <v>5380</v>
      </c>
      <c r="B1836" s="1" t="s">
        <v>5381</v>
      </c>
      <c r="C1836" s="1" t="s">
        <v>9</v>
      </c>
      <c r="D1836" s="1" t="s">
        <v>3</v>
      </c>
      <c r="E1836" s="5">
        <v>42999</v>
      </c>
      <c r="F1836" s="5">
        <v>46155</v>
      </c>
      <c r="G1836" s="2">
        <v>17.044329999999999</v>
      </c>
      <c r="H1836" s="1" t="s">
        <v>10</v>
      </c>
      <c r="I1836" s="2">
        <v>179.38447808000001</v>
      </c>
      <c r="J1836" s="1" t="s">
        <v>64</v>
      </c>
      <c r="K1836" s="1" t="s">
        <v>5382</v>
      </c>
      <c r="L1836" s="2">
        <v>27188.080000000002</v>
      </c>
      <c r="M1836">
        <f t="shared" si="84"/>
        <v>463402.6075864</v>
      </c>
      <c r="N1836">
        <f t="shared" si="85"/>
        <v>41009.080317380525</v>
      </c>
      <c r="O1836" t="str">
        <f t="shared" si="86"/>
        <v>FJERN</v>
      </c>
      <c r="P1836" s="1" t="s">
        <v>6752</v>
      </c>
    </row>
    <row r="1837" spans="1:16" ht="15" customHeight="1" x14ac:dyDescent="0.2">
      <c r="A1837" s="1" t="s">
        <v>5383</v>
      </c>
      <c r="B1837" s="1" t="s">
        <v>5384</v>
      </c>
      <c r="C1837" s="1" t="s">
        <v>9</v>
      </c>
      <c r="D1837" s="1" t="s">
        <v>3</v>
      </c>
      <c r="E1837" s="5">
        <v>42866</v>
      </c>
      <c r="F1837" s="5">
        <v>45777</v>
      </c>
      <c r="G1837" s="2">
        <v>2.5685519999999999</v>
      </c>
      <c r="H1837" s="1" t="s">
        <v>10</v>
      </c>
      <c r="I1837" s="2">
        <v>13.031040000000001</v>
      </c>
      <c r="J1837" s="1" t="s">
        <v>289</v>
      </c>
      <c r="K1837" s="1" t="s">
        <v>5385</v>
      </c>
      <c r="L1837" s="2">
        <v>182607.6</v>
      </c>
      <c r="M1837">
        <f t="shared" si="84"/>
        <v>469037.11619520001</v>
      </c>
      <c r="N1837">
        <f t="shared" si="85"/>
        <v>41507.709397805309</v>
      </c>
      <c r="O1837" t="str">
        <f t="shared" si="86"/>
        <v>FJERN</v>
      </c>
      <c r="P1837" s="1" t="s">
        <v>6753</v>
      </c>
    </row>
    <row r="1838" spans="1:16" ht="15" customHeight="1" x14ac:dyDescent="0.2">
      <c r="A1838" s="1" t="s">
        <v>5386</v>
      </c>
      <c r="B1838" s="1" t="s">
        <v>5387</v>
      </c>
      <c r="C1838" s="1" t="s">
        <v>9</v>
      </c>
      <c r="D1838" s="1" t="s">
        <v>3</v>
      </c>
      <c r="E1838" s="5">
        <v>43049</v>
      </c>
      <c r="F1838" s="5">
        <v>44363</v>
      </c>
      <c r="G1838" s="2">
        <v>121.4209</v>
      </c>
      <c r="H1838" s="1" t="s">
        <v>10</v>
      </c>
      <c r="I1838" s="2"/>
      <c r="J1838" s="1" t="s">
        <v>61</v>
      </c>
      <c r="K1838" s="1" t="s">
        <v>5388</v>
      </c>
      <c r="L1838" s="2">
        <v>9828.7209999999995</v>
      </c>
      <c r="M1838">
        <f t="shared" si="84"/>
        <v>1193412.1496689001</v>
      </c>
      <c r="N1838">
        <f t="shared" si="85"/>
        <v>105611.6946609646</v>
      </c>
      <c r="O1838" t="str">
        <f t="shared" si="86"/>
        <v>BEHOLD</v>
      </c>
      <c r="P1838" s="1"/>
    </row>
    <row r="1839" spans="1:16" ht="15" customHeight="1" x14ac:dyDescent="0.2">
      <c r="A1839" s="1" t="s">
        <v>5389</v>
      </c>
      <c r="B1839" s="1" t="s">
        <v>5390</v>
      </c>
      <c r="C1839" s="1" t="s">
        <v>9</v>
      </c>
      <c r="D1839" s="1" t="s">
        <v>3</v>
      </c>
      <c r="E1839" s="5">
        <v>42851</v>
      </c>
      <c r="F1839" s="5">
        <v>46155</v>
      </c>
      <c r="G1839" s="2">
        <v>1.93252</v>
      </c>
      <c r="H1839" s="1" t="s">
        <v>10</v>
      </c>
      <c r="I1839" s="2">
        <v>11.7166807296</v>
      </c>
      <c r="J1839" s="1" t="s">
        <v>236</v>
      </c>
      <c r="K1839" s="1" t="s">
        <v>5391</v>
      </c>
      <c r="L1839" s="2">
        <v>1616194</v>
      </c>
      <c r="M1839">
        <f t="shared" si="84"/>
        <v>3123327.2288799998</v>
      </c>
      <c r="N1839">
        <f t="shared" si="85"/>
        <v>276400.63972389378</v>
      </c>
      <c r="O1839" t="str">
        <f t="shared" si="86"/>
        <v>BEHOLD</v>
      </c>
      <c r="P1839" s="1" t="s">
        <v>6754</v>
      </c>
    </row>
    <row r="1840" spans="1:16" ht="15" customHeight="1" x14ac:dyDescent="0.2">
      <c r="A1840" s="1" t="s">
        <v>5392</v>
      </c>
      <c r="B1840" s="1" t="s">
        <v>5393</v>
      </c>
      <c r="C1840" s="1" t="s">
        <v>9</v>
      </c>
      <c r="D1840" s="1" t="s">
        <v>3</v>
      </c>
      <c r="E1840" s="5">
        <v>42530</v>
      </c>
      <c r="F1840" s="5">
        <v>46155</v>
      </c>
      <c r="G1840" s="2">
        <v>39.355800000000002</v>
      </c>
      <c r="H1840" s="1" t="s">
        <v>10</v>
      </c>
      <c r="I1840" s="2">
        <v>3550.3240459200001</v>
      </c>
      <c r="J1840" s="1" t="s">
        <v>61</v>
      </c>
      <c r="K1840" s="1" t="s">
        <v>5394</v>
      </c>
      <c r="L1840" s="2">
        <v>525246.5</v>
      </c>
      <c r="M1840">
        <f t="shared" si="84"/>
        <v>20671496.204700001</v>
      </c>
      <c r="N1840">
        <f t="shared" si="85"/>
        <v>1829335.947318584</v>
      </c>
      <c r="O1840" t="str">
        <f t="shared" si="86"/>
        <v>BEHOLD</v>
      </c>
      <c r="P1840" s="1" t="s">
        <v>6755</v>
      </c>
    </row>
    <row r="1841" spans="1:16" ht="15" customHeight="1" x14ac:dyDescent="0.2">
      <c r="A1841" s="1" t="s">
        <v>5395</v>
      </c>
      <c r="B1841" s="1" t="s">
        <v>5396</v>
      </c>
      <c r="C1841" s="1" t="s">
        <v>9</v>
      </c>
      <c r="D1841" s="1" t="s">
        <v>3</v>
      </c>
      <c r="E1841" s="5">
        <v>42788</v>
      </c>
      <c r="F1841" s="5">
        <v>46155</v>
      </c>
      <c r="G1841" s="2">
        <v>39.073270000000001</v>
      </c>
      <c r="H1841" s="1" t="s">
        <v>10</v>
      </c>
      <c r="I1841" s="2">
        <v>1242.4167029600001</v>
      </c>
      <c r="J1841" s="1" t="s">
        <v>366</v>
      </c>
      <c r="K1841" s="1" t="s">
        <v>5397</v>
      </c>
      <c r="L1841" s="2">
        <v>1854692</v>
      </c>
      <c r="M1841">
        <f t="shared" si="84"/>
        <v>72468881.282839999</v>
      </c>
      <c r="N1841">
        <f t="shared" si="85"/>
        <v>6413175.3347646017</v>
      </c>
      <c r="O1841" t="str">
        <f t="shared" si="86"/>
        <v>BEHOLD</v>
      </c>
      <c r="P1841" s="1" t="s">
        <v>6756</v>
      </c>
    </row>
    <row r="1842" spans="1:16" ht="15" customHeight="1" x14ac:dyDescent="0.2">
      <c r="A1842" s="1" t="s">
        <v>5398</v>
      </c>
      <c r="B1842" s="1" t="s">
        <v>5399</v>
      </c>
      <c r="C1842" s="1" t="s">
        <v>9</v>
      </c>
      <c r="D1842" s="1" t="s">
        <v>3</v>
      </c>
      <c r="E1842" s="5">
        <v>42832</v>
      </c>
      <c r="F1842" s="5">
        <v>46155</v>
      </c>
      <c r="G1842" s="2">
        <v>14.79425</v>
      </c>
      <c r="H1842" s="1" t="s">
        <v>10</v>
      </c>
      <c r="I1842" s="2">
        <v>314.91138571200003</v>
      </c>
      <c r="J1842" s="1" t="s">
        <v>64</v>
      </c>
      <c r="K1842" s="1" t="s">
        <v>5400</v>
      </c>
      <c r="L1842" s="2">
        <v>267341.90000000002</v>
      </c>
      <c r="M1842">
        <f t="shared" si="84"/>
        <v>3955122.9040750004</v>
      </c>
      <c r="N1842">
        <f t="shared" si="85"/>
        <v>350010.8764668142</v>
      </c>
      <c r="O1842" t="str">
        <f t="shared" si="86"/>
        <v>BEHOLD</v>
      </c>
      <c r="P1842" s="1" t="s">
        <v>6757</v>
      </c>
    </row>
    <row r="1843" spans="1:16" ht="15" customHeight="1" x14ac:dyDescent="0.2">
      <c r="A1843" s="1" t="s">
        <v>5401</v>
      </c>
      <c r="B1843" s="1" t="s">
        <v>5402</v>
      </c>
      <c r="C1843" s="1" t="s">
        <v>9</v>
      </c>
      <c r="D1843" s="1" t="s">
        <v>3</v>
      </c>
      <c r="E1843" s="5">
        <v>42930</v>
      </c>
      <c r="F1843" s="5">
        <v>46155</v>
      </c>
      <c r="G1843" s="2">
        <v>14.699619999999999</v>
      </c>
      <c r="H1843" s="1" t="s">
        <v>10</v>
      </c>
      <c r="I1843" s="2">
        <v>122.27979809999999</v>
      </c>
      <c r="J1843" s="1" t="s">
        <v>38</v>
      </c>
      <c r="K1843" s="1" t="s">
        <v>5403</v>
      </c>
      <c r="L1843" s="2">
        <v>40673</v>
      </c>
      <c r="M1843">
        <f t="shared" si="84"/>
        <v>597877.64425999997</v>
      </c>
      <c r="N1843">
        <f t="shared" si="85"/>
        <v>52909.526040707962</v>
      </c>
      <c r="O1843" t="str">
        <f t="shared" si="86"/>
        <v>FJERN</v>
      </c>
      <c r="P1843" s="1"/>
    </row>
    <row r="1844" spans="1:16" ht="15" customHeight="1" x14ac:dyDescent="0.2">
      <c r="A1844" s="1" t="s">
        <v>5404</v>
      </c>
      <c r="B1844" s="1" t="s">
        <v>5405</v>
      </c>
      <c r="C1844" s="1" t="s">
        <v>9</v>
      </c>
      <c r="D1844" s="1" t="s">
        <v>3</v>
      </c>
      <c r="E1844" s="5">
        <v>42908</v>
      </c>
      <c r="F1844" s="5">
        <v>44634</v>
      </c>
      <c r="G1844" s="2">
        <v>0.83728619999999998</v>
      </c>
      <c r="H1844" s="1" t="s">
        <v>10</v>
      </c>
      <c r="I1844" s="2"/>
      <c r="J1844" s="1" t="s">
        <v>289</v>
      </c>
      <c r="K1844" s="1" t="s">
        <v>5406</v>
      </c>
      <c r="L1844" s="2">
        <v>423430.2</v>
      </c>
      <c r="M1844">
        <f t="shared" si="84"/>
        <v>354532.26312323997</v>
      </c>
      <c r="N1844">
        <f t="shared" si="85"/>
        <v>31374.536559578755</v>
      </c>
      <c r="O1844" t="str">
        <f t="shared" si="86"/>
        <v>FJERN</v>
      </c>
      <c r="P1844" s="1" t="s">
        <v>6758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Company Overview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Oliver Lynge Rydahl</cp:lastModifiedBy>
  <dcterms:created xsi:type="dcterms:W3CDTF">2026-05-13T20:56:18Z</dcterms:created>
  <dcterms:modified xsi:type="dcterms:W3CDTF">2026-05-14T07:52:09Z</dcterms:modified>
  <cp:category/>
</cp:coreProperties>
</file>